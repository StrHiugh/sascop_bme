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rpa\Downloads\"/>
    </mc:Choice>
  </mc:AlternateContent>
  <xr:revisionPtr revIDLastSave="0" documentId="13_ncr:1_{1D29C07F-BAC7-48C9-A751-59991C99A0D4}" xr6:coauthVersionLast="47" xr6:coauthVersionMax="47" xr10:uidLastSave="{00000000-0000-0000-0000-000000000000}"/>
  <bookViews>
    <workbookView xWindow="28680" yWindow="-120" windowWidth="29040" windowHeight="15720" firstSheet="1" activeTab="1" xr2:uid="{6EBE4004-DC57-445C-BDC2-0974F6AA36BE}"/>
  </bookViews>
  <sheets>
    <sheet name="PUE´s BME" sheetId="2" r:id="rId1"/>
    <sheet name="SABANA DE RECURSOS" sheetId="1" r:id="rId2"/>
  </sheets>
  <definedNames>
    <definedName name="_xlnm._FilterDatabase" localSheetId="0" hidden="1">'PUE´s BME'!$B$1:$Q$3057</definedName>
    <definedName name="_xlnm._FilterDatabase" localSheetId="1" hidden="1">'SABANA DE RECURSOS'!$A$2:$AQ$23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I2" i="2"/>
  <c r="J2" i="2"/>
  <c r="C3" i="2"/>
  <c r="I3" i="2"/>
  <c r="J3" i="2"/>
  <c r="C4" i="2"/>
  <c r="I4" i="2"/>
  <c r="J4" i="2"/>
  <c r="C5" i="2"/>
  <c r="I5" i="2"/>
  <c r="J5" i="2"/>
  <c r="C6" i="2"/>
  <c r="I6" i="2"/>
  <c r="J6" i="2"/>
  <c r="I7" i="2"/>
  <c r="J7" i="2"/>
  <c r="I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7" i="2"/>
  <c r="J47" i="2"/>
  <c r="I48" i="2"/>
  <c r="J48" i="2"/>
  <c r="I49" i="2"/>
  <c r="J49" i="2"/>
  <c r="I50" i="2"/>
  <c r="J50" i="2"/>
  <c r="I51" i="2"/>
  <c r="J51" i="2"/>
  <c r="I52" i="2"/>
  <c r="J52" i="2"/>
  <c r="I53" i="2"/>
  <c r="J53" i="2"/>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59" i="2"/>
  <c r="J159" i="2"/>
  <c r="I160" i="2"/>
  <c r="J160" i="2"/>
  <c r="I161" i="2"/>
  <c r="J161" i="2"/>
  <c r="I162" i="2"/>
  <c r="J162" i="2"/>
  <c r="I163" i="2"/>
  <c r="J163" i="2"/>
  <c r="I164" i="2"/>
  <c r="J164"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206" i="2"/>
  <c r="J206" i="2"/>
  <c r="I207" i="2"/>
  <c r="J207" i="2"/>
  <c r="I208" i="2"/>
  <c r="J208" i="2"/>
  <c r="I209" i="2"/>
  <c r="J209" i="2"/>
  <c r="I210" i="2"/>
  <c r="J210" i="2"/>
  <c r="I211" i="2"/>
  <c r="J211" i="2"/>
  <c r="I212" i="2"/>
  <c r="J212" i="2"/>
  <c r="I213" i="2"/>
  <c r="J213" i="2"/>
  <c r="I214" i="2"/>
  <c r="J214" i="2"/>
  <c r="I215" i="2"/>
  <c r="J215" i="2"/>
  <c r="I216" i="2"/>
  <c r="J216" i="2"/>
  <c r="I217" i="2"/>
  <c r="J217" i="2"/>
  <c r="I218" i="2"/>
  <c r="J218" i="2"/>
  <c r="I219" i="2"/>
  <c r="J219" i="2"/>
  <c r="I220" i="2"/>
  <c r="J220" i="2"/>
  <c r="I221" i="2"/>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43" i="2"/>
  <c r="J243" i="2"/>
  <c r="I244" i="2"/>
  <c r="J244" i="2"/>
  <c r="I245" i="2"/>
  <c r="J245" i="2"/>
  <c r="I246" i="2"/>
  <c r="J246" i="2"/>
  <c r="I247" i="2"/>
  <c r="J247" i="2"/>
  <c r="I248" i="2"/>
  <c r="J248" i="2"/>
  <c r="I249" i="2"/>
  <c r="J249" i="2"/>
  <c r="I250" i="2"/>
  <c r="J250" i="2"/>
  <c r="I251" i="2"/>
  <c r="J251" i="2"/>
  <c r="I252" i="2"/>
  <c r="J252" i="2"/>
  <c r="I253" i="2"/>
  <c r="J253" i="2"/>
  <c r="I254" i="2"/>
  <c r="J254" i="2"/>
  <c r="I255" i="2"/>
  <c r="J255" i="2"/>
  <c r="I256" i="2"/>
  <c r="J256" i="2"/>
  <c r="I257" i="2"/>
  <c r="J257" i="2"/>
  <c r="I258" i="2"/>
  <c r="J258" i="2"/>
  <c r="I259" i="2"/>
  <c r="J259" i="2"/>
  <c r="I260" i="2"/>
  <c r="J260" i="2"/>
  <c r="I261" i="2"/>
  <c r="J261"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I275" i="2"/>
  <c r="J275" i="2"/>
  <c r="I276" i="2"/>
  <c r="J276" i="2"/>
  <c r="I277" i="2"/>
  <c r="J277" i="2"/>
  <c r="I278" i="2"/>
  <c r="J278" i="2"/>
  <c r="I279" i="2"/>
  <c r="J279" i="2"/>
  <c r="I280" i="2"/>
  <c r="J280" i="2"/>
  <c r="I281" i="2"/>
  <c r="J281" i="2"/>
  <c r="I282" i="2"/>
  <c r="J282" i="2"/>
  <c r="I283" i="2"/>
  <c r="J283" i="2"/>
  <c r="I284" i="2"/>
  <c r="J284" i="2"/>
  <c r="I285" i="2"/>
  <c r="J285" i="2"/>
  <c r="I286" i="2"/>
  <c r="J286" i="2"/>
  <c r="I287" i="2"/>
  <c r="J287" i="2"/>
  <c r="I288" i="2"/>
  <c r="J288" i="2"/>
  <c r="I289" i="2"/>
  <c r="J289" i="2"/>
  <c r="I290" i="2"/>
  <c r="J290" i="2"/>
  <c r="I291" i="2"/>
  <c r="J291" i="2"/>
  <c r="I292" i="2"/>
  <c r="J292" i="2"/>
  <c r="I293" i="2"/>
  <c r="J293" i="2"/>
  <c r="I294" i="2"/>
  <c r="J294" i="2"/>
  <c r="I295" i="2"/>
  <c r="J295" i="2"/>
  <c r="I296" i="2"/>
  <c r="J296" i="2"/>
  <c r="I297" i="2"/>
  <c r="J297" i="2"/>
  <c r="I298" i="2"/>
  <c r="J298" i="2"/>
  <c r="I299" i="2"/>
  <c r="J299" i="2"/>
  <c r="I300" i="2"/>
  <c r="J300" i="2"/>
  <c r="I301" i="2"/>
  <c r="J301" i="2"/>
  <c r="I302" i="2"/>
  <c r="J302" i="2"/>
  <c r="I303" i="2"/>
  <c r="J303" i="2"/>
  <c r="I304" i="2"/>
  <c r="J304" i="2"/>
  <c r="I305" i="2"/>
  <c r="J305" i="2"/>
  <c r="I306" i="2"/>
  <c r="J306" i="2"/>
  <c r="I307" i="2"/>
  <c r="J307" i="2"/>
  <c r="I308" i="2"/>
  <c r="J308" i="2"/>
  <c r="I309" i="2"/>
  <c r="J309" i="2"/>
  <c r="I310" i="2"/>
  <c r="J310" i="2"/>
  <c r="I311" i="2"/>
  <c r="J311" i="2"/>
  <c r="I312" i="2"/>
  <c r="J312" i="2"/>
  <c r="I313" i="2"/>
  <c r="J313" i="2"/>
  <c r="I314" i="2"/>
  <c r="J314" i="2"/>
  <c r="I315" i="2"/>
  <c r="J315" i="2"/>
  <c r="I316" i="2"/>
  <c r="J316" i="2"/>
  <c r="I317" i="2"/>
  <c r="J317" i="2"/>
  <c r="I318" i="2"/>
  <c r="J318" i="2"/>
  <c r="I319" i="2"/>
  <c r="J319" i="2"/>
  <c r="I320" i="2"/>
  <c r="J320" i="2"/>
  <c r="I321" i="2"/>
  <c r="J321" i="2"/>
  <c r="I322" i="2"/>
  <c r="J322" i="2"/>
  <c r="I323" i="2"/>
  <c r="J323" i="2"/>
  <c r="I324" i="2"/>
  <c r="J324" i="2"/>
  <c r="I325" i="2"/>
  <c r="J325" i="2"/>
  <c r="I326" i="2"/>
  <c r="J326" i="2"/>
  <c r="I327" i="2"/>
  <c r="J327" i="2"/>
  <c r="I328" i="2"/>
  <c r="J328" i="2"/>
  <c r="I329" i="2"/>
  <c r="J329" i="2"/>
  <c r="I330" i="2"/>
  <c r="J330" i="2"/>
  <c r="I331" i="2"/>
  <c r="J331" i="2"/>
  <c r="I332" i="2"/>
  <c r="J332" i="2"/>
  <c r="I333" i="2"/>
  <c r="J333" i="2"/>
  <c r="I334" i="2"/>
  <c r="J334" i="2"/>
  <c r="I335" i="2"/>
  <c r="J335" i="2"/>
  <c r="I336" i="2"/>
  <c r="J336" i="2"/>
  <c r="I337" i="2"/>
  <c r="J337" i="2"/>
  <c r="I338" i="2"/>
  <c r="J338" i="2"/>
  <c r="I339" i="2"/>
  <c r="J339" i="2"/>
  <c r="I340" i="2"/>
  <c r="J340" i="2"/>
  <c r="I341" i="2"/>
  <c r="J341" i="2"/>
  <c r="I342" i="2"/>
  <c r="J342" i="2"/>
  <c r="I343" i="2"/>
  <c r="J343" i="2"/>
  <c r="I344" i="2"/>
  <c r="J344" i="2"/>
  <c r="I345" i="2"/>
  <c r="J345" i="2"/>
  <c r="I346" i="2"/>
  <c r="J346" i="2"/>
  <c r="I347" i="2"/>
  <c r="J347" i="2"/>
  <c r="I348" i="2"/>
  <c r="J348" i="2"/>
  <c r="I349" i="2"/>
  <c r="J349" i="2"/>
  <c r="I350" i="2"/>
  <c r="J350" i="2"/>
  <c r="I351" i="2"/>
  <c r="J351" i="2"/>
  <c r="I352" i="2"/>
  <c r="J352" i="2"/>
  <c r="I353" i="2"/>
  <c r="J353" i="2"/>
  <c r="I354" i="2"/>
  <c r="J354" i="2"/>
  <c r="I355" i="2"/>
  <c r="J355" i="2"/>
  <c r="I356" i="2"/>
  <c r="J356" i="2"/>
  <c r="I357" i="2"/>
  <c r="J357" i="2"/>
  <c r="I358" i="2"/>
  <c r="J358" i="2"/>
  <c r="I359" i="2"/>
  <c r="J359" i="2"/>
  <c r="I360" i="2"/>
  <c r="J360" i="2"/>
  <c r="I361" i="2"/>
  <c r="J361" i="2"/>
  <c r="I362" i="2"/>
  <c r="J362" i="2"/>
  <c r="I363" i="2"/>
  <c r="J363" i="2"/>
  <c r="I364" i="2"/>
  <c r="J364" i="2"/>
  <c r="I365" i="2"/>
  <c r="J365" i="2"/>
  <c r="I366" i="2"/>
  <c r="J366" i="2"/>
  <c r="I367" i="2"/>
  <c r="J367" i="2"/>
  <c r="I368" i="2"/>
  <c r="J368" i="2"/>
  <c r="I369" i="2"/>
  <c r="J369" i="2"/>
  <c r="I370" i="2"/>
  <c r="J370" i="2"/>
  <c r="I371" i="2"/>
  <c r="J371" i="2"/>
  <c r="I372" i="2"/>
  <c r="J372" i="2"/>
  <c r="I373" i="2"/>
  <c r="J373" i="2"/>
  <c r="I374" i="2"/>
  <c r="J374" i="2"/>
  <c r="I375" i="2"/>
  <c r="J375" i="2"/>
  <c r="I376" i="2"/>
  <c r="J376" i="2"/>
  <c r="I377" i="2"/>
  <c r="J377" i="2"/>
  <c r="I378" i="2"/>
  <c r="J378" i="2"/>
  <c r="I379" i="2"/>
  <c r="J379" i="2"/>
  <c r="I380" i="2"/>
  <c r="J380" i="2"/>
  <c r="I381" i="2"/>
  <c r="J381" i="2"/>
  <c r="I382" i="2"/>
  <c r="J382" i="2"/>
  <c r="I383" i="2"/>
  <c r="J383" i="2"/>
  <c r="I384" i="2"/>
  <c r="J384" i="2"/>
  <c r="I385" i="2"/>
  <c r="J385" i="2"/>
  <c r="I386" i="2"/>
  <c r="J386" i="2"/>
  <c r="I387" i="2"/>
  <c r="J387" i="2"/>
  <c r="I388" i="2"/>
  <c r="J388" i="2"/>
  <c r="I389" i="2"/>
  <c r="J389" i="2"/>
  <c r="I390" i="2"/>
  <c r="J390" i="2"/>
  <c r="I391" i="2"/>
  <c r="J391" i="2"/>
  <c r="I392" i="2"/>
  <c r="J392" i="2"/>
  <c r="I393" i="2"/>
  <c r="J393" i="2"/>
  <c r="I394" i="2"/>
  <c r="J394" i="2"/>
  <c r="I395" i="2"/>
  <c r="J395" i="2"/>
  <c r="I396" i="2"/>
  <c r="J396" i="2"/>
  <c r="I397" i="2"/>
  <c r="J397" i="2"/>
  <c r="I398" i="2"/>
  <c r="J398" i="2"/>
  <c r="I399" i="2"/>
  <c r="J399" i="2"/>
  <c r="I400" i="2"/>
  <c r="J400" i="2"/>
  <c r="I401" i="2"/>
  <c r="J401" i="2"/>
  <c r="I402" i="2"/>
  <c r="J402" i="2"/>
  <c r="I403" i="2"/>
  <c r="J403" i="2"/>
  <c r="I404" i="2"/>
  <c r="J404" i="2"/>
  <c r="I405" i="2"/>
  <c r="J405" i="2"/>
  <c r="I406" i="2"/>
  <c r="J406" i="2"/>
  <c r="I407" i="2"/>
  <c r="J407" i="2"/>
  <c r="I408" i="2"/>
  <c r="J408" i="2"/>
  <c r="I409" i="2"/>
  <c r="J409" i="2"/>
  <c r="I410" i="2"/>
  <c r="J410" i="2"/>
  <c r="I411" i="2"/>
  <c r="J411" i="2"/>
  <c r="I412" i="2"/>
  <c r="J412" i="2"/>
  <c r="I413" i="2"/>
  <c r="J413" i="2"/>
  <c r="I414" i="2"/>
  <c r="J414" i="2"/>
  <c r="I415" i="2"/>
  <c r="J415" i="2"/>
  <c r="I416" i="2"/>
  <c r="J416" i="2"/>
  <c r="I417" i="2"/>
  <c r="J417" i="2"/>
  <c r="I418" i="2"/>
  <c r="J418" i="2"/>
  <c r="I419" i="2"/>
  <c r="J419" i="2"/>
  <c r="I420" i="2"/>
  <c r="J420" i="2"/>
  <c r="I421" i="2"/>
  <c r="J421" i="2"/>
  <c r="I422" i="2"/>
  <c r="J422" i="2"/>
  <c r="I423" i="2"/>
  <c r="J423" i="2"/>
  <c r="I424" i="2"/>
  <c r="J424" i="2"/>
  <c r="I425" i="2"/>
  <c r="J425" i="2"/>
  <c r="I426" i="2"/>
  <c r="J426" i="2"/>
  <c r="I427" i="2"/>
  <c r="J427" i="2"/>
  <c r="I428" i="2"/>
  <c r="J428" i="2"/>
  <c r="I429" i="2"/>
  <c r="J429" i="2"/>
  <c r="I430" i="2"/>
  <c r="J430" i="2"/>
  <c r="I431" i="2"/>
  <c r="J431" i="2"/>
  <c r="I432" i="2"/>
  <c r="J432" i="2"/>
  <c r="I433" i="2"/>
  <c r="J433" i="2"/>
  <c r="I434" i="2"/>
  <c r="J434" i="2"/>
  <c r="I435" i="2"/>
  <c r="J435" i="2"/>
  <c r="I436" i="2"/>
  <c r="J436" i="2"/>
  <c r="I437" i="2"/>
  <c r="J437" i="2"/>
  <c r="I438" i="2"/>
  <c r="J438" i="2"/>
  <c r="I439" i="2"/>
  <c r="J439" i="2"/>
  <c r="I440" i="2"/>
  <c r="J440" i="2"/>
  <c r="I441" i="2"/>
  <c r="J441" i="2"/>
  <c r="I442" i="2"/>
  <c r="J442" i="2"/>
  <c r="I443" i="2"/>
  <c r="J443" i="2"/>
  <c r="I444" i="2"/>
  <c r="J444" i="2"/>
  <c r="I445" i="2"/>
  <c r="J445" i="2"/>
  <c r="I446" i="2"/>
  <c r="J446" i="2"/>
  <c r="I447" i="2"/>
  <c r="J447" i="2"/>
  <c r="I448" i="2"/>
  <c r="J448" i="2"/>
  <c r="I449" i="2"/>
  <c r="J449" i="2"/>
  <c r="I450" i="2"/>
  <c r="J450" i="2"/>
  <c r="I451" i="2"/>
  <c r="J451" i="2"/>
  <c r="I452" i="2"/>
  <c r="J452" i="2"/>
  <c r="I453" i="2"/>
  <c r="J453" i="2"/>
  <c r="I454" i="2"/>
  <c r="J454" i="2"/>
  <c r="I455" i="2"/>
  <c r="J455" i="2"/>
  <c r="I456" i="2"/>
  <c r="J456" i="2"/>
  <c r="I457" i="2"/>
  <c r="J457" i="2"/>
  <c r="I458" i="2"/>
  <c r="J458" i="2"/>
  <c r="I459" i="2"/>
  <c r="J459" i="2"/>
  <c r="I460" i="2"/>
  <c r="J460" i="2"/>
  <c r="I461" i="2"/>
  <c r="J461" i="2"/>
  <c r="I462" i="2"/>
  <c r="J462" i="2"/>
  <c r="I463" i="2"/>
  <c r="J463" i="2"/>
  <c r="I464" i="2"/>
  <c r="J464" i="2"/>
  <c r="I465" i="2"/>
  <c r="J465" i="2"/>
  <c r="I466" i="2"/>
  <c r="J466" i="2"/>
  <c r="I467" i="2"/>
  <c r="J467" i="2"/>
  <c r="I468" i="2"/>
  <c r="J468" i="2"/>
  <c r="I469" i="2"/>
  <c r="J469" i="2"/>
  <c r="I470" i="2"/>
  <c r="J470" i="2"/>
  <c r="I471" i="2"/>
  <c r="J471" i="2"/>
  <c r="I472" i="2"/>
  <c r="J472" i="2"/>
  <c r="I473" i="2"/>
  <c r="J473" i="2"/>
  <c r="I474" i="2"/>
  <c r="J474" i="2"/>
  <c r="I475" i="2"/>
  <c r="J475" i="2"/>
  <c r="I476" i="2"/>
  <c r="J476" i="2"/>
  <c r="I477" i="2"/>
  <c r="J477" i="2"/>
  <c r="I478" i="2"/>
  <c r="J478" i="2"/>
  <c r="I479" i="2"/>
  <c r="J479" i="2"/>
  <c r="I480" i="2"/>
  <c r="J480" i="2"/>
  <c r="I481" i="2"/>
  <c r="J481" i="2"/>
  <c r="I482" i="2"/>
  <c r="J482" i="2"/>
  <c r="I483" i="2"/>
  <c r="J483" i="2"/>
  <c r="I484" i="2"/>
  <c r="J484" i="2"/>
  <c r="I485" i="2"/>
  <c r="J485" i="2"/>
  <c r="I486" i="2"/>
  <c r="J486" i="2"/>
  <c r="I487" i="2"/>
  <c r="J487" i="2"/>
  <c r="I488" i="2"/>
  <c r="J488" i="2"/>
  <c r="I489" i="2"/>
  <c r="J489" i="2"/>
  <c r="I490" i="2"/>
  <c r="J490" i="2"/>
  <c r="I491" i="2"/>
  <c r="J491" i="2"/>
  <c r="I492" i="2"/>
  <c r="J492" i="2"/>
  <c r="I493" i="2"/>
  <c r="J493" i="2"/>
  <c r="I494" i="2"/>
  <c r="J494" i="2"/>
  <c r="I495" i="2"/>
  <c r="J495" i="2"/>
  <c r="I496" i="2"/>
  <c r="J496" i="2"/>
  <c r="I497" i="2"/>
  <c r="J497" i="2"/>
  <c r="I498" i="2"/>
  <c r="J498" i="2"/>
  <c r="I499" i="2"/>
  <c r="J499" i="2"/>
  <c r="I500" i="2"/>
  <c r="J500" i="2"/>
  <c r="I501" i="2"/>
  <c r="J501" i="2"/>
  <c r="I502" i="2"/>
  <c r="J502" i="2"/>
  <c r="I503" i="2"/>
  <c r="J503" i="2"/>
  <c r="I504" i="2"/>
  <c r="J504" i="2"/>
  <c r="I505" i="2"/>
  <c r="J505" i="2"/>
  <c r="I506" i="2"/>
  <c r="J506" i="2"/>
  <c r="I507" i="2"/>
  <c r="J507" i="2"/>
  <c r="I508" i="2"/>
  <c r="J508" i="2"/>
  <c r="I509" i="2"/>
  <c r="J509" i="2"/>
  <c r="I510" i="2"/>
  <c r="J510" i="2"/>
  <c r="I511" i="2"/>
  <c r="J511" i="2"/>
  <c r="I512" i="2"/>
  <c r="J512" i="2"/>
  <c r="I513" i="2"/>
  <c r="J513" i="2"/>
  <c r="I514" i="2"/>
  <c r="J514" i="2"/>
  <c r="I515" i="2"/>
  <c r="J515" i="2"/>
  <c r="I516" i="2"/>
  <c r="J516" i="2"/>
  <c r="I517" i="2"/>
  <c r="J517" i="2"/>
  <c r="I518" i="2"/>
  <c r="J518" i="2"/>
  <c r="I519" i="2"/>
  <c r="J519" i="2"/>
  <c r="I520" i="2"/>
  <c r="J520" i="2"/>
  <c r="I521" i="2"/>
  <c r="J521" i="2"/>
  <c r="I522" i="2"/>
  <c r="J522" i="2"/>
  <c r="I523" i="2"/>
  <c r="J523" i="2"/>
  <c r="I524" i="2"/>
  <c r="J524" i="2"/>
  <c r="I525" i="2"/>
  <c r="J525" i="2"/>
  <c r="I526" i="2"/>
  <c r="J526" i="2"/>
  <c r="I527" i="2"/>
  <c r="J527" i="2"/>
  <c r="I528" i="2"/>
  <c r="J528" i="2"/>
  <c r="I529" i="2"/>
  <c r="J529" i="2"/>
  <c r="I530" i="2"/>
  <c r="J530" i="2"/>
  <c r="I531" i="2"/>
  <c r="J531" i="2"/>
  <c r="I532" i="2"/>
  <c r="J532" i="2"/>
  <c r="I533" i="2"/>
  <c r="J533" i="2"/>
  <c r="I534" i="2"/>
  <c r="J534" i="2"/>
  <c r="I535" i="2"/>
  <c r="J535" i="2"/>
  <c r="I536" i="2"/>
  <c r="J536" i="2"/>
  <c r="I537" i="2"/>
  <c r="J537" i="2"/>
  <c r="I538" i="2"/>
  <c r="J538" i="2"/>
  <c r="I539" i="2"/>
  <c r="J539" i="2"/>
  <c r="I540" i="2"/>
  <c r="J540" i="2"/>
  <c r="I541" i="2"/>
  <c r="J541" i="2"/>
  <c r="I542" i="2"/>
  <c r="J542" i="2"/>
  <c r="I543" i="2"/>
  <c r="J543" i="2"/>
  <c r="I544" i="2"/>
  <c r="J544" i="2"/>
  <c r="I545" i="2"/>
  <c r="J545" i="2"/>
  <c r="I546" i="2"/>
  <c r="J546" i="2"/>
  <c r="I547" i="2"/>
  <c r="J547" i="2"/>
  <c r="I548" i="2"/>
  <c r="J548" i="2"/>
  <c r="I549" i="2"/>
  <c r="J549" i="2"/>
  <c r="I550" i="2"/>
  <c r="J550" i="2"/>
  <c r="I551" i="2"/>
  <c r="J551" i="2"/>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76" i="2"/>
  <c r="J576" i="2"/>
  <c r="I577" i="2"/>
  <c r="J577" i="2"/>
  <c r="I578" i="2"/>
  <c r="J578" i="2"/>
  <c r="I579" i="2"/>
  <c r="J579"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633" i="2"/>
  <c r="J633" i="2"/>
  <c r="I634" i="2"/>
  <c r="J634" i="2"/>
  <c r="I635" i="2"/>
  <c r="J635" i="2"/>
  <c r="I636" i="2"/>
  <c r="J636" i="2"/>
  <c r="I637" i="2"/>
  <c r="J637" i="2"/>
  <c r="I638" i="2"/>
  <c r="J638" i="2"/>
  <c r="I639" i="2"/>
  <c r="J639" i="2"/>
  <c r="I640" i="2"/>
  <c r="J640" i="2"/>
  <c r="I641" i="2"/>
  <c r="J641" i="2"/>
  <c r="I642" i="2"/>
  <c r="J642" i="2"/>
  <c r="I643" i="2"/>
  <c r="J643" i="2"/>
  <c r="I644" i="2"/>
  <c r="J644" i="2"/>
  <c r="I645" i="2"/>
  <c r="J645" i="2"/>
  <c r="I646" i="2"/>
  <c r="J646" i="2"/>
  <c r="I647" i="2"/>
  <c r="J647" i="2"/>
  <c r="I648" i="2"/>
  <c r="J648" i="2"/>
  <c r="I649" i="2"/>
  <c r="J649" i="2"/>
  <c r="I650" i="2"/>
  <c r="J650" i="2"/>
  <c r="I651" i="2"/>
  <c r="J651" i="2"/>
  <c r="I652" i="2"/>
  <c r="J652" i="2"/>
  <c r="I653" i="2"/>
  <c r="J653" i="2"/>
  <c r="I654" i="2"/>
  <c r="J654" i="2"/>
  <c r="I655" i="2"/>
  <c r="J655" i="2"/>
  <c r="I656" i="2"/>
  <c r="J656" i="2"/>
  <c r="I657" i="2"/>
  <c r="J657" i="2"/>
  <c r="I658" i="2"/>
  <c r="J658" i="2"/>
  <c r="I659" i="2"/>
  <c r="J659" i="2"/>
  <c r="I660" i="2"/>
  <c r="J660" i="2"/>
  <c r="I661" i="2"/>
  <c r="J661" i="2"/>
  <c r="I662" i="2"/>
  <c r="J662" i="2"/>
  <c r="I663" i="2"/>
  <c r="J663" i="2"/>
  <c r="I664" i="2"/>
  <c r="J664" i="2"/>
  <c r="I665" i="2"/>
  <c r="J665" i="2"/>
  <c r="I666" i="2"/>
  <c r="J666" i="2"/>
  <c r="I667" i="2"/>
  <c r="J667" i="2"/>
  <c r="I668" i="2"/>
  <c r="J668" i="2"/>
  <c r="I669" i="2"/>
  <c r="J669" i="2"/>
  <c r="I670" i="2"/>
  <c r="J670" i="2"/>
  <c r="I671" i="2"/>
  <c r="J671" i="2"/>
  <c r="I672" i="2"/>
  <c r="J672" i="2"/>
  <c r="I673" i="2"/>
  <c r="J673" i="2"/>
  <c r="I674" i="2"/>
  <c r="J674" i="2"/>
  <c r="I675" i="2"/>
  <c r="J675" i="2"/>
  <c r="I676" i="2"/>
  <c r="J676" i="2"/>
  <c r="I677" i="2"/>
  <c r="J677" i="2"/>
  <c r="I678" i="2"/>
  <c r="J678" i="2"/>
  <c r="I679" i="2"/>
  <c r="J679" i="2"/>
  <c r="I680" i="2"/>
  <c r="J680" i="2"/>
  <c r="I681" i="2"/>
  <c r="J681" i="2"/>
  <c r="I682" i="2"/>
  <c r="J682" i="2"/>
  <c r="I683" i="2"/>
  <c r="J683" i="2"/>
  <c r="I684" i="2"/>
  <c r="J684" i="2"/>
  <c r="I685" i="2"/>
  <c r="J685" i="2"/>
  <c r="I686" i="2"/>
  <c r="J686" i="2"/>
  <c r="I687" i="2"/>
  <c r="J687" i="2"/>
  <c r="I688" i="2"/>
  <c r="J688" i="2"/>
  <c r="I689" i="2"/>
  <c r="J689" i="2"/>
  <c r="I690" i="2"/>
  <c r="J690" i="2"/>
  <c r="I691" i="2"/>
  <c r="J691" i="2"/>
  <c r="I692" i="2"/>
  <c r="J692" i="2"/>
  <c r="I693" i="2"/>
  <c r="J693" i="2"/>
  <c r="I694" i="2"/>
  <c r="J694" i="2"/>
  <c r="I695" i="2"/>
  <c r="J695" i="2"/>
  <c r="I696" i="2"/>
  <c r="J696" i="2"/>
  <c r="I697" i="2"/>
  <c r="J697" i="2"/>
  <c r="I698" i="2"/>
  <c r="J698" i="2"/>
  <c r="I699" i="2"/>
  <c r="J699" i="2"/>
  <c r="I700" i="2"/>
  <c r="J700" i="2"/>
  <c r="I701" i="2"/>
  <c r="J701" i="2"/>
  <c r="I702" i="2"/>
  <c r="J702" i="2"/>
  <c r="I703" i="2"/>
  <c r="J703" i="2"/>
  <c r="I704" i="2"/>
  <c r="J704" i="2"/>
  <c r="I705" i="2"/>
  <c r="J705" i="2"/>
  <c r="I706" i="2"/>
  <c r="J706" i="2"/>
  <c r="I707" i="2"/>
  <c r="J707" i="2"/>
  <c r="I708" i="2"/>
  <c r="J708" i="2"/>
  <c r="I709" i="2"/>
  <c r="J709" i="2"/>
  <c r="I710" i="2"/>
  <c r="J710" i="2"/>
  <c r="I711" i="2"/>
  <c r="J711" i="2"/>
  <c r="I712" i="2"/>
  <c r="J712" i="2"/>
  <c r="I713" i="2"/>
  <c r="J713" i="2"/>
  <c r="I714" i="2"/>
  <c r="J714" i="2"/>
  <c r="I715" i="2"/>
  <c r="J715" i="2"/>
  <c r="I716" i="2"/>
  <c r="J716" i="2"/>
  <c r="I717" i="2"/>
  <c r="J717" i="2"/>
  <c r="I718" i="2"/>
  <c r="J718" i="2"/>
  <c r="I719" i="2"/>
  <c r="J719" i="2"/>
  <c r="I720" i="2"/>
  <c r="J720" i="2"/>
  <c r="I721" i="2"/>
  <c r="J721" i="2"/>
  <c r="I722" i="2"/>
  <c r="J722" i="2"/>
  <c r="I723" i="2"/>
  <c r="J723" i="2"/>
  <c r="I724" i="2"/>
  <c r="J724" i="2"/>
  <c r="I725" i="2"/>
  <c r="J725" i="2"/>
  <c r="I726" i="2"/>
  <c r="J726" i="2"/>
  <c r="I727" i="2"/>
  <c r="J727" i="2"/>
  <c r="I728" i="2"/>
  <c r="J728" i="2"/>
  <c r="I729" i="2"/>
  <c r="J729" i="2"/>
  <c r="I730" i="2"/>
  <c r="J730" i="2"/>
  <c r="I731" i="2"/>
  <c r="J731" i="2"/>
  <c r="I732" i="2"/>
  <c r="J732" i="2"/>
  <c r="I733" i="2"/>
  <c r="J733" i="2"/>
  <c r="I734" i="2"/>
  <c r="J734" i="2"/>
  <c r="I735" i="2"/>
  <c r="J735" i="2"/>
  <c r="I736" i="2"/>
  <c r="J736" i="2"/>
  <c r="I737" i="2"/>
  <c r="J737" i="2"/>
  <c r="I738" i="2"/>
  <c r="J738" i="2"/>
  <c r="I739" i="2"/>
  <c r="J739" i="2"/>
  <c r="I740" i="2"/>
  <c r="J740" i="2"/>
  <c r="I741" i="2"/>
  <c r="J741" i="2"/>
  <c r="I742" i="2"/>
  <c r="J742" i="2"/>
  <c r="I743" i="2"/>
  <c r="J743" i="2"/>
  <c r="I744" i="2"/>
  <c r="J744" i="2"/>
  <c r="I745" i="2"/>
  <c r="J745" i="2"/>
  <c r="I746" i="2"/>
  <c r="J746" i="2"/>
  <c r="I747" i="2"/>
  <c r="J747" i="2"/>
  <c r="I748" i="2"/>
  <c r="J748" i="2"/>
  <c r="I749" i="2"/>
  <c r="J749" i="2"/>
  <c r="I750" i="2"/>
  <c r="J750" i="2"/>
  <c r="I751" i="2"/>
  <c r="J751" i="2"/>
  <c r="I752" i="2"/>
  <c r="J752" i="2"/>
  <c r="I753" i="2"/>
  <c r="J753" i="2"/>
  <c r="I754" i="2"/>
  <c r="J754" i="2"/>
  <c r="I755" i="2"/>
  <c r="J755" i="2"/>
  <c r="I756" i="2"/>
  <c r="J756" i="2"/>
  <c r="I757" i="2"/>
  <c r="J757" i="2"/>
  <c r="I758" i="2"/>
  <c r="J758" i="2"/>
  <c r="I759" i="2"/>
  <c r="J759" i="2"/>
  <c r="I760" i="2"/>
  <c r="J760" i="2"/>
  <c r="I761" i="2"/>
  <c r="J761" i="2"/>
  <c r="I762" i="2"/>
  <c r="J762" i="2"/>
  <c r="I763" i="2"/>
  <c r="J763" i="2"/>
  <c r="I764" i="2"/>
  <c r="J764" i="2"/>
  <c r="I765" i="2"/>
  <c r="J765" i="2"/>
  <c r="I766" i="2"/>
  <c r="J766" i="2"/>
  <c r="I767" i="2"/>
  <c r="J767" i="2"/>
  <c r="I768" i="2"/>
  <c r="J768" i="2"/>
  <c r="I769" i="2"/>
  <c r="J769" i="2"/>
  <c r="I770" i="2"/>
  <c r="J770" i="2"/>
  <c r="I771" i="2"/>
  <c r="J771" i="2"/>
  <c r="I772" i="2"/>
  <c r="J772" i="2"/>
  <c r="I773" i="2"/>
  <c r="J773" i="2"/>
  <c r="I774" i="2"/>
  <c r="J774" i="2"/>
  <c r="I775" i="2"/>
  <c r="J775" i="2"/>
  <c r="I776" i="2"/>
  <c r="J776" i="2"/>
  <c r="I777" i="2"/>
  <c r="J777" i="2"/>
  <c r="I778" i="2"/>
  <c r="J778" i="2"/>
  <c r="I779" i="2"/>
  <c r="J779" i="2"/>
  <c r="I780" i="2"/>
  <c r="J780" i="2"/>
  <c r="I781" i="2"/>
  <c r="J781" i="2"/>
  <c r="I782" i="2"/>
  <c r="J782" i="2"/>
  <c r="I783" i="2"/>
  <c r="J783" i="2"/>
  <c r="I784" i="2"/>
  <c r="J784" i="2"/>
  <c r="I785" i="2"/>
  <c r="J785" i="2"/>
  <c r="I786" i="2"/>
  <c r="J786" i="2"/>
  <c r="I787" i="2"/>
  <c r="J787" i="2"/>
  <c r="I788" i="2"/>
  <c r="J788" i="2"/>
  <c r="I789" i="2"/>
  <c r="J789" i="2"/>
  <c r="I790" i="2"/>
  <c r="J790" i="2"/>
  <c r="I791" i="2"/>
  <c r="J791" i="2"/>
  <c r="I792" i="2"/>
  <c r="J792" i="2"/>
  <c r="I793" i="2"/>
  <c r="J793" i="2"/>
  <c r="I794" i="2"/>
  <c r="J794" i="2"/>
  <c r="I795" i="2"/>
  <c r="J795" i="2"/>
  <c r="I796" i="2"/>
  <c r="J796" i="2"/>
  <c r="I797" i="2"/>
  <c r="J797" i="2"/>
  <c r="I798" i="2"/>
  <c r="J798" i="2"/>
  <c r="I799" i="2"/>
  <c r="J799" i="2"/>
  <c r="I800" i="2"/>
  <c r="J800" i="2"/>
  <c r="I801" i="2"/>
  <c r="J801" i="2"/>
  <c r="I802" i="2"/>
  <c r="J802" i="2"/>
  <c r="I803" i="2"/>
  <c r="J803" i="2"/>
  <c r="I804" i="2"/>
  <c r="J804" i="2"/>
  <c r="I805" i="2"/>
  <c r="J805" i="2"/>
  <c r="I806" i="2"/>
  <c r="J806" i="2"/>
  <c r="I807" i="2"/>
  <c r="J807" i="2"/>
  <c r="I808" i="2"/>
  <c r="J808" i="2"/>
  <c r="I809" i="2"/>
  <c r="J809" i="2"/>
  <c r="I810" i="2"/>
  <c r="J810" i="2"/>
  <c r="I811" i="2"/>
  <c r="J811" i="2"/>
  <c r="I812" i="2"/>
  <c r="J812" i="2"/>
  <c r="I813" i="2"/>
  <c r="J813" i="2"/>
  <c r="I814" i="2"/>
  <c r="J814" i="2"/>
  <c r="I815" i="2"/>
  <c r="J815" i="2"/>
  <c r="I816" i="2"/>
  <c r="J816" i="2"/>
  <c r="I817" i="2"/>
  <c r="J817" i="2"/>
  <c r="I818" i="2"/>
  <c r="J818" i="2"/>
  <c r="I819" i="2"/>
  <c r="J819" i="2"/>
  <c r="I820" i="2"/>
  <c r="J820" i="2"/>
  <c r="I821" i="2"/>
  <c r="J821" i="2"/>
  <c r="I822" i="2"/>
  <c r="J822" i="2"/>
  <c r="I823" i="2"/>
  <c r="J823" i="2"/>
  <c r="I824" i="2"/>
  <c r="J824" i="2"/>
  <c r="I825" i="2"/>
  <c r="J825" i="2"/>
  <c r="I826" i="2"/>
  <c r="J826" i="2"/>
  <c r="I827" i="2"/>
  <c r="J827" i="2"/>
  <c r="I828" i="2"/>
  <c r="J828" i="2"/>
  <c r="I829" i="2"/>
  <c r="J829" i="2"/>
  <c r="I830" i="2"/>
  <c r="J830" i="2"/>
  <c r="I831" i="2"/>
  <c r="J831" i="2"/>
  <c r="I832" i="2"/>
  <c r="J832" i="2"/>
  <c r="I833" i="2"/>
  <c r="J833" i="2"/>
  <c r="I834" i="2"/>
  <c r="J834" i="2"/>
  <c r="I835" i="2"/>
  <c r="J835" i="2"/>
  <c r="I836" i="2"/>
  <c r="J836" i="2"/>
  <c r="I837" i="2"/>
  <c r="J837" i="2"/>
  <c r="I838" i="2"/>
  <c r="J838" i="2"/>
  <c r="I839" i="2"/>
  <c r="J839" i="2"/>
  <c r="I840" i="2"/>
  <c r="J840" i="2"/>
  <c r="I841" i="2"/>
  <c r="J841" i="2"/>
  <c r="I842" i="2"/>
  <c r="J842" i="2"/>
  <c r="I843" i="2"/>
  <c r="J843" i="2"/>
  <c r="I844" i="2"/>
  <c r="J844" i="2"/>
  <c r="I845" i="2"/>
  <c r="J845" i="2"/>
  <c r="I846" i="2"/>
  <c r="J846" i="2"/>
  <c r="I847" i="2"/>
  <c r="J847" i="2"/>
  <c r="I848" i="2"/>
  <c r="J848" i="2"/>
  <c r="I849" i="2"/>
  <c r="J849" i="2"/>
  <c r="I850" i="2"/>
  <c r="J850" i="2"/>
  <c r="I851" i="2"/>
  <c r="J851" i="2"/>
  <c r="I852" i="2"/>
  <c r="J852" i="2"/>
  <c r="I853" i="2"/>
  <c r="J853" i="2"/>
  <c r="I854" i="2"/>
  <c r="J854" i="2"/>
  <c r="I855" i="2"/>
  <c r="J855" i="2"/>
  <c r="I856" i="2"/>
  <c r="J856" i="2"/>
  <c r="I857" i="2"/>
  <c r="J857" i="2"/>
  <c r="I858" i="2"/>
  <c r="J858" i="2"/>
  <c r="I859" i="2"/>
  <c r="J859" i="2"/>
  <c r="I860" i="2"/>
  <c r="J860" i="2"/>
  <c r="I861" i="2"/>
  <c r="J861" i="2"/>
  <c r="I862" i="2"/>
  <c r="J862" i="2"/>
  <c r="I863" i="2"/>
  <c r="J863" i="2"/>
  <c r="I864" i="2"/>
  <c r="J864" i="2"/>
  <c r="I865" i="2"/>
  <c r="J865" i="2"/>
  <c r="I866" i="2"/>
  <c r="J866" i="2"/>
  <c r="I867" i="2"/>
  <c r="J867" i="2"/>
  <c r="I868" i="2"/>
  <c r="J868" i="2"/>
  <c r="I869" i="2"/>
  <c r="J869" i="2"/>
  <c r="I870" i="2"/>
  <c r="J870" i="2"/>
  <c r="I871" i="2"/>
  <c r="J871" i="2"/>
  <c r="I872" i="2"/>
  <c r="J872" i="2"/>
  <c r="I873" i="2"/>
  <c r="J873" i="2"/>
  <c r="I874" i="2"/>
  <c r="J874" i="2"/>
  <c r="I875" i="2"/>
  <c r="J875" i="2"/>
  <c r="I876" i="2"/>
  <c r="J876" i="2"/>
  <c r="I877" i="2"/>
  <c r="J877" i="2"/>
  <c r="I878" i="2"/>
  <c r="J878" i="2"/>
  <c r="I879" i="2"/>
  <c r="J879" i="2"/>
  <c r="I880" i="2"/>
  <c r="J880" i="2"/>
  <c r="I881" i="2"/>
  <c r="J881" i="2"/>
  <c r="I882" i="2"/>
  <c r="J882" i="2"/>
  <c r="I883" i="2"/>
  <c r="J883" i="2"/>
  <c r="I884" i="2"/>
  <c r="J884" i="2"/>
  <c r="I885" i="2"/>
  <c r="J885" i="2"/>
  <c r="I886" i="2"/>
  <c r="J886" i="2"/>
  <c r="I887" i="2"/>
  <c r="J887" i="2"/>
  <c r="I888" i="2"/>
  <c r="J888" i="2"/>
  <c r="I889" i="2"/>
  <c r="J889" i="2"/>
  <c r="I890" i="2"/>
  <c r="J890" i="2"/>
  <c r="I891" i="2"/>
  <c r="J891" i="2"/>
  <c r="I892" i="2"/>
  <c r="J892" i="2"/>
  <c r="I893" i="2"/>
  <c r="J893" i="2"/>
  <c r="I894" i="2"/>
  <c r="J894" i="2"/>
  <c r="I895" i="2"/>
  <c r="J895" i="2"/>
  <c r="I896" i="2"/>
  <c r="J896" i="2"/>
  <c r="I897" i="2"/>
  <c r="J897" i="2"/>
  <c r="I898" i="2"/>
  <c r="J898" i="2"/>
  <c r="I899" i="2"/>
  <c r="J899" i="2"/>
  <c r="I900" i="2"/>
  <c r="J900" i="2"/>
  <c r="I901" i="2"/>
  <c r="J901" i="2"/>
  <c r="I902" i="2"/>
  <c r="J902" i="2"/>
  <c r="I903" i="2"/>
  <c r="J903" i="2"/>
  <c r="I904" i="2"/>
  <c r="J904" i="2"/>
  <c r="I905" i="2"/>
  <c r="J905" i="2"/>
  <c r="I906" i="2"/>
  <c r="J906" i="2"/>
  <c r="I907" i="2"/>
  <c r="J907" i="2"/>
  <c r="I908" i="2"/>
  <c r="J908" i="2"/>
  <c r="I909" i="2"/>
  <c r="J909" i="2"/>
  <c r="I910" i="2"/>
  <c r="J910" i="2"/>
  <c r="I911" i="2"/>
  <c r="J911" i="2"/>
  <c r="I912" i="2"/>
  <c r="J912" i="2"/>
  <c r="I913" i="2"/>
  <c r="J913" i="2"/>
  <c r="I914" i="2"/>
  <c r="J914" i="2"/>
  <c r="I915" i="2"/>
  <c r="J915" i="2"/>
  <c r="I916" i="2"/>
  <c r="J916" i="2"/>
  <c r="I917" i="2"/>
  <c r="J917" i="2"/>
  <c r="I918" i="2"/>
  <c r="J918" i="2"/>
  <c r="I919" i="2"/>
  <c r="J919" i="2"/>
  <c r="I920" i="2"/>
  <c r="J920" i="2"/>
  <c r="I921" i="2"/>
  <c r="J921" i="2"/>
  <c r="I922" i="2"/>
  <c r="J922" i="2"/>
  <c r="I923" i="2"/>
  <c r="J923" i="2"/>
  <c r="I924" i="2"/>
  <c r="J924" i="2"/>
  <c r="I925" i="2"/>
  <c r="J925" i="2"/>
  <c r="I926" i="2"/>
  <c r="J926" i="2"/>
  <c r="I927" i="2"/>
  <c r="J927" i="2"/>
  <c r="I928" i="2"/>
  <c r="J928" i="2"/>
  <c r="I929" i="2"/>
  <c r="J929" i="2"/>
  <c r="I930" i="2"/>
  <c r="J930" i="2"/>
  <c r="I931" i="2"/>
  <c r="J931" i="2"/>
  <c r="I932" i="2"/>
  <c r="J932" i="2"/>
  <c r="I933" i="2"/>
  <c r="J933" i="2"/>
  <c r="I934" i="2"/>
  <c r="J934" i="2"/>
  <c r="I935" i="2"/>
  <c r="J935" i="2"/>
  <c r="I936" i="2"/>
  <c r="J936" i="2"/>
  <c r="I937" i="2"/>
  <c r="J937" i="2"/>
  <c r="I938" i="2"/>
  <c r="J938" i="2"/>
  <c r="I939" i="2"/>
  <c r="J939" i="2"/>
  <c r="I940" i="2"/>
  <c r="J940" i="2"/>
  <c r="I941" i="2"/>
  <c r="J941" i="2"/>
  <c r="I942" i="2"/>
  <c r="J942" i="2"/>
  <c r="I943" i="2"/>
  <c r="J943" i="2"/>
  <c r="I944" i="2"/>
  <c r="J944" i="2"/>
  <c r="I945" i="2"/>
  <c r="J945" i="2"/>
  <c r="I946" i="2"/>
  <c r="J946" i="2"/>
  <c r="I947" i="2"/>
  <c r="J947" i="2"/>
  <c r="I948" i="2"/>
  <c r="J948" i="2"/>
  <c r="I949" i="2"/>
  <c r="J949" i="2"/>
  <c r="I950" i="2"/>
  <c r="J950" i="2"/>
  <c r="I951" i="2"/>
  <c r="J951" i="2"/>
  <c r="I952" i="2"/>
  <c r="J952" i="2"/>
  <c r="I953" i="2"/>
  <c r="J953" i="2"/>
  <c r="I954" i="2"/>
  <c r="J954" i="2"/>
  <c r="I955" i="2"/>
  <c r="J955" i="2"/>
  <c r="I956" i="2"/>
  <c r="J956" i="2"/>
  <c r="I957" i="2"/>
  <c r="J957" i="2"/>
  <c r="I958" i="2"/>
  <c r="J958" i="2"/>
  <c r="I959" i="2"/>
  <c r="J959" i="2"/>
  <c r="I960" i="2"/>
  <c r="J960" i="2"/>
  <c r="I961" i="2"/>
  <c r="J961" i="2"/>
  <c r="I962" i="2"/>
  <c r="J962" i="2"/>
  <c r="I963" i="2"/>
  <c r="J963" i="2"/>
  <c r="I964" i="2"/>
  <c r="J964" i="2"/>
  <c r="I965" i="2"/>
  <c r="J965" i="2"/>
  <c r="I966" i="2"/>
  <c r="J966" i="2"/>
  <c r="I967" i="2"/>
  <c r="J967" i="2"/>
  <c r="I968" i="2"/>
  <c r="J968" i="2"/>
  <c r="I969" i="2"/>
  <c r="J969" i="2"/>
  <c r="I970" i="2"/>
  <c r="J970" i="2"/>
  <c r="I971" i="2"/>
  <c r="J971" i="2"/>
  <c r="I972" i="2"/>
  <c r="J972" i="2"/>
  <c r="I973" i="2"/>
  <c r="J973" i="2"/>
  <c r="I974" i="2"/>
  <c r="J974" i="2"/>
  <c r="I975" i="2"/>
  <c r="J975" i="2"/>
  <c r="I976" i="2"/>
  <c r="J976" i="2"/>
  <c r="I977" i="2"/>
  <c r="J977" i="2"/>
  <c r="I978" i="2"/>
  <c r="J978" i="2"/>
  <c r="I979" i="2"/>
  <c r="J979" i="2"/>
  <c r="I980" i="2"/>
  <c r="J980" i="2"/>
  <c r="I981" i="2"/>
  <c r="J981" i="2"/>
  <c r="I982" i="2"/>
  <c r="J982" i="2"/>
  <c r="I983" i="2"/>
  <c r="J983" i="2"/>
  <c r="I984" i="2"/>
  <c r="J984" i="2"/>
  <c r="I985" i="2"/>
  <c r="J985" i="2"/>
  <c r="I986" i="2"/>
  <c r="J986" i="2"/>
  <c r="I987" i="2"/>
  <c r="J987" i="2"/>
  <c r="I988" i="2"/>
  <c r="J988" i="2"/>
  <c r="I989" i="2"/>
  <c r="J989" i="2"/>
  <c r="I990" i="2"/>
  <c r="J990" i="2"/>
  <c r="I991" i="2"/>
  <c r="J991" i="2"/>
  <c r="I992" i="2"/>
  <c r="J992" i="2"/>
  <c r="I993" i="2"/>
  <c r="J993" i="2"/>
  <c r="I994" i="2"/>
  <c r="J994" i="2"/>
  <c r="I995" i="2"/>
  <c r="J995" i="2"/>
  <c r="I996" i="2"/>
  <c r="J996" i="2"/>
  <c r="I997" i="2"/>
  <c r="J997" i="2"/>
  <c r="I998" i="2"/>
  <c r="J998" i="2"/>
  <c r="I999" i="2"/>
  <c r="J999" i="2"/>
  <c r="I1000" i="2"/>
  <c r="J1000" i="2"/>
  <c r="I1001" i="2"/>
  <c r="J1001" i="2"/>
  <c r="I1002" i="2"/>
  <c r="J1002" i="2"/>
  <c r="I1003" i="2"/>
  <c r="J1003" i="2"/>
  <c r="I1004" i="2"/>
  <c r="J1004" i="2"/>
  <c r="I1005" i="2"/>
  <c r="J1005" i="2"/>
  <c r="C1006" i="2"/>
  <c r="I1006" i="2"/>
  <c r="J1006" i="2"/>
  <c r="I1007" i="2"/>
  <c r="J1007" i="2"/>
  <c r="I1008" i="2"/>
  <c r="J1008" i="2"/>
  <c r="I1009" i="2"/>
  <c r="J1009" i="2"/>
  <c r="I1010" i="2"/>
  <c r="J1010" i="2"/>
  <c r="I1011" i="2"/>
  <c r="J1011" i="2"/>
  <c r="I1012" i="2"/>
  <c r="J1012" i="2"/>
  <c r="I1013" i="2"/>
  <c r="J1013" i="2"/>
  <c r="I1014" i="2"/>
  <c r="J1014" i="2"/>
  <c r="I1015" i="2"/>
  <c r="J1015" i="2"/>
  <c r="I1016" i="2"/>
  <c r="J1016" i="2"/>
  <c r="C1017" i="2"/>
  <c r="I1017" i="2"/>
  <c r="J1017" i="2"/>
  <c r="C1018" i="2"/>
  <c r="I1018" i="2"/>
  <c r="J1018" i="2"/>
  <c r="C1019" i="2"/>
  <c r="I1019" i="2"/>
  <c r="J1019" i="2"/>
  <c r="I1020" i="2"/>
  <c r="J1020" i="2"/>
  <c r="I1021" i="2"/>
  <c r="J1021" i="2"/>
  <c r="C1022" i="2"/>
  <c r="I1022" i="2"/>
  <c r="J1022" i="2"/>
  <c r="I1023" i="2"/>
  <c r="J1023" i="2"/>
  <c r="I1024" i="2"/>
  <c r="J1024" i="2"/>
  <c r="I1025" i="2"/>
  <c r="J1025" i="2"/>
  <c r="I1026" i="2"/>
  <c r="J1026" i="2"/>
  <c r="I1027" i="2"/>
  <c r="J1027" i="2"/>
  <c r="I1028" i="2"/>
  <c r="J1028" i="2"/>
  <c r="I1029" i="2"/>
  <c r="J1029" i="2"/>
  <c r="I1030" i="2"/>
  <c r="J1030" i="2"/>
  <c r="I1031" i="2"/>
  <c r="J1031" i="2"/>
  <c r="I1032" i="2"/>
  <c r="J1032" i="2"/>
  <c r="I1033" i="2"/>
  <c r="J1033" i="2"/>
  <c r="I1034" i="2"/>
  <c r="J1034" i="2"/>
  <c r="I1035" i="2"/>
  <c r="J1035" i="2"/>
  <c r="I1036" i="2"/>
  <c r="J1036" i="2"/>
  <c r="I1037" i="2"/>
  <c r="J1037" i="2"/>
  <c r="I1038" i="2"/>
  <c r="J1038" i="2"/>
  <c r="I1039" i="2"/>
  <c r="J1039" i="2"/>
  <c r="I1040" i="2"/>
  <c r="J1040" i="2"/>
  <c r="I1041" i="2"/>
  <c r="J1041" i="2"/>
  <c r="I1042" i="2"/>
  <c r="J1042" i="2"/>
  <c r="I1043" i="2"/>
  <c r="J1043" i="2"/>
  <c r="I1044" i="2"/>
  <c r="J1044" i="2"/>
  <c r="I1045" i="2"/>
  <c r="J1045" i="2"/>
  <c r="I1046" i="2"/>
  <c r="J1046" i="2"/>
  <c r="I1047" i="2"/>
  <c r="J1047" i="2"/>
  <c r="I1048" i="2"/>
  <c r="J1048" i="2"/>
  <c r="I1049" i="2"/>
  <c r="J1049" i="2"/>
  <c r="I1050" i="2"/>
  <c r="J1050" i="2"/>
  <c r="I1051" i="2"/>
  <c r="J1051" i="2"/>
  <c r="I1052" i="2"/>
  <c r="J1052" i="2"/>
  <c r="I1053" i="2"/>
  <c r="J1053" i="2"/>
  <c r="I1054" i="2"/>
  <c r="J1054" i="2"/>
  <c r="I1055" i="2"/>
  <c r="J1055" i="2"/>
  <c r="I1056" i="2"/>
  <c r="J1056" i="2"/>
  <c r="I1057" i="2"/>
  <c r="J1057" i="2"/>
  <c r="I1058" i="2"/>
  <c r="J1058" i="2"/>
  <c r="I1059" i="2"/>
  <c r="J1059" i="2"/>
  <c r="I1060" i="2"/>
  <c r="J1060" i="2"/>
  <c r="I1061" i="2"/>
  <c r="J1061" i="2"/>
  <c r="I1062" i="2"/>
  <c r="J1062" i="2"/>
  <c r="I1063" i="2"/>
  <c r="J1063" i="2"/>
  <c r="I1064" i="2"/>
  <c r="J1064" i="2"/>
  <c r="I1065" i="2"/>
  <c r="J1065" i="2"/>
  <c r="I1066" i="2"/>
  <c r="J1066" i="2"/>
  <c r="I1067" i="2"/>
  <c r="J1067" i="2"/>
  <c r="I1068" i="2"/>
  <c r="J1068" i="2"/>
  <c r="I1069" i="2"/>
  <c r="J1069" i="2"/>
  <c r="C1070" i="2"/>
  <c r="I1070" i="2"/>
  <c r="J1070" i="2"/>
  <c r="I1071" i="2"/>
  <c r="J1071" i="2"/>
  <c r="I1072" i="2"/>
  <c r="J1072" i="2"/>
  <c r="I1073" i="2"/>
  <c r="J1073" i="2"/>
  <c r="I1074" i="2"/>
  <c r="J1074" i="2"/>
  <c r="I1075" i="2"/>
  <c r="J1075" i="2"/>
  <c r="I1076" i="2"/>
  <c r="J1076" i="2"/>
  <c r="I1077" i="2"/>
  <c r="J1077" i="2"/>
  <c r="I1078" i="2"/>
  <c r="J1078" i="2"/>
  <c r="I1079" i="2"/>
  <c r="J1079" i="2"/>
  <c r="I1080" i="2"/>
  <c r="J1080" i="2"/>
  <c r="I1081" i="2"/>
  <c r="J1081" i="2"/>
  <c r="I1082" i="2"/>
  <c r="J1082" i="2"/>
  <c r="I1083" i="2"/>
  <c r="J1083" i="2"/>
  <c r="I1084" i="2"/>
  <c r="J1084" i="2"/>
  <c r="C1085" i="2"/>
  <c r="I1085" i="2"/>
  <c r="J1085" i="2"/>
  <c r="I1086" i="2"/>
  <c r="J1086" i="2"/>
  <c r="I1087" i="2"/>
  <c r="J1087" i="2"/>
  <c r="I1088" i="2"/>
  <c r="J1088" i="2"/>
  <c r="I1089" i="2"/>
  <c r="J1089" i="2"/>
  <c r="I1090" i="2"/>
  <c r="J1090" i="2"/>
  <c r="I1091" i="2"/>
  <c r="J1091" i="2"/>
  <c r="I1092" i="2"/>
  <c r="J1092" i="2"/>
  <c r="I1093" i="2"/>
  <c r="J1093" i="2"/>
  <c r="I1094" i="2"/>
  <c r="J1094" i="2"/>
  <c r="I1095" i="2"/>
  <c r="J1095" i="2"/>
  <c r="I1096" i="2"/>
  <c r="J1096" i="2"/>
  <c r="I1097" i="2"/>
  <c r="J1097" i="2"/>
  <c r="I1098" i="2"/>
  <c r="J1098" i="2"/>
  <c r="I1099" i="2"/>
  <c r="J1099" i="2"/>
  <c r="I1100" i="2"/>
  <c r="J1100" i="2"/>
  <c r="I1101" i="2"/>
  <c r="J1101" i="2"/>
  <c r="I1102" i="2"/>
  <c r="J1102" i="2"/>
  <c r="I1103" i="2"/>
  <c r="J1103" i="2"/>
  <c r="I1104" i="2"/>
  <c r="J1104" i="2"/>
  <c r="I1105" i="2"/>
  <c r="J1105" i="2"/>
  <c r="I1106" i="2"/>
  <c r="J1106" i="2"/>
  <c r="I1107" i="2"/>
  <c r="J1107" i="2"/>
  <c r="I1108" i="2"/>
  <c r="J1108" i="2"/>
  <c r="I1109" i="2"/>
  <c r="J1109" i="2"/>
  <c r="I1110" i="2"/>
  <c r="J1110" i="2"/>
  <c r="I1111" i="2"/>
  <c r="J1111" i="2"/>
  <c r="I1112" i="2"/>
  <c r="J1112" i="2"/>
  <c r="I1113" i="2"/>
  <c r="J1113" i="2"/>
  <c r="I1114" i="2"/>
  <c r="J1114" i="2"/>
  <c r="I1115" i="2"/>
  <c r="J1115" i="2"/>
  <c r="I1116" i="2"/>
  <c r="J1116" i="2"/>
  <c r="I1117" i="2"/>
  <c r="J1117" i="2"/>
  <c r="I1118" i="2"/>
  <c r="J1118" i="2"/>
  <c r="I1119" i="2"/>
  <c r="J1119" i="2"/>
  <c r="I1120" i="2"/>
  <c r="J1120" i="2"/>
  <c r="I1121" i="2"/>
  <c r="J1121" i="2"/>
  <c r="I1122" i="2"/>
  <c r="J1122" i="2"/>
  <c r="I1123" i="2"/>
  <c r="J1123" i="2"/>
  <c r="I1124" i="2"/>
  <c r="J1124" i="2"/>
  <c r="I1125" i="2"/>
  <c r="J1125" i="2"/>
  <c r="I1126" i="2"/>
  <c r="J1126" i="2"/>
  <c r="I1127" i="2"/>
  <c r="J1127" i="2"/>
  <c r="I1128" i="2"/>
  <c r="J1128" i="2"/>
  <c r="I1129" i="2"/>
  <c r="J1129" i="2"/>
  <c r="I1130" i="2"/>
  <c r="J1130" i="2"/>
  <c r="I1131" i="2"/>
  <c r="J1131" i="2"/>
  <c r="I1132" i="2"/>
  <c r="J1132" i="2"/>
  <c r="I1133" i="2"/>
  <c r="J1133" i="2"/>
  <c r="I1134" i="2"/>
  <c r="J1134" i="2"/>
  <c r="I1135" i="2"/>
  <c r="J1135" i="2"/>
  <c r="I1136" i="2"/>
  <c r="J1136" i="2"/>
  <c r="I1137" i="2"/>
  <c r="J1137" i="2"/>
  <c r="I1138" i="2"/>
  <c r="J1138" i="2"/>
  <c r="I1139" i="2"/>
  <c r="J1139" i="2"/>
  <c r="I1140" i="2"/>
  <c r="J1140" i="2"/>
  <c r="I1141" i="2"/>
  <c r="J1141" i="2"/>
  <c r="I1142" i="2"/>
  <c r="J1142" i="2"/>
  <c r="I1143" i="2"/>
  <c r="J1143" i="2"/>
  <c r="I1144" i="2"/>
  <c r="J1144" i="2"/>
  <c r="I1145" i="2"/>
  <c r="J1145" i="2"/>
  <c r="I1146" i="2"/>
  <c r="J1146" i="2"/>
  <c r="I1147" i="2"/>
  <c r="J1147" i="2"/>
  <c r="I1148" i="2"/>
  <c r="J1148" i="2"/>
  <c r="I1149" i="2"/>
  <c r="J1149" i="2"/>
  <c r="I1150" i="2"/>
  <c r="J1150" i="2"/>
  <c r="I1151" i="2"/>
  <c r="J1151" i="2"/>
  <c r="I1152" i="2"/>
  <c r="J1152" i="2"/>
  <c r="I1153" i="2"/>
  <c r="J1153" i="2"/>
  <c r="I1154" i="2"/>
  <c r="J1154" i="2"/>
  <c r="I1155" i="2"/>
  <c r="J1155" i="2"/>
  <c r="I1156" i="2"/>
  <c r="J1156" i="2"/>
  <c r="I1157" i="2"/>
  <c r="J1157" i="2"/>
  <c r="I1158" i="2"/>
  <c r="J1158" i="2"/>
  <c r="I1159" i="2"/>
  <c r="J1159" i="2"/>
  <c r="I1160" i="2"/>
  <c r="J1160" i="2"/>
  <c r="I1161" i="2"/>
  <c r="J1161" i="2"/>
  <c r="I1162" i="2"/>
  <c r="J1162" i="2"/>
  <c r="I1163" i="2"/>
  <c r="J1163" i="2"/>
  <c r="I1164" i="2"/>
  <c r="J1164" i="2"/>
  <c r="I1165" i="2"/>
  <c r="J1165" i="2"/>
  <c r="I1166" i="2"/>
  <c r="J1166" i="2"/>
  <c r="I1167" i="2"/>
  <c r="J1167" i="2"/>
  <c r="I1168" i="2"/>
  <c r="J1168" i="2"/>
  <c r="I1169" i="2"/>
  <c r="J1169" i="2"/>
  <c r="I1170" i="2"/>
  <c r="J1170" i="2"/>
  <c r="I1171" i="2"/>
  <c r="J1171" i="2"/>
  <c r="I1172" i="2"/>
  <c r="J1172" i="2"/>
  <c r="I1173" i="2"/>
  <c r="J1173" i="2"/>
  <c r="I1174" i="2"/>
  <c r="J1174" i="2"/>
  <c r="I1175" i="2"/>
  <c r="J1175" i="2"/>
  <c r="I1176" i="2"/>
  <c r="J1176" i="2"/>
  <c r="I1177" i="2"/>
  <c r="J1177" i="2"/>
  <c r="I1178" i="2"/>
  <c r="J1178" i="2"/>
  <c r="I1179" i="2"/>
  <c r="J1179" i="2"/>
  <c r="I1180" i="2"/>
  <c r="J1180" i="2"/>
  <c r="I1181" i="2"/>
  <c r="J1181" i="2"/>
  <c r="I1182" i="2"/>
  <c r="J1182" i="2"/>
  <c r="I1183" i="2"/>
  <c r="J1183" i="2"/>
  <c r="I1184" i="2"/>
  <c r="J1184" i="2"/>
  <c r="I1185" i="2"/>
  <c r="J1185" i="2"/>
  <c r="I1186" i="2"/>
  <c r="J1186" i="2"/>
  <c r="I1187" i="2"/>
  <c r="J1187" i="2"/>
  <c r="I1188" i="2"/>
  <c r="J1188" i="2"/>
  <c r="I1189" i="2"/>
  <c r="J1189" i="2"/>
  <c r="I1190" i="2"/>
  <c r="J1190" i="2"/>
  <c r="I1191" i="2"/>
  <c r="J1191" i="2"/>
  <c r="I1192" i="2"/>
  <c r="J1192" i="2"/>
  <c r="I1193" i="2"/>
  <c r="J1193" i="2"/>
  <c r="I1194" i="2"/>
  <c r="J1194" i="2"/>
  <c r="I1195" i="2"/>
  <c r="J1195" i="2"/>
  <c r="I1196" i="2"/>
  <c r="J1196" i="2"/>
  <c r="I1197" i="2"/>
  <c r="J1197" i="2"/>
  <c r="I1198" i="2"/>
  <c r="J1198" i="2"/>
  <c r="I1199" i="2"/>
  <c r="J1199" i="2"/>
  <c r="I1200" i="2"/>
  <c r="J1200" i="2"/>
  <c r="I1201" i="2"/>
  <c r="J1201" i="2"/>
  <c r="I1202" i="2"/>
  <c r="J1202" i="2"/>
  <c r="I1203" i="2"/>
  <c r="J1203" i="2"/>
  <c r="I1204" i="2"/>
  <c r="J1204" i="2"/>
  <c r="I1205" i="2"/>
  <c r="J1205" i="2"/>
  <c r="I1206" i="2"/>
  <c r="J1206" i="2"/>
  <c r="I1207" i="2"/>
  <c r="J1207" i="2"/>
  <c r="I1208" i="2"/>
  <c r="J1208" i="2"/>
  <c r="I1209" i="2"/>
  <c r="J1209" i="2"/>
  <c r="I1210" i="2"/>
  <c r="J1210" i="2"/>
  <c r="I1211" i="2"/>
  <c r="J1211" i="2"/>
  <c r="I1212" i="2"/>
  <c r="J1212" i="2"/>
  <c r="I1213" i="2"/>
  <c r="J1213" i="2"/>
  <c r="I1214" i="2"/>
  <c r="J1214" i="2"/>
  <c r="I1215" i="2"/>
  <c r="J1215" i="2"/>
  <c r="I1216" i="2"/>
  <c r="J1216" i="2"/>
  <c r="I1217" i="2"/>
  <c r="J1217" i="2"/>
  <c r="I1218" i="2"/>
  <c r="J1218" i="2"/>
  <c r="I1219" i="2"/>
  <c r="J1219" i="2"/>
  <c r="I1220" i="2"/>
  <c r="J1220" i="2"/>
  <c r="I1221" i="2"/>
  <c r="J1221" i="2"/>
  <c r="I1222" i="2"/>
  <c r="J1222" i="2"/>
  <c r="I1223" i="2"/>
  <c r="J1223" i="2"/>
  <c r="I1224" i="2"/>
  <c r="J1224" i="2"/>
  <c r="C1225" i="2"/>
  <c r="I1225" i="2"/>
  <c r="J1225" i="2"/>
  <c r="I1226" i="2"/>
  <c r="J1226" i="2"/>
  <c r="I1227" i="2"/>
  <c r="J1227" i="2"/>
  <c r="I1228" i="2"/>
  <c r="J1228" i="2"/>
  <c r="I1229" i="2"/>
  <c r="J1229" i="2"/>
  <c r="I1230" i="2"/>
  <c r="J1230" i="2"/>
  <c r="C1231" i="2"/>
  <c r="I1231" i="2"/>
  <c r="J1231" i="2"/>
  <c r="C1232" i="2"/>
  <c r="I1232" i="2"/>
  <c r="J1232" i="2"/>
  <c r="C1233" i="2"/>
  <c r="I1233" i="2"/>
  <c r="J1233" i="2"/>
  <c r="C1234" i="2"/>
  <c r="I1234" i="2"/>
  <c r="J1234" i="2"/>
  <c r="C1235" i="2"/>
  <c r="I1235" i="2"/>
  <c r="J1235" i="2"/>
  <c r="C1236" i="2"/>
  <c r="I1236" i="2"/>
  <c r="J1236" i="2"/>
  <c r="C1237" i="2"/>
  <c r="I1237" i="2"/>
  <c r="J1237" i="2"/>
  <c r="I1238" i="2"/>
  <c r="J1238" i="2"/>
  <c r="C1239" i="2"/>
  <c r="I1239" i="2"/>
  <c r="J1239" i="2"/>
  <c r="C1240" i="2"/>
  <c r="I1240" i="2"/>
  <c r="J1240" i="2"/>
  <c r="C1241" i="2"/>
  <c r="I1241" i="2"/>
  <c r="J1241" i="2"/>
  <c r="C1242" i="2"/>
  <c r="I1242" i="2"/>
  <c r="J1242" i="2"/>
  <c r="I1243" i="2"/>
  <c r="J1243" i="2"/>
  <c r="C1244" i="2"/>
  <c r="I1244" i="2"/>
  <c r="J1244" i="2"/>
  <c r="C1245" i="2"/>
  <c r="I1245" i="2"/>
  <c r="J1245" i="2"/>
  <c r="C1246" i="2"/>
  <c r="I1246" i="2"/>
  <c r="J1246" i="2"/>
  <c r="C1247" i="2"/>
  <c r="I1247" i="2"/>
  <c r="J1247" i="2"/>
  <c r="C1248" i="2"/>
  <c r="I1248" i="2"/>
  <c r="J1248" i="2"/>
  <c r="I1249" i="2"/>
  <c r="J1249" i="2"/>
  <c r="I1250" i="2"/>
  <c r="J1250" i="2"/>
  <c r="C1251" i="2"/>
  <c r="I1251" i="2"/>
  <c r="J1251" i="2"/>
  <c r="C1252" i="2"/>
  <c r="I1252" i="2"/>
  <c r="J1252" i="2"/>
  <c r="C1253" i="2"/>
  <c r="I1253" i="2"/>
  <c r="J1253" i="2"/>
  <c r="I1254" i="2"/>
  <c r="J1254" i="2"/>
  <c r="C1255" i="2"/>
  <c r="I1255" i="2"/>
  <c r="J1255" i="2"/>
  <c r="I1256" i="2"/>
  <c r="J1256" i="2"/>
  <c r="I1257" i="2"/>
  <c r="J1257" i="2"/>
  <c r="I1258" i="2"/>
  <c r="J1258" i="2"/>
  <c r="I1259" i="2"/>
  <c r="J1259" i="2"/>
  <c r="I1260" i="2"/>
  <c r="J1260" i="2"/>
  <c r="C1261" i="2"/>
  <c r="I1261" i="2"/>
  <c r="J1261" i="2"/>
  <c r="C1262" i="2"/>
  <c r="I1262" i="2"/>
  <c r="J1262" i="2"/>
  <c r="I1263" i="2"/>
  <c r="J1263" i="2"/>
  <c r="C1264" i="2"/>
  <c r="I1264" i="2"/>
  <c r="J1264" i="2"/>
  <c r="C1265" i="2"/>
  <c r="I1265" i="2"/>
  <c r="J1265" i="2"/>
  <c r="I1266" i="2"/>
  <c r="J1266" i="2"/>
  <c r="C1267" i="2"/>
  <c r="I1267" i="2"/>
  <c r="J1267" i="2"/>
  <c r="C1268" i="2"/>
  <c r="I1268" i="2"/>
  <c r="J1268" i="2"/>
  <c r="C1269" i="2"/>
  <c r="I1269" i="2"/>
  <c r="J1269" i="2"/>
  <c r="I1270" i="2"/>
  <c r="J1270" i="2"/>
  <c r="C1271" i="2"/>
  <c r="I1271" i="2"/>
  <c r="J1271" i="2"/>
  <c r="C1272" i="2"/>
  <c r="I1272" i="2"/>
  <c r="J1272" i="2"/>
  <c r="C1273" i="2"/>
  <c r="I1273" i="2"/>
  <c r="J1273" i="2"/>
  <c r="C1274" i="2"/>
  <c r="I1274" i="2"/>
  <c r="J1274" i="2"/>
  <c r="C1275" i="2"/>
  <c r="I1275" i="2"/>
  <c r="J1275" i="2"/>
  <c r="I1276" i="2"/>
  <c r="J1276" i="2"/>
  <c r="C1277" i="2"/>
  <c r="I1277" i="2"/>
  <c r="J1277" i="2"/>
  <c r="I1278" i="2"/>
  <c r="J1278" i="2"/>
  <c r="C1279" i="2"/>
  <c r="I1279" i="2"/>
  <c r="J1279" i="2"/>
  <c r="C1280" i="2"/>
  <c r="I1280" i="2"/>
  <c r="J1280" i="2"/>
  <c r="C1281" i="2"/>
  <c r="I1281" i="2"/>
  <c r="J1281" i="2"/>
  <c r="I1282" i="2"/>
  <c r="J1282" i="2"/>
  <c r="C1283" i="2"/>
  <c r="I1283" i="2"/>
  <c r="J1283" i="2"/>
  <c r="C1284" i="2"/>
  <c r="I1284" i="2"/>
  <c r="J1284" i="2"/>
  <c r="I1285" i="2"/>
  <c r="J1285" i="2"/>
  <c r="I1286" i="2"/>
  <c r="J1286" i="2"/>
  <c r="C1287" i="2"/>
  <c r="I1287" i="2"/>
  <c r="J1287" i="2"/>
  <c r="C1288" i="2"/>
  <c r="I1288" i="2"/>
  <c r="J1288" i="2"/>
  <c r="C1289" i="2"/>
  <c r="I1289" i="2"/>
  <c r="J1289" i="2"/>
  <c r="C1290" i="2"/>
  <c r="I1290" i="2"/>
  <c r="J1290" i="2"/>
  <c r="C1291" i="2"/>
  <c r="I1291" i="2"/>
  <c r="J1291" i="2"/>
  <c r="C1292" i="2"/>
  <c r="I1292" i="2"/>
  <c r="J1292" i="2"/>
  <c r="C1293" i="2"/>
  <c r="I1293" i="2"/>
  <c r="J1293" i="2"/>
  <c r="C1294" i="2"/>
  <c r="I1294" i="2"/>
  <c r="J1294" i="2"/>
  <c r="C1295" i="2"/>
  <c r="I1295" i="2"/>
  <c r="J1295" i="2"/>
  <c r="C1296" i="2"/>
  <c r="I1296" i="2"/>
  <c r="J1296" i="2"/>
  <c r="C1297" i="2"/>
  <c r="I1297" i="2"/>
  <c r="J1297" i="2"/>
  <c r="I1298" i="2"/>
  <c r="J1298" i="2"/>
  <c r="I1299" i="2"/>
  <c r="J1299" i="2"/>
  <c r="C1300" i="2"/>
  <c r="I1300" i="2"/>
  <c r="J1300" i="2"/>
  <c r="C1301" i="2"/>
  <c r="I1301" i="2"/>
  <c r="J1301" i="2"/>
  <c r="C1302" i="2"/>
  <c r="I1302" i="2"/>
  <c r="J1302" i="2"/>
  <c r="C1303" i="2"/>
  <c r="I1303" i="2"/>
  <c r="J1303" i="2"/>
  <c r="I1304" i="2"/>
  <c r="J1304" i="2"/>
  <c r="I1305" i="2"/>
  <c r="J1305" i="2"/>
  <c r="I1306" i="2"/>
  <c r="J1306" i="2"/>
  <c r="I1307" i="2"/>
  <c r="J1307" i="2"/>
  <c r="I1308" i="2"/>
  <c r="J1308" i="2"/>
  <c r="C1309" i="2"/>
  <c r="I1309" i="2"/>
  <c r="J1309" i="2"/>
  <c r="C1310" i="2"/>
  <c r="I1310" i="2"/>
  <c r="J1310" i="2"/>
  <c r="C1311" i="2"/>
  <c r="I1311" i="2"/>
  <c r="J1311" i="2"/>
  <c r="C1312" i="2"/>
  <c r="I1312" i="2"/>
  <c r="J1312" i="2"/>
  <c r="I1313" i="2"/>
  <c r="J1313" i="2"/>
  <c r="C1314" i="2"/>
  <c r="I1314" i="2"/>
  <c r="J1314" i="2"/>
  <c r="C1315" i="2"/>
  <c r="I1315" i="2"/>
  <c r="J1315" i="2"/>
  <c r="I1316" i="2"/>
  <c r="J1316" i="2"/>
  <c r="I1317" i="2"/>
  <c r="J1317" i="2"/>
  <c r="C1318" i="2"/>
  <c r="I1318" i="2"/>
  <c r="J1318" i="2"/>
  <c r="C1319" i="2"/>
  <c r="I1319" i="2"/>
  <c r="J1319" i="2"/>
  <c r="C1320" i="2"/>
  <c r="I1320" i="2"/>
  <c r="J1320" i="2"/>
  <c r="C1321" i="2"/>
  <c r="I1321" i="2"/>
  <c r="J1321" i="2"/>
  <c r="C1322" i="2"/>
  <c r="I1322" i="2"/>
  <c r="J1322" i="2"/>
  <c r="C1323" i="2"/>
  <c r="I1323" i="2"/>
  <c r="J1323" i="2"/>
  <c r="C1324" i="2"/>
  <c r="I1324" i="2"/>
  <c r="J1324" i="2"/>
  <c r="C1325" i="2"/>
  <c r="I1325" i="2"/>
  <c r="J1325" i="2"/>
  <c r="C1326" i="2"/>
  <c r="I1326" i="2"/>
  <c r="J1326" i="2"/>
  <c r="I1327" i="2"/>
  <c r="J1327" i="2"/>
  <c r="I1328" i="2"/>
  <c r="J1328" i="2"/>
  <c r="I1329" i="2"/>
  <c r="J1329" i="2"/>
  <c r="I1330" i="2"/>
  <c r="J1330" i="2"/>
  <c r="I1331" i="2"/>
  <c r="J1331" i="2"/>
  <c r="C1332" i="2"/>
  <c r="I1332" i="2"/>
  <c r="J1332" i="2"/>
  <c r="C1333" i="2"/>
  <c r="I1333" i="2"/>
  <c r="J1333" i="2"/>
  <c r="C1334" i="2"/>
  <c r="I1334" i="2"/>
  <c r="J1334" i="2"/>
  <c r="I1335" i="2"/>
  <c r="J1335" i="2"/>
  <c r="I1336" i="2"/>
  <c r="J1336" i="2"/>
  <c r="I1337" i="2"/>
  <c r="J1337" i="2"/>
  <c r="I1338" i="2"/>
  <c r="J1338" i="2"/>
  <c r="I1339" i="2"/>
  <c r="J1339" i="2"/>
  <c r="C1340" i="2"/>
  <c r="I1340" i="2"/>
  <c r="J1340" i="2"/>
  <c r="C1341" i="2"/>
  <c r="I1341" i="2"/>
  <c r="J1341" i="2"/>
  <c r="C1342" i="2"/>
  <c r="I1342" i="2"/>
  <c r="J1342" i="2"/>
  <c r="C1343" i="2"/>
  <c r="I1343" i="2"/>
  <c r="J1343" i="2"/>
  <c r="I1344" i="2"/>
  <c r="J1344" i="2"/>
  <c r="C1345" i="2"/>
  <c r="I1345" i="2"/>
  <c r="J1345" i="2"/>
  <c r="I1346" i="2"/>
  <c r="J1346" i="2"/>
  <c r="C1347" i="2"/>
  <c r="I1347" i="2"/>
  <c r="J1347" i="2"/>
  <c r="C1348" i="2"/>
  <c r="I1348" i="2"/>
  <c r="J1348" i="2"/>
  <c r="C1349" i="2"/>
  <c r="I1349" i="2"/>
  <c r="J1349" i="2"/>
  <c r="C1350" i="2"/>
  <c r="I1350" i="2"/>
  <c r="J1350" i="2"/>
  <c r="I1351" i="2"/>
  <c r="J1351" i="2"/>
  <c r="C1352" i="2"/>
  <c r="I1352" i="2"/>
  <c r="J1352" i="2"/>
  <c r="C1353" i="2"/>
  <c r="I1353" i="2"/>
  <c r="J1353" i="2"/>
  <c r="I1354" i="2"/>
  <c r="J1354" i="2"/>
  <c r="C1355" i="2"/>
  <c r="I1355" i="2"/>
  <c r="J1355" i="2"/>
  <c r="C1356" i="2"/>
  <c r="I1356" i="2"/>
  <c r="J1356" i="2"/>
  <c r="C1357" i="2"/>
  <c r="I1357" i="2"/>
  <c r="J1357" i="2"/>
  <c r="I1358" i="2"/>
  <c r="J1358" i="2"/>
  <c r="I1359" i="2"/>
  <c r="J1359" i="2"/>
  <c r="I1360" i="2"/>
  <c r="J1360" i="2"/>
  <c r="I1361" i="2"/>
  <c r="J1361" i="2"/>
  <c r="I1362" i="2"/>
  <c r="J1362" i="2"/>
  <c r="C1363" i="2"/>
  <c r="I1363" i="2"/>
  <c r="J1363" i="2"/>
  <c r="I1364" i="2"/>
  <c r="J1364" i="2"/>
  <c r="I1365" i="2"/>
  <c r="J1365" i="2"/>
  <c r="I1366" i="2"/>
  <c r="J1366" i="2"/>
  <c r="I1367" i="2"/>
  <c r="J1367" i="2"/>
  <c r="I1368" i="2"/>
  <c r="J1368" i="2"/>
  <c r="I1369" i="2"/>
  <c r="J1369" i="2"/>
  <c r="I1370" i="2"/>
  <c r="J1370" i="2"/>
  <c r="I1371" i="2"/>
  <c r="J1371" i="2"/>
  <c r="I1372" i="2"/>
  <c r="J1372" i="2"/>
  <c r="I1373" i="2"/>
  <c r="J1373" i="2"/>
  <c r="I1374" i="2"/>
  <c r="J1374" i="2"/>
  <c r="C1375" i="2"/>
  <c r="I1375" i="2"/>
  <c r="J1375" i="2"/>
  <c r="I1376" i="2"/>
  <c r="J1376" i="2"/>
  <c r="I1377" i="2"/>
  <c r="J1377" i="2"/>
  <c r="I1378" i="2"/>
  <c r="J1378" i="2"/>
  <c r="I1379" i="2"/>
  <c r="J1379" i="2"/>
  <c r="I1380" i="2"/>
  <c r="J1380" i="2"/>
  <c r="C1381" i="2"/>
  <c r="I1381" i="2"/>
  <c r="J1381" i="2"/>
  <c r="C1382" i="2"/>
  <c r="I1382" i="2"/>
  <c r="J1382" i="2"/>
  <c r="C1383" i="2"/>
  <c r="I1383" i="2"/>
  <c r="J1383" i="2"/>
  <c r="I1384" i="2"/>
  <c r="J1384" i="2"/>
  <c r="I1385" i="2"/>
  <c r="J1385" i="2"/>
  <c r="I1386" i="2"/>
  <c r="J1386" i="2"/>
  <c r="I1387" i="2"/>
  <c r="J1387" i="2"/>
  <c r="I1388" i="2"/>
  <c r="J1388" i="2"/>
  <c r="I1389" i="2"/>
  <c r="J1389" i="2"/>
  <c r="I1390" i="2"/>
  <c r="J1390" i="2"/>
  <c r="I1391" i="2"/>
  <c r="J1391" i="2"/>
  <c r="I1392" i="2"/>
  <c r="J1392" i="2"/>
  <c r="I1393" i="2"/>
  <c r="J1393" i="2"/>
  <c r="I1394" i="2"/>
  <c r="J1394" i="2"/>
  <c r="I1395" i="2"/>
  <c r="J1395" i="2"/>
  <c r="I1396" i="2"/>
  <c r="J1396" i="2"/>
  <c r="I1397" i="2"/>
  <c r="J1397" i="2"/>
  <c r="I1398" i="2"/>
  <c r="J1398" i="2"/>
  <c r="I1399" i="2"/>
  <c r="J1399" i="2"/>
  <c r="I1400" i="2"/>
  <c r="J1400" i="2"/>
  <c r="I1401" i="2"/>
  <c r="J1401" i="2"/>
  <c r="I1402" i="2"/>
  <c r="J1402" i="2"/>
  <c r="I1403" i="2"/>
  <c r="J1403" i="2"/>
  <c r="I1404" i="2"/>
  <c r="J1404" i="2"/>
  <c r="I1405" i="2"/>
  <c r="J1405" i="2"/>
  <c r="I1406" i="2"/>
  <c r="J1406" i="2"/>
  <c r="I1407" i="2"/>
  <c r="J1407" i="2"/>
  <c r="I1408" i="2"/>
  <c r="J1408" i="2"/>
  <c r="I1409" i="2"/>
  <c r="J1409" i="2"/>
  <c r="I1410" i="2"/>
  <c r="J1410" i="2"/>
  <c r="I1411" i="2"/>
  <c r="J1411" i="2"/>
  <c r="I1412" i="2"/>
  <c r="J1412" i="2"/>
  <c r="I1413" i="2"/>
  <c r="J1413" i="2"/>
  <c r="I1414" i="2"/>
  <c r="J1414" i="2"/>
  <c r="I1415" i="2"/>
  <c r="J1415" i="2"/>
  <c r="I1416" i="2"/>
  <c r="J1416" i="2"/>
  <c r="I1417" i="2"/>
  <c r="J1417" i="2"/>
  <c r="I1418" i="2"/>
  <c r="J1418" i="2"/>
  <c r="I1419" i="2"/>
  <c r="J1419" i="2"/>
  <c r="I1420" i="2"/>
  <c r="J1420" i="2"/>
  <c r="I1421" i="2"/>
  <c r="J1421" i="2"/>
  <c r="I1422" i="2"/>
  <c r="J1422" i="2"/>
  <c r="I1423" i="2"/>
  <c r="J1423" i="2"/>
  <c r="I1424" i="2"/>
  <c r="J1424" i="2"/>
  <c r="I1425" i="2"/>
  <c r="J1425" i="2"/>
  <c r="I1426" i="2"/>
  <c r="J1426" i="2"/>
  <c r="I1427" i="2"/>
  <c r="J1427" i="2"/>
  <c r="I1428" i="2"/>
  <c r="J1428" i="2"/>
  <c r="I1429" i="2"/>
  <c r="J1429" i="2"/>
  <c r="I1430" i="2"/>
  <c r="J1430" i="2"/>
  <c r="I1431" i="2"/>
  <c r="J1431" i="2"/>
  <c r="I1432" i="2"/>
  <c r="J1432" i="2"/>
  <c r="I1433" i="2"/>
  <c r="J1433" i="2"/>
  <c r="I1434" i="2"/>
  <c r="J1434" i="2"/>
  <c r="I1435" i="2"/>
  <c r="J1435" i="2"/>
  <c r="I1436" i="2"/>
  <c r="J1436" i="2"/>
  <c r="I1437" i="2"/>
  <c r="J1437" i="2"/>
  <c r="I1438" i="2"/>
  <c r="J1438" i="2"/>
  <c r="I1439" i="2"/>
  <c r="J1439" i="2"/>
  <c r="I1440" i="2"/>
  <c r="J1440" i="2"/>
  <c r="I1441" i="2"/>
  <c r="J1441" i="2"/>
  <c r="I1442" i="2"/>
  <c r="J1442" i="2"/>
  <c r="I1443" i="2"/>
  <c r="J1443" i="2"/>
  <c r="I1444" i="2"/>
  <c r="J1444" i="2"/>
  <c r="I1445" i="2"/>
  <c r="J1445" i="2"/>
  <c r="I1446" i="2"/>
  <c r="J1446" i="2"/>
  <c r="I1447" i="2"/>
  <c r="J1447" i="2"/>
  <c r="I1448" i="2"/>
  <c r="J1448" i="2"/>
  <c r="I1449" i="2"/>
  <c r="J1449" i="2"/>
  <c r="I1450" i="2"/>
  <c r="J1450" i="2"/>
  <c r="I1451" i="2"/>
  <c r="J1451" i="2"/>
  <c r="I1452" i="2"/>
  <c r="J1452" i="2"/>
  <c r="I1453" i="2"/>
  <c r="J1453" i="2"/>
  <c r="I1454" i="2"/>
  <c r="J1454" i="2"/>
  <c r="I1455" i="2"/>
  <c r="J1455" i="2"/>
  <c r="I1456" i="2"/>
  <c r="J1456" i="2"/>
  <c r="I1457" i="2"/>
  <c r="J1457" i="2"/>
  <c r="I1458" i="2"/>
  <c r="J1458" i="2"/>
  <c r="I1459" i="2"/>
  <c r="J1459" i="2"/>
  <c r="I1460" i="2"/>
  <c r="J1460" i="2"/>
  <c r="I1461" i="2"/>
  <c r="J1461" i="2"/>
  <c r="I1462" i="2"/>
  <c r="J1462" i="2"/>
  <c r="I1463" i="2"/>
  <c r="J1463" i="2"/>
  <c r="I1464" i="2"/>
  <c r="J1464" i="2"/>
  <c r="I1465" i="2"/>
  <c r="J1465" i="2"/>
  <c r="I1466" i="2"/>
  <c r="J1466" i="2"/>
  <c r="I1467" i="2"/>
  <c r="J1467" i="2"/>
  <c r="I1468" i="2"/>
  <c r="J1468" i="2"/>
  <c r="I1469" i="2"/>
  <c r="J1469" i="2"/>
  <c r="I1470" i="2"/>
  <c r="J1470" i="2"/>
  <c r="I1471" i="2"/>
  <c r="J1471" i="2"/>
  <c r="I1472" i="2"/>
  <c r="J1472" i="2"/>
  <c r="I1473" i="2"/>
  <c r="J1473" i="2"/>
  <c r="I1474" i="2"/>
  <c r="J1474" i="2"/>
  <c r="I1475" i="2"/>
  <c r="J1475" i="2"/>
  <c r="I1476" i="2"/>
  <c r="J1476" i="2"/>
  <c r="I1477" i="2"/>
  <c r="J1477" i="2"/>
  <c r="I1478" i="2"/>
  <c r="J1478" i="2"/>
  <c r="I1479" i="2"/>
  <c r="J1479" i="2"/>
  <c r="I1480" i="2"/>
  <c r="J1480" i="2"/>
  <c r="I1481" i="2"/>
  <c r="J1481" i="2"/>
  <c r="I1482" i="2"/>
  <c r="J1482" i="2"/>
  <c r="I1483" i="2"/>
  <c r="J1483" i="2"/>
  <c r="I1484" i="2"/>
  <c r="J1484" i="2"/>
  <c r="I1485" i="2"/>
  <c r="J1485" i="2"/>
  <c r="I1486" i="2"/>
  <c r="J1486" i="2"/>
  <c r="I1487" i="2"/>
  <c r="J1487" i="2"/>
  <c r="I1488" i="2"/>
  <c r="J1488" i="2"/>
  <c r="I1489" i="2"/>
  <c r="J1489" i="2"/>
  <c r="I1490" i="2"/>
  <c r="J1490" i="2"/>
  <c r="I1491" i="2"/>
  <c r="J1491" i="2"/>
  <c r="I1492" i="2"/>
  <c r="J1492" i="2"/>
  <c r="I1493" i="2"/>
  <c r="J1493" i="2"/>
  <c r="I1494" i="2"/>
  <c r="J1494" i="2"/>
  <c r="I1495" i="2"/>
  <c r="J1495" i="2"/>
  <c r="I1496" i="2"/>
  <c r="J1496" i="2"/>
  <c r="I1497" i="2"/>
  <c r="J1497" i="2"/>
  <c r="I1498" i="2"/>
  <c r="J1498" i="2"/>
  <c r="I1499" i="2"/>
  <c r="J1499" i="2"/>
  <c r="I1500" i="2"/>
  <c r="J1500" i="2"/>
  <c r="I1501" i="2"/>
  <c r="J1501" i="2"/>
  <c r="I1502" i="2"/>
  <c r="J1502" i="2"/>
  <c r="I1503" i="2"/>
  <c r="J1503" i="2"/>
  <c r="I1504" i="2"/>
  <c r="J1504" i="2"/>
  <c r="I1505" i="2"/>
  <c r="J1505" i="2"/>
  <c r="I1506" i="2"/>
  <c r="J1506" i="2"/>
  <c r="I1507" i="2"/>
  <c r="J1507" i="2"/>
  <c r="I1508" i="2"/>
  <c r="J1508" i="2"/>
  <c r="I1509" i="2"/>
  <c r="J1509" i="2"/>
  <c r="I1510" i="2"/>
  <c r="J1510" i="2"/>
  <c r="I1511" i="2"/>
  <c r="J1511" i="2"/>
  <c r="I1512" i="2"/>
  <c r="J1512" i="2"/>
  <c r="I1513" i="2"/>
  <c r="J1513" i="2"/>
  <c r="I1514" i="2"/>
  <c r="J1514" i="2"/>
  <c r="I1515" i="2"/>
  <c r="J1515" i="2"/>
  <c r="I1516" i="2"/>
  <c r="J1516" i="2"/>
  <c r="I1517" i="2"/>
  <c r="J1517" i="2"/>
  <c r="I1518" i="2"/>
  <c r="J1518" i="2"/>
  <c r="I1519" i="2"/>
  <c r="J1519" i="2"/>
  <c r="I1520" i="2"/>
  <c r="J1520" i="2"/>
  <c r="I1521" i="2"/>
  <c r="J1521" i="2"/>
  <c r="I1522" i="2"/>
  <c r="J1522" i="2"/>
  <c r="I1523" i="2"/>
  <c r="J1523" i="2"/>
  <c r="I1524" i="2"/>
  <c r="J1524" i="2"/>
  <c r="I1525" i="2"/>
  <c r="J1525" i="2"/>
  <c r="I1526" i="2"/>
  <c r="J1526" i="2"/>
  <c r="I1527" i="2"/>
  <c r="J1527" i="2"/>
  <c r="I1528" i="2"/>
  <c r="J1528" i="2"/>
  <c r="I1529" i="2"/>
  <c r="J1529" i="2"/>
  <c r="I1530" i="2"/>
  <c r="J1530" i="2"/>
  <c r="I1531" i="2"/>
  <c r="J1531" i="2"/>
  <c r="I1532" i="2"/>
  <c r="J1532" i="2"/>
  <c r="I1533" i="2"/>
  <c r="J1533" i="2"/>
  <c r="I1534" i="2"/>
  <c r="J1534" i="2"/>
  <c r="I1535" i="2"/>
  <c r="J1535" i="2"/>
  <c r="I1536" i="2"/>
  <c r="J1536" i="2"/>
  <c r="I1537" i="2"/>
  <c r="J1537" i="2"/>
  <c r="I1538" i="2"/>
  <c r="J1538" i="2"/>
  <c r="I1539" i="2"/>
  <c r="J1539" i="2"/>
  <c r="I1540" i="2"/>
  <c r="J1540" i="2"/>
  <c r="I1541" i="2"/>
  <c r="J1541" i="2"/>
  <c r="I1542" i="2"/>
  <c r="J1542" i="2"/>
  <c r="I1543" i="2"/>
  <c r="J1543" i="2"/>
  <c r="I1544" i="2"/>
  <c r="J1544" i="2"/>
  <c r="I1545" i="2"/>
  <c r="J1545" i="2"/>
  <c r="I1546" i="2"/>
  <c r="J1546" i="2"/>
  <c r="I1547" i="2"/>
  <c r="J1547" i="2"/>
  <c r="I1548" i="2"/>
  <c r="J1548" i="2"/>
  <c r="I1549" i="2"/>
  <c r="J1549" i="2"/>
  <c r="I1550" i="2"/>
  <c r="J1550" i="2"/>
  <c r="I1551" i="2"/>
  <c r="J1551" i="2"/>
  <c r="I1552" i="2"/>
  <c r="J1552" i="2"/>
  <c r="I1553" i="2"/>
  <c r="J1553" i="2"/>
  <c r="I1554" i="2"/>
  <c r="J1554" i="2"/>
  <c r="I1555" i="2"/>
  <c r="J1555" i="2"/>
  <c r="I1556" i="2"/>
  <c r="J1556" i="2"/>
  <c r="I1557" i="2"/>
  <c r="J1557" i="2"/>
  <c r="I1558" i="2"/>
  <c r="J1558" i="2"/>
  <c r="I1559" i="2"/>
  <c r="J1559" i="2"/>
  <c r="I1560" i="2"/>
  <c r="J1560" i="2"/>
  <c r="I1561" i="2"/>
  <c r="J1561" i="2"/>
  <c r="I1562" i="2"/>
  <c r="J1562" i="2"/>
  <c r="I1563" i="2"/>
  <c r="J1563" i="2"/>
  <c r="I1564" i="2"/>
  <c r="J1564" i="2"/>
  <c r="I1565" i="2"/>
  <c r="J1565" i="2"/>
  <c r="I1566" i="2"/>
  <c r="J1566" i="2"/>
  <c r="I1567" i="2"/>
  <c r="J1567" i="2"/>
  <c r="I1568" i="2"/>
  <c r="J1568" i="2"/>
  <c r="I1569" i="2"/>
  <c r="J1569" i="2"/>
  <c r="I1570" i="2"/>
  <c r="J1570" i="2"/>
  <c r="I1571" i="2"/>
  <c r="J1571" i="2"/>
  <c r="I1572" i="2"/>
  <c r="J1572" i="2"/>
  <c r="I1573" i="2"/>
  <c r="J1573" i="2"/>
  <c r="I1574" i="2"/>
  <c r="J1574" i="2"/>
  <c r="I1575" i="2"/>
  <c r="J1575" i="2"/>
  <c r="I1576" i="2"/>
  <c r="J1576" i="2"/>
  <c r="I1577" i="2"/>
  <c r="J1577" i="2"/>
  <c r="C1578" i="2"/>
  <c r="I1578" i="2"/>
  <c r="J1578" i="2"/>
  <c r="I1579" i="2"/>
  <c r="J1579" i="2"/>
  <c r="I1580" i="2"/>
  <c r="J1580" i="2"/>
  <c r="I1581" i="2"/>
  <c r="J1581" i="2"/>
  <c r="I1582" i="2"/>
  <c r="J1582" i="2"/>
  <c r="I1583" i="2"/>
  <c r="J1583" i="2"/>
  <c r="I1584" i="2"/>
  <c r="J1584" i="2"/>
  <c r="I1585" i="2"/>
  <c r="J1585" i="2"/>
  <c r="I1586" i="2"/>
  <c r="J1586" i="2"/>
  <c r="I1587" i="2"/>
  <c r="J1587" i="2"/>
  <c r="I1588" i="2"/>
  <c r="J1588" i="2"/>
  <c r="I1589" i="2"/>
  <c r="J1589" i="2"/>
  <c r="I1590" i="2"/>
  <c r="J1590" i="2"/>
  <c r="I1591" i="2"/>
  <c r="J1591" i="2"/>
  <c r="I1592" i="2"/>
  <c r="J1592" i="2"/>
  <c r="I1593" i="2"/>
  <c r="J1593" i="2"/>
  <c r="C1594" i="2"/>
  <c r="I1594" i="2"/>
  <c r="J1594" i="2"/>
  <c r="C1595" i="2"/>
  <c r="I1595" i="2"/>
  <c r="J1595" i="2"/>
  <c r="I1596" i="2"/>
  <c r="J1596" i="2"/>
  <c r="I1597" i="2"/>
  <c r="J1597" i="2"/>
  <c r="I1598" i="2"/>
  <c r="J1598" i="2"/>
  <c r="I1599" i="2"/>
  <c r="J1599" i="2"/>
  <c r="I1600" i="2"/>
  <c r="J1600" i="2"/>
  <c r="I1601" i="2"/>
  <c r="J1601" i="2"/>
  <c r="I1602" i="2"/>
  <c r="J1602" i="2"/>
  <c r="I1603" i="2"/>
  <c r="J1603" i="2"/>
  <c r="I1604" i="2"/>
  <c r="J1604" i="2"/>
  <c r="I1605" i="2"/>
  <c r="J1605" i="2"/>
  <c r="I1606" i="2"/>
  <c r="J1606" i="2"/>
  <c r="I1607" i="2"/>
  <c r="J1607" i="2"/>
  <c r="I1608" i="2"/>
  <c r="J1608" i="2"/>
  <c r="I1609" i="2"/>
  <c r="J1609" i="2"/>
  <c r="I1610" i="2"/>
  <c r="J1610" i="2"/>
  <c r="I1611" i="2"/>
  <c r="J1611" i="2"/>
  <c r="I1612" i="2"/>
  <c r="J1612" i="2"/>
  <c r="I1613" i="2"/>
  <c r="J1613" i="2"/>
  <c r="I1614" i="2"/>
  <c r="J1614" i="2"/>
  <c r="I1615" i="2"/>
  <c r="J1615" i="2"/>
  <c r="I1616" i="2"/>
  <c r="J1616" i="2"/>
  <c r="I1617" i="2"/>
  <c r="J1617" i="2"/>
  <c r="I1618" i="2"/>
  <c r="J1618" i="2"/>
  <c r="I1619" i="2"/>
  <c r="J1619" i="2"/>
  <c r="I1620" i="2"/>
  <c r="J1620" i="2"/>
  <c r="I1621" i="2"/>
  <c r="J1621" i="2"/>
  <c r="I1622" i="2"/>
  <c r="J1622" i="2"/>
  <c r="I1623" i="2"/>
  <c r="J1623" i="2"/>
  <c r="I1624" i="2"/>
  <c r="J1624" i="2"/>
  <c r="I1625" i="2"/>
  <c r="J1625" i="2"/>
  <c r="I1626" i="2"/>
  <c r="J1626" i="2"/>
  <c r="I1627" i="2"/>
  <c r="J1627" i="2"/>
  <c r="I1628" i="2"/>
  <c r="J1628" i="2"/>
  <c r="I1629" i="2"/>
  <c r="J1629" i="2"/>
  <c r="I1630" i="2"/>
  <c r="J1630" i="2"/>
  <c r="I1631" i="2"/>
  <c r="J1631" i="2"/>
  <c r="I1632" i="2"/>
  <c r="J1632" i="2"/>
  <c r="I1633" i="2"/>
  <c r="J1633" i="2"/>
  <c r="I1634" i="2"/>
  <c r="J1634" i="2"/>
  <c r="I1635" i="2"/>
  <c r="J1635" i="2"/>
  <c r="I1636" i="2"/>
  <c r="J1636" i="2"/>
  <c r="I1637" i="2"/>
  <c r="J1637" i="2"/>
  <c r="I1638" i="2"/>
  <c r="J1638" i="2"/>
  <c r="I1639" i="2"/>
  <c r="J1639" i="2"/>
  <c r="I1640" i="2"/>
  <c r="J1640" i="2"/>
  <c r="I1641" i="2"/>
  <c r="J1641" i="2"/>
  <c r="I1642" i="2"/>
  <c r="J1642" i="2"/>
  <c r="I1643" i="2"/>
  <c r="J1643" i="2"/>
  <c r="I1644" i="2"/>
  <c r="J1644" i="2"/>
  <c r="I1645" i="2"/>
  <c r="J1645" i="2"/>
  <c r="I1646" i="2"/>
  <c r="J1646" i="2"/>
  <c r="I1647" i="2"/>
  <c r="J1647" i="2"/>
  <c r="I1648" i="2"/>
  <c r="J1648" i="2"/>
  <c r="I1649" i="2"/>
  <c r="J1649" i="2"/>
  <c r="I1650" i="2"/>
  <c r="J1650" i="2"/>
  <c r="I1651" i="2"/>
  <c r="J1651" i="2"/>
  <c r="I1652" i="2"/>
  <c r="J1652" i="2"/>
  <c r="I1653" i="2"/>
  <c r="J1653" i="2"/>
  <c r="I1654" i="2"/>
  <c r="J1654" i="2"/>
  <c r="I1655" i="2"/>
  <c r="J1655" i="2"/>
  <c r="I1656" i="2"/>
  <c r="J1656" i="2"/>
  <c r="C1657" i="2"/>
  <c r="I1657" i="2"/>
  <c r="J1657" i="2"/>
  <c r="I1658" i="2"/>
  <c r="J1658" i="2"/>
  <c r="I1659" i="2"/>
  <c r="J1659" i="2"/>
  <c r="I1660" i="2"/>
  <c r="J1660" i="2"/>
  <c r="I1661" i="2"/>
  <c r="J1661" i="2"/>
  <c r="I1662" i="2"/>
  <c r="J1662" i="2"/>
  <c r="I1663" i="2"/>
  <c r="J1663" i="2"/>
  <c r="I1664" i="2"/>
  <c r="J1664" i="2"/>
  <c r="I1665" i="2"/>
  <c r="J1665" i="2"/>
  <c r="I1666" i="2"/>
  <c r="J1666" i="2"/>
  <c r="I1667" i="2"/>
  <c r="J1667" i="2"/>
  <c r="I1668" i="2"/>
  <c r="J1668" i="2"/>
  <c r="I1669" i="2"/>
  <c r="J1669" i="2"/>
  <c r="I1670" i="2"/>
  <c r="J1670" i="2"/>
  <c r="I1671" i="2"/>
  <c r="J1671" i="2"/>
  <c r="C1672" i="2"/>
  <c r="I1672" i="2"/>
  <c r="J1672" i="2"/>
  <c r="C1673" i="2"/>
  <c r="I1673" i="2"/>
  <c r="J1673" i="2"/>
  <c r="I1674" i="2"/>
  <c r="J1674" i="2"/>
  <c r="C1675" i="2"/>
  <c r="I1675" i="2"/>
  <c r="J1675" i="2"/>
  <c r="C1676" i="2"/>
  <c r="I1676" i="2"/>
  <c r="J1676" i="2"/>
  <c r="C1677" i="2"/>
  <c r="I1677" i="2"/>
  <c r="J1677" i="2"/>
  <c r="I1678" i="2"/>
  <c r="J1678" i="2"/>
  <c r="I1679" i="2"/>
  <c r="J1679" i="2"/>
  <c r="I1680" i="2"/>
  <c r="J1680" i="2"/>
  <c r="I1681" i="2"/>
  <c r="J1681" i="2"/>
  <c r="I1682" i="2"/>
  <c r="J1682" i="2"/>
  <c r="I1683" i="2"/>
  <c r="J1683" i="2"/>
  <c r="I1684" i="2"/>
  <c r="J1684" i="2"/>
  <c r="I1685" i="2"/>
  <c r="J1685" i="2"/>
  <c r="I1686" i="2"/>
  <c r="J1686" i="2"/>
  <c r="C1687" i="2"/>
  <c r="I1687" i="2"/>
  <c r="J1687" i="2"/>
  <c r="I1688" i="2"/>
  <c r="J1688" i="2"/>
  <c r="I1689" i="2"/>
  <c r="J1689" i="2"/>
  <c r="I1690" i="2"/>
  <c r="J1690" i="2"/>
  <c r="I1691" i="2"/>
  <c r="J1691" i="2"/>
  <c r="I1692" i="2"/>
  <c r="J1692" i="2"/>
  <c r="I1693" i="2"/>
  <c r="J1693" i="2"/>
  <c r="I1694" i="2"/>
  <c r="J1694" i="2"/>
  <c r="I1695" i="2"/>
  <c r="J1695" i="2"/>
  <c r="I1696" i="2"/>
  <c r="J1696" i="2"/>
  <c r="I1697" i="2"/>
  <c r="J1697" i="2"/>
  <c r="C1698" i="2"/>
  <c r="I1698" i="2"/>
  <c r="J1698" i="2"/>
  <c r="I1699" i="2"/>
  <c r="J1699" i="2"/>
  <c r="I1700" i="2"/>
  <c r="J1700" i="2"/>
  <c r="I1701" i="2"/>
  <c r="J1701" i="2"/>
  <c r="C1702" i="2"/>
  <c r="I1702" i="2"/>
  <c r="J1702" i="2"/>
  <c r="I1703" i="2"/>
  <c r="J1703" i="2"/>
  <c r="I1704" i="2"/>
  <c r="J1704" i="2"/>
  <c r="I1705" i="2"/>
  <c r="J1705" i="2"/>
  <c r="I1706" i="2"/>
  <c r="J1706" i="2"/>
  <c r="I1707" i="2"/>
  <c r="J1707" i="2"/>
  <c r="I1708" i="2"/>
  <c r="J1708" i="2"/>
  <c r="I1709" i="2"/>
  <c r="J1709" i="2"/>
  <c r="I1710" i="2"/>
  <c r="J1710" i="2"/>
  <c r="I1711" i="2"/>
  <c r="J1711" i="2"/>
  <c r="I1712" i="2"/>
  <c r="J1712" i="2"/>
  <c r="C1713" i="2"/>
  <c r="I1713" i="2"/>
  <c r="J1713" i="2"/>
  <c r="C1714" i="2"/>
  <c r="I1714" i="2"/>
  <c r="J1714" i="2"/>
  <c r="C1715" i="2"/>
  <c r="I1715" i="2"/>
  <c r="J1715" i="2"/>
  <c r="I1716" i="2"/>
  <c r="J1716" i="2"/>
  <c r="C1717" i="2"/>
  <c r="I1717" i="2"/>
  <c r="J1717" i="2"/>
  <c r="C1718" i="2"/>
  <c r="I1718" i="2"/>
  <c r="J1718" i="2"/>
  <c r="C1719" i="2"/>
  <c r="I1719" i="2"/>
  <c r="J1719" i="2"/>
  <c r="I1720" i="2"/>
  <c r="J1720" i="2"/>
  <c r="I1721" i="2"/>
  <c r="J1721" i="2"/>
  <c r="C1722" i="2"/>
  <c r="I1722" i="2"/>
  <c r="J1722" i="2"/>
  <c r="I1723" i="2"/>
  <c r="J1723" i="2"/>
  <c r="I1724" i="2"/>
  <c r="J1724" i="2"/>
  <c r="I1725" i="2"/>
  <c r="J1725" i="2"/>
  <c r="I1726" i="2"/>
  <c r="J1726" i="2"/>
  <c r="I1727" i="2"/>
  <c r="J1727" i="2"/>
  <c r="I1728" i="2"/>
  <c r="J1728" i="2"/>
  <c r="C1729" i="2"/>
  <c r="I1729" i="2"/>
  <c r="J1729" i="2"/>
  <c r="C1730" i="2"/>
  <c r="I1730" i="2"/>
  <c r="J1730" i="2"/>
  <c r="I1731" i="2"/>
  <c r="J1731" i="2"/>
  <c r="I1732" i="2"/>
  <c r="J1732" i="2"/>
  <c r="I1733" i="2"/>
  <c r="J1733" i="2"/>
  <c r="C1734" i="2"/>
  <c r="I1734" i="2"/>
  <c r="J1734" i="2"/>
  <c r="I1735" i="2"/>
  <c r="J1735" i="2"/>
  <c r="I1736" i="2"/>
  <c r="J1736" i="2"/>
  <c r="I1737" i="2"/>
  <c r="J1737" i="2"/>
  <c r="I1738" i="2"/>
  <c r="J1738" i="2"/>
  <c r="I1739" i="2"/>
  <c r="J1739" i="2"/>
  <c r="I1740" i="2"/>
  <c r="J1740" i="2"/>
  <c r="I1741" i="2"/>
  <c r="J1741" i="2"/>
  <c r="I1742" i="2"/>
  <c r="J1742" i="2"/>
  <c r="I1743" i="2"/>
  <c r="J1743" i="2"/>
  <c r="I1744" i="2"/>
  <c r="J1744" i="2"/>
  <c r="I1745" i="2"/>
  <c r="J1745" i="2"/>
  <c r="I1746" i="2"/>
  <c r="J1746" i="2"/>
  <c r="I1747" i="2"/>
  <c r="J1747" i="2"/>
  <c r="I1748" i="2"/>
  <c r="J1748" i="2"/>
  <c r="I1749" i="2"/>
  <c r="J1749" i="2"/>
  <c r="I1750" i="2"/>
  <c r="J1750" i="2"/>
  <c r="C1751" i="2"/>
  <c r="I1751" i="2"/>
  <c r="J1751" i="2"/>
  <c r="I1752" i="2"/>
  <c r="J1752" i="2"/>
  <c r="I1753" i="2"/>
  <c r="J1753" i="2"/>
  <c r="I1754" i="2"/>
  <c r="J1754" i="2"/>
  <c r="I1755" i="2"/>
  <c r="J1755" i="2"/>
  <c r="I1756" i="2"/>
  <c r="J1756" i="2"/>
  <c r="I1757" i="2"/>
  <c r="J1757" i="2"/>
  <c r="I1758" i="2"/>
  <c r="J1758" i="2"/>
  <c r="I1759" i="2"/>
  <c r="J1759" i="2"/>
  <c r="I1760" i="2"/>
  <c r="J1760" i="2"/>
  <c r="I1761" i="2"/>
  <c r="J1761" i="2"/>
  <c r="I1762" i="2"/>
  <c r="J1762" i="2"/>
  <c r="I1763" i="2"/>
  <c r="J1763" i="2"/>
  <c r="I1764" i="2"/>
  <c r="J1764" i="2"/>
  <c r="I1765" i="2"/>
  <c r="J1765" i="2"/>
  <c r="C1766" i="2"/>
  <c r="I1766" i="2"/>
  <c r="J1766" i="2"/>
  <c r="I1767" i="2"/>
  <c r="J1767" i="2"/>
  <c r="I1768" i="2"/>
  <c r="J1768" i="2"/>
  <c r="I1769" i="2"/>
  <c r="J1769" i="2"/>
  <c r="I1770" i="2"/>
  <c r="J1770" i="2"/>
  <c r="I1771" i="2"/>
  <c r="J1771" i="2"/>
  <c r="I1772" i="2"/>
  <c r="J1772" i="2"/>
  <c r="I1773" i="2"/>
  <c r="J1773" i="2"/>
  <c r="I1774" i="2"/>
  <c r="J1774" i="2"/>
  <c r="I1775" i="2"/>
  <c r="J1775" i="2"/>
  <c r="I1776" i="2"/>
  <c r="J1776" i="2"/>
  <c r="I1777" i="2"/>
  <c r="J1777" i="2"/>
  <c r="I1778" i="2"/>
  <c r="J1778" i="2"/>
  <c r="I1779" i="2"/>
  <c r="J1779" i="2"/>
  <c r="I1780" i="2"/>
  <c r="J1780" i="2"/>
  <c r="I1781" i="2"/>
  <c r="J1781" i="2"/>
  <c r="I1782" i="2"/>
  <c r="J1782" i="2"/>
  <c r="I1783" i="2"/>
  <c r="J1783" i="2"/>
  <c r="I1784" i="2"/>
  <c r="J1784" i="2"/>
  <c r="I1785" i="2"/>
  <c r="J1785" i="2"/>
  <c r="I1786" i="2"/>
  <c r="J1786" i="2"/>
  <c r="I1787" i="2"/>
  <c r="J1787" i="2"/>
  <c r="I1788" i="2"/>
  <c r="J1788" i="2"/>
  <c r="I1789" i="2"/>
  <c r="J1789" i="2"/>
  <c r="I1790" i="2"/>
  <c r="J1790" i="2"/>
  <c r="I1791" i="2"/>
  <c r="J1791" i="2"/>
  <c r="I1792" i="2"/>
  <c r="J1792" i="2"/>
  <c r="I1793" i="2"/>
  <c r="J1793" i="2"/>
  <c r="I1794" i="2"/>
  <c r="J1794" i="2"/>
  <c r="I1795" i="2"/>
  <c r="J1795" i="2"/>
  <c r="I1796" i="2"/>
  <c r="J1796" i="2"/>
  <c r="I1797" i="2"/>
  <c r="J1797" i="2"/>
  <c r="I1798" i="2"/>
  <c r="J1798" i="2"/>
  <c r="I1799" i="2"/>
  <c r="J1799" i="2"/>
  <c r="I1800" i="2"/>
  <c r="J1800" i="2"/>
  <c r="I1801" i="2"/>
  <c r="J1801" i="2"/>
  <c r="I1802" i="2"/>
  <c r="J1802" i="2"/>
  <c r="C1803" i="2"/>
  <c r="I1803" i="2"/>
  <c r="J1803" i="2"/>
  <c r="I1804" i="2"/>
  <c r="J1804" i="2"/>
  <c r="C1805" i="2"/>
  <c r="I1805" i="2"/>
  <c r="J1805" i="2"/>
  <c r="C1806" i="2"/>
  <c r="I1806" i="2"/>
  <c r="J1806" i="2"/>
  <c r="C1807" i="2"/>
  <c r="I1807" i="2"/>
  <c r="J1807" i="2"/>
  <c r="C1808" i="2"/>
  <c r="I1808" i="2"/>
  <c r="J1808" i="2"/>
  <c r="C1809" i="2"/>
  <c r="I1809" i="2"/>
  <c r="J1809" i="2"/>
  <c r="C1810" i="2"/>
  <c r="I1810" i="2"/>
  <c r="J1810" i="2"/>
  <c r="C1811" i="2"/>
  <c r="I1811" i="2"/>
  <c r="J1811" i="2"/>
  <c r="C1812" i="2"/>
  <c r="I1812" i="2"/>
  <c r="J1812" i="2"/>
  <c r="C1813" i="2"/>
  <c r="I1813" i="2"/>
  <c r="J1813" i="2"/>
  <c r="C1814" i="2"/>
  <c r="I1814" i="2"/>
  <c r="J1814" i="2"/>
  <c r="I1815" i="2"/>
  <c r="J1815" i="2"/>
  <c r="I1816" i="2"/>
  <c r="J1816" i="2"/>
  <c r="C1817" i="2"/>
  <c r="I1817" i="2"/>
  <c r="J1817" i="2"/>
  <c r="C1818" i="2"/>
  <c r="I1818" i="2"/>
  <c r="J1818" i="2"/>
  <c r="C1819" i="2"/>
  <c r="I1819" i="2"/>
  <c r="J1819" i="2"/>
  <c r="I1820" i="2"/>
  <c r="J1820" i="2"/>
  <c r="I1821" i="2"/>
  <c r="J1821" i="2"/>
  <c r="I1822" i="2"/>
  <c r="J1822" i="2"/>
  <c r="C1823" i="2"/>
  <c r="I1823" i="2"/>
  <c r="J1823" i="2"/>
  <c r="I1824" i="2"/>
  <c r="J1824" i="2"/>
  <c r="I1825" i="2"/>
  <c r="J1825" i="2"/>
  <c r="C1826" i="2"/>
  <c r="I1826" i="2"/>
  <c r="J1826" i="2"/>
  <c r="I1827" i="2"/>
  <c r="J1827" i="2"/>
  <c r="I1828" i="2"/>
  <c r="J1828" i="2"/>
  <c r="I1829" i="2"/>
  <c r="J1829" i="2"/>
  <c r="C1830" i="2"/>
  <c r="I1830" i="2"/>
  <c r="J1830" i="2"/>
  <c r="C1831" i="2"/>
  <c r="I1831" i="2"/>
  <c r="J1831" i="2"/>
  <c r="C1832" i="2"/>
  <c r="I1832" i="2"/>
  <c r="J1832" i="2"/>
  <c r="C1833" i="2"/>
  <c r="I1833" i="2"/>
  <c r="J1833" i="2"/>
  <c r="C1834" i="2"/>
  <c r="I1834" i="2"/>
  <c r="J1834" i="2"/>
  <c r="C1835" i="2"/>
  <c r="I1835" i="2"/>
  <c r="J1835" i="2"/>
  <c r="C1836" i="2"/>
  <c r="I1836" i="2"/>
  <c r="J1836" i="2"/>
  <c r="I1837" i="2"/>
  <c r="J1837" i="2"/>
  <c r="I1838" i="2"/>
  <c r="J1838" i="2"/>
  <c r="I1839" i="2"/>
  <c r="J1839" i="2"/>
  <c r="I1840" i="2"/>
  <c r="J1840" i="2"/>
  <c r="I1841" i="2"/>
  <c r="J1841" i="2"/>
  <c r="I1842" i="2"/>
  <c r="J1842" i="2"/>
  <c r="I1843" i="2"/>
  <c r="J1843" i="2"/>
  <c r="C1844" i="2"/>
  <c r="I1844" i="2"/>
  <c r="J1844" i="2"/>
  <c r="I1845" i="2"/>
  <c r="J1845" i="2"/>
  <c r="C1846" i="2"/>
  <c r="I1846" i="2"/>
  <c r="J1846" i="2"/>
  <c r="I1847" i="2"/>
  <c r="J1847" i="2"/>
  <c r="I1848" i="2"/>
  <c r="J1848" i="2"/>
  <c r="I1849" i="2"/>
  <c r="J1849" i="2"/>
  <c r="I1850" i="2"/>
  <c r="J1850" i="2"/>
  <c r="I1851" i="2"/>
  <c r="J1851" i="2"/>
  <c r="I1852" i="2"/>
  <c r="J1852" i="2"/>
  <c r="I1853" i="2"/>
  <c r="J1853" i="2"/>
  <c r="I1854" i="2"/>
  <c r="J1854" i="2"/>
  <c r="I1855" i="2"/>
  <c r="J1855" i="2"/>
  <c r="I1856" i="2"/>
  <c r="J1856" i="2"/>
  <c r="I1857" i="2"/>
  <c r="J1857" i="2"/>
  <c r="I1858" i="2"/>
  <c r="J1858" i="2"/>
  <c r="C1859" i="2"/>
  <c r="I1859" i="2"/>
  <c r="J1859" i="2"/>
  <c r="C1860" i="2"/>
  <c r="I1860" i="2"/>
  <c r="J1860" i="2"/>
  <c r="C1861" i="2"/>
  <c r="I1861" i="2"/>
  <c r="J1861" i="2"/>
  <c r="C1862" i="2"/>
  <c r="I1862" i="2"/>
  <c r="J1862" i="2"/>
  <c r="C1863" i="2"/>
  <c r="I1863" i="2"/>
  <c r="J1863" i="2"/>
  <c r="I1864" i="2"/>
  <c r="J1864" i="2"/>
  <c r="I1865" i="2"/>
  <c r="J1865" i="2"/>
  <c r="I1866" i="2"/>
  <c r="J1866" i="2"/>
  <c r="I1867" i="2"/>
  <c r="J1867" i="2"/>
  <c r="I1868" i="2"/>
  <c r="J1868" i="2"/>
  <c r="C1869" i="2"/>
  <c r="I1869" i="2"/>
  <c r="J1869" i="2"/>
  <c r="C1870" i="2"/>
  <c r="I1870" i="2"/>
  <c r="J1870" i="2"/>
  <c r="C1871" i="2"/>
  <c r="I1871" i="2"/>
  <c r="J1871" i="2"/>
  <c r="C1872" i="2"/>
  <c r="I1872" i="2"/>
  <c r="J1872" i="2"/>
  <c r="C1873" i="2"/>
  <c r="I1873" i="2"/>
  <c r="J1873" i="2"/>
  <c r="C1874" i="2"/>
  <c r="I1874" i="2"/>
  <c r="J1874" i="2"/>
  <c r="C1875" i="2"/>
  <c r="I1875" i="2"/>
  <c r="J1875" i="2"/>
  <c r="C1876" i="2"/>
  <c r="I1876" i="2"/>
  <c r="J1876" i="2"/>
  <c r="I1877" i="2"/>
  <c r="J1877" i="2"/>
  <c r="C1878" i="2"/>
  <c r="I1878" i="2"/>
  <c r="J1878" i="2"/>
  <c r="C1879" i="2"/>
  <c r="I1879" i="2"/>
  <c r="J1879" i="2"/>
  <c r="C1880" i="2"/>
  <c r="I1880" i="2"/>
  <c r="J1880" i="2"/>
  <c r="C1881" i="2"/>
  <c r="I1881" i="2"/>
  <c r="J1881" i="2"/>
  <c r="C1882" i="2"/>
  <c r="I1882" i="2"/>
  <c r="J1882" i="2"/>
  <c r="C1883" i="2"/>
  <c r="I1883" i="2"/>
  <c r="J1883" i="2"/>
  <c r="C1884" i="2"/>
  <c r="I1884" i="2"/>
  <c r="J1884" i="2"/>
  <c r="C1885" i="2"/>
  <c r="I1885" i="2"/>
  <c r="J1885" i="2"/>
  <c r="I1886" i="2"/>
  <c r="J1886" i="2"/>
  <c r="I1887" i="2"/>
  <c r="J1887" i="2"/>
  <c r="I1888" i="2"/>
  <c r="J1888" i="2"/>
  <c r="I1889" i="2"/>
  <c r="J1889" i="2"/>
  <c r="I1890" i="2"/>
  <c r="J1890" i="2"/>
  <c r="I1891" i="2"/>
  <c r="J1891" i="2"/>
  <c r="I1892" i="2"/>
  <c r="J1892" i="2"/>
  <c r="I1893" i="2"/>
  <c r="J1893" i="2"/>
  <c r="I1894" i="2"/>
  <c r="J1894" i="2"/>
  <c r="I1895" i="2"/>
  <c r="J1895" i="2"/>
  <c r="I1896" i="2"/>
  <c r="J1896" i="2"/>
  <c r="I1897" i="2"/>
  <c r="J1897" i="2"/>
  <c r="I1898" i="2"/>
  <c r="J1898" i="2"/>
  <c r="I1899" i="2"/>
  <c r="J1899" i="2"/>
  <c r="I1900" i="2"/>
  <c r="J1900" i="2"/>
  <c r="I1901" i="2"/>
  <c r="J1901" i="2"/>
  <c r="I1902" i="2"/>
  <c r="J1902" i="2"/>
  <c r="I1903" i="2"/>
  <c r="J1903" i="2"/>
  <c r="I1904" i="2"/>
  <c r="J1904" i="2"/>
  <c r="I1905" i="2"/>
  <c r="J1905" i="2"/>
  <c r="I1906" i="2"/>
  <c r="J1906" i="2"/>
  <c r="I1907" i="2"/>
  <c r="J1907" i="2"/>
  <c r="I1908" i="2"/>
  <c r="J1908" i="2"/>
  <c r="I1909" i="2"/>
  <c r="J1909" i="2"/>
  <c r="I1910" i="2"/>
  <c r="J1910" i="2"/>
  <c r="I1911" i="2"/>
  <c r="J1911" i="2"/>
  <c r="I1912" i="2"/>
  <c r="J1912" i="2"/>
  <c r="I1913" i="2"/>
  <c r="J1913" i="2"/>
  <c r="I1914" i="2"/>
  <c r="J1914" i="2"/>
  <c r="I1915" i="2"/>
  <c r="J1915" i="2"/>
  <c r="I1916" i="2"/>
  <c r="J1916" i="2"/>
  <c r="I1917" i="2"/>
  <c r="J1917" i="2"/>
  <c r="I1918" i="2"/>
  <c r="J1918" i="2"/>
  <c r="I1919" i="2"/>
  <c r="J1919" i="2"/>
  <c r="I1920" i="2"/>
  <c r="J1920" i="2"/>
  <c r="I1921" i="2"/>
  <c r="J1921" i="2"/>
  <c r="I1922" i="2"/>
  <c r="J1922" i="2"/>
  <c r="I1923" i="2"/>
  <c r="J1923" i="2"/>
  <c r="I1924" i="2"/>
  <c r="J1924" i="2"/>
  <c r="I1925" i="2"/>
  <c r="J1925" i="2"/>
  <c r="I1926" i="2"/>
  <c r="J1926" i="2"/>
  <c r="I1927" i="2"/>
  <c r="J1927" i="2"/>
  <c r="I1928" i="2"/>
  <c r="J1928" i="2"/>
  <c r="I1929" i="2"/>
  <c r="J1929" i="2"/>
  <c r="I1930" i="2"/>
  <c r="J1930" i="2"/>
  <c r="I1931" i="2"/>
  <c r="J1931" i="2"/>
  <c r="I1932" i="2"/>
  <c r="J1932" i="2"/>
  <c r="I1933" i="2"/>
  <c r="J1933" i="2"/>
  <c r="I1934" i="2"/>
  <c r="J1934" i="2"/>
  <c r="I1935" i="2"/>
  <c r="J1935" i="2"/>
  <c r="I1936" i="2"/>
  <c r="J1936" i="2"/>
  <c r="I1937" i="2"/>
  <c r="J1937" i="2"/>
  <c r="I1938" i="2"/>
  <c r="J1938" i="2"/>
  <c r="I1939" i="2"/>
  <c r="J1939" i="2"/>
  <c r="I1940" i="2"/>
  <c r="J1940" i="2"/>
  <c r="I1941" i="2"/>
  <c r="J1941" i="2"/>
  <c r="I1942" i="2"/>
  <c r="J1942" i="2"/>
  <c r="I1943" i="2"/>
  <c r="J1943" i="2"/>
  <c r="I1944" i="2"/>
  <c r="J1944" i="2"/>
  <c r="I1945" i="2"/>
  <c r="J1945" i="2"/>
  <c r="I1946" i="2"/>
  <c r="J1946" i="2"/>
  <c r="I1947" i="2"/>
  <c r="J1947" i="2"/>
  <c r="I1948" i="2"/>
  <c r="J1948" i="2"/>
  <c r="I1949" i="2"/>
  <c r="J1949" i="2"/>
  <c r="I1950" i="2"/>
  <c r="J1950" i="2"/>
  <c r="I1951" i="2"/>
  <c r="J1951" i="2"/>
  <c r="I1952" i="2"/>
  <c r="J1952" i="2"/>
  <c r="I1953" i="2"/>
  <c r="J1953" i="2"/>
  <c r="C1954" i="2"/>
  <c r="I1954" i="2"/>
  <c r="J1954" i="2"/>
  <c r="I1955" i="2"/>
  <c r="J1955" i="2"/>
  <c r="I1956" i="2"/>
  <c r="J1956" i="2"/>
  <c r="I1957" i="2"/>
  <c r="J1957" i="2"/>
  <c r="I1958" i="2"/>
  <c r="J1958" i="2"/>
  <c r="I1959" i="2"/>
  <c r="J1959" i="2"/>
  <c r="I1960" i="2"/>
  <c r="J1960" i="2"/>
  <c r="I1961" i="2"/>
  <c r="J1961" i="2"/>
  <c r="I1962" i="2"/>
  <c r="J1962" i="2"/>
  <c r="I1963" i="2"/>
  <c r="J1963" i="2"/>
  <c r="I1964" i="2"/>
  <c r="J1964" i="2"/>
  <c r="I1965" i="2"/>
  <c r="J1965" i="2"/>
  <c r="I1966" i="2"/>
  <c r="J1966" i="2"/>
  <c r="I1967" i="2"/>
  <c r="J1967" i="2"/>
  <c r="I1968" i="2"/>
  <c r="J1968" i="2"/>
  <c r="I1969" i="2"/>
  <c r="J1969" i="2"/>
  <c r="I1970" i="2"/>
  <c r="J1970" i="2"/>
  <c r="I1971" i="2"/>
  <c r="J1971" i="2"/>
  <c r="I1972" i="2"/>
  <c r="J1972" i="2"/>
  <c r="I1973" i="2"/>
  <c r="J1973" i="2"/>
  <c r="I1974" i="2"/>
  <c r="J1974" i="2"/>
  <c r="I1975" i="2"/>
  <c r="J1975" i="2"/>
  <c r="I1976" i="2"/>
  <c r="J1976" i="2"/>
  <c r="I1977" i="2"/>
  <c r="J1977" i="2"/>
  <c r="I1978" i="2"/>
  <c r="J1978" i="2"/>
  <c r="I1979" i="2"/>
  <c r="J1979" i="2"/>
  <c r="I1980" i="2"/>
  <c r="J1980" i="2"/>
  <c r="I1981" i="2"/>
  <c r="J1981" i="2"/>
  <c r="I1982" i="2"/>
  <c r="J1982" i="2"/>
  <c r="I1983" i="2"/>
  <c r="J1983" i="2"/>
  <c r="I1984" i="2"/>
  <c r="J1984" i="2"/>
  <c r="I1985" i="2"/>
  <c r="J1985" i="2"/>
  <c r="I1986" i="2"/>
  <c r="J1986" i="2"/>
  <c r="I1987" i="2"/>
  <c r="J1987" i="2"/>
  <c r="I1988" i="2"/>
  <c r="J1988" i="2"/>
  <c r="I1989" i="2"/>
  <c r="J1989" i="2"/>
  <c r="I1990" i="2"/>
  <c r="J1990" i="2"/>
  <c r="I1991" i="2"/>
  <c r="J1991" i="2"/>
  <c r="I1992" i="2"/>
  <c r="J1992" i="2"/>
  <c r="I1993" i="2"/>
  <c r="J1993" i="2"/>
  <c r="I1994" i="2"/>
  <c r="J1994" i="2"/>
  <c r="I1995" i="2"/>
  <c r="J1995" i="2"/>
  <c r="I1996" i="2"/>
  <c r="J1996" i="2"/>
  <c r="I1997" i="2"/>
  <c r="J1997" i="2"/>
  <c r="I1998" i="2"/>
  <c r="J1998" i="2"/>
  <c r="I1999" i="2"/>
  <c r="J1999" i="2"/>
  <c r="I2000" i="2"/>
  <c r="J2000" i="2"/>
  <c r="I2001" i="2"/>
  <c r="J2001" i="2"/>
  <c r="I2002" i="2"/>
  <c r="J2002" i="2"/>
  <c r="I2003" i="2"/>
  <c r="J2003" i="2"/>
  <c r="I2004" i="2"/>
  <c r="J2004" i="2"/>
  <c r="I2005" i="2"/>
  <c r="J2005" i="2"/>
  <c r="I2006" i="2"/>
  <c r="J2006" i="2"/>
  <c r="I2007" i="2"/>
  <c r="J2007" i="2"/>
  <c r="I2008" i="2"/>
  <c r="J2008" i="2"/>
  <c r="I2009" i="2"/>
  <c r="J2009" i="2"/>
  <c r="I2010" i="2"/>
  <c r="J2010" i="2"/>
  <c r="I2011" i="2"/>
  <c r="J2011" i="2"/>
  <c r="I2012" i="2"/>
  <c r="J2012" i="2"/>
  <c r="I2013" i="2"/>
  <c r="J2013" i="2"/>
  <c r="I2014" i="2"/>
  <c r="J2014" i="2"/>
  <c r="I2015" i="2"/>
  <c r="J2015" i="2"/>
  <c r="I2016" i="2"/>
  <c r="J2016" i="2"/>
  <c r="I2017" i="2"/>
  <c r="J2017" i="2"/>
  <c r="I2018" i="2"/>
  <c r="J2018" i="2"/>
  <c r="I2019" i="2"/>
  <c r="J2019" i="2"/>
  <c r="I2020" i="2"/>
  <c r="J2020" i="2"/>
  <c r="I2021" i="2"/>
  <c r="J2021" i="2"/>
  <c r="I2022" i="2"/>
  <c r="J2022" i="2"/>
  <c r="I2023" i="2"/>
  <c r="J2023" i="2"/>
  <c r="I2024" i="2"/>
  <c r="J2024" i="2"/>
  <c r="I2025" i="2"/>
  <c r="J2025" i="2"/>
  <c r="I2026" i="2"/>
  <c r="J2026" i="2"/>
  <c r="I2027" i="2"/>
  <c r="J2027" i="2"/>
  <c r="I2028" i="2"/>
  <c r="J2028" i="2"/>
  <c r="I2029" i="2"/>
  <c r="J2029" i="2"/>
  <c r="I2030" i="2"/>
  <c r="J2030" i="2"/>
  <c r="I2031" i="2"/>
  <c r="J2031" i="2"/>
  <c r="I2032" i="2"/>
  <c r="J2032" i="2"/>
  <c r="I2033" i="2"/>
  <c r="J2033" i="2"/>
  <c r="I2034" i="2"/>
  <c r="J2034" i="2"/>
  <c r="I2035" i="2"/>
  <c r="J2035" i="2"/>
  <c r="I2036" i="2"/>
  <c r="J2036" i="2"/>
  <c r="I2037" i="2"/>
  <c r="J2037" i="2"/>
  <c r="I2038" i="2"/>
  <c r="J2038" i="2"/>
  <c r="I2039" i="2"/>
  <c r="J2039" i="2"/>
  <c r="I2040" i="2"/>
  <c r="J2040" i="2"/>
  <c r="I2041" i="2"/>
  <c r="J2041" i="2"/>
  <c r="I2042" i="2"/>
  <c r="J2042" i="2"/>
  <c r="I2043" i="2"/>
  <c r="J2043" i="2"/>
  <c r="I2044" i="2"/>
  <c r="J2044" i="2"/>
  <c r="I2045" i="2"/>
  <c r="J2045" i="2"/>
  <c r="I2046" i="2"/>
  <c r="J2046" i="2"/>
  <c r="I2047" i="2"/>
  <c r="J2047" i="2"/>
  <c r="I2048" i="2"/>
  <c r="J2048" i="2"/>
  <c r="I2049" i="2"/>
  <c r="J2049" i="2"/>
  <c r="I2050" i="2"/>
  <c r="J2050" i="2"/>
  <c r="I2051" i="2"/>
  <c r="J2051" i="2"/>
  <c r="I2052" i="2"/>
  <c r="J2052" i="2"/>
  <c r="I2053" i="2"/>
  <c r="J2053" i="2"/>
  <c r="I2054" i="2"/>
  <c r="J2054" i="2"/>
  <c r="I2055" i="2"/>
  <c r="J2055" i="2"/>
  <c r="I2056" i="2"/>
  <c r="J2056" i="2"/>
  <c r="I2057" i="2"/>
  <c r="J2057" i="2"/>
  <c r="I2058" i="2"/>
  <c r="J2058" i="2"/>
  <c r="I2059" i="2"/>
  <c r="J2059" i="2"/>
  <c r="I2060" i="2"/>
  <c r="J2060" i="2"/>
  <c r="I2061" i="2"/>
  <c r="J2061" i="2"/>
  <c r="I2062" i="2"/>
  <c r="J2062" i="2"/>
  <c r="I2063" i="2"/>
  <c r="J2063" i="2"/>
  <c r="I2064" i="2"/>
  <c r="J2064" i="2"/>
  <c r="I2065" i="2"/>
  <c r="J2065" i="2"/>
  <c r="I2066" i="2"/>
  <c r="J2066" i="2"/>
  <c r="I2067" i="2"/>
  <c r="J2067" i="2"/>
  <c r="I2068" i="2"/>
  <c r="J2068" i="2"/>
  <c r="I2069" i="2"/>
  <c r="J2069" i="2"/>
  <c r="I2070" i="2"/>
  <c r="J2070" i="2"/>
  <c r="I2071" i="2"/>
  <c r="J2071" i="2"/>
  <c r="I2072" i="2"/>
  <c r="J2072" i="2"/>
  <c r="I2073" i="2"/>
  <c r="J2073" i="2"/>
  <c r="I2074" i="2"/>
  <c r="J2074" i="2"/>
  <c r="I2075" i="2"/>
  <c r="J2075" i="2"/>
  <c r="I2076" i="2"/>
  <c r="J2076" i="2"/>
  <c r="I2077" i="2"/>
  <c r="J2077" i="2"/>
  <c r="I2078" i="2"/>
  <c r="J2078" i="2"/>
  <c r="I2079" i="2"/>
  <c r="J2079" i="2"/>
  <c r="I2080" i="2"/>
  <c r="J2080" i="2"/>
  <c r="I2081" i="2"/>
  <c r="J2081" i="2"/>
  <c r="I2082" i="2"/>
  <c r="J2082" i="2"/>
  <c r="C2083" i="2"/>
  <c r="I2083" i="2"/>
  <c r="J2083" i="2"/>
  <c r="C2084" i="2"/>
  <c r="I2084" i="2"/>
  <c r="J2084" i="2"/>
  <c r="I2085" i="2"/>
  <c r="J2085" i="2"/>
  <c r="I2086" i="2"/>
  <c r="J2086" i="2"/>
  <c r="I2087" i="2"/>
  <c r="J2087" i="2"/>
  <c r="C2088" i="2"/>
  <c r="I2088" i="2"/>
  <c r="J2088" i="2"/>
  <c r="I2089" i="2"/>
  <c r="J2089" i="2"/>
  <c r="I2090" i="2"/>
  <c r="J2090" i="2"/>
  <c r="I2091" i="2"/>
  <c r="J2091" i="2"/>
  <c r="I2092" i="2"/>
  <c r="J2092" i="2"/>
  <c r="I2093" i="2"/>
  <c r="J2093" i="2"/>
  <c r="I2094" i="2"/>
  <c r="J2094" i="2"/>
  <c r="I2095" i="2"/>
  <c r="J2095" i="2"/>
  <c r="I2096" i="2"/>
  <c r="J2096" i="2"/>
  <c r="I2097" i="2"/>
  <c r="J2097" i="2"/>
  <c r="I2098" i="2"/>
  <c r="J2098" i="2"/>
  <c r="I2099" i="2"/>
  <c r="J2099" i="2"/>
  <c r="I2100" i="2"/>
  <c r="J2100" i="2"/>
  <c r="I2101" i="2"/>
  <c r="J2101" i="2"/>
  <c r="I2102" i="2"/>
  <c r="J2102" i="2"/>
  <c r="I2103" i="2"/>
  <c r="J2103" i="2"/>
  <c r="I2104" i="2"/>
  <c r="J2104" i="2"/>
  <c r="I2105" i="2"/>
  <c r="J2105" i="2"/>
  <c r="I2106" i="2"/>
  <c r="J2106" i="2"/>
  <c r="I2107" i="2"/>
  <c r="J2107" i="2"/>
  <c r="I2108" i="2"/>
  <c r="J2108" i="2"/>
  <c r="I2109" i="2"/>
  <c r="J2109" i="2"/>
  <c r="I2110" i="2"/>
  <c r="J2110" i="2"/>
  <c r="I2111" i="2"/>
  <c r="J2111" i="2"/>
  <c r="I2112" i="2"/>
  <c r="J2112" i="2"/>
  <c r="I2113" i="2"/>
  <c r="J2113" i="2"/>
  <c r="I2114" i="2"/>
  <c r="J2114" i="2"/>
  <c r="I2115" i="2"/>
  <c r="J2115" i="2"/>
  <c r="I2116" i="2"/>
  <c r="J2116" i="2"/>
  <c r="I2117" i="2"/>
  <c r="J2117" i="2"/>
  <c r="I2118" i="2"/>
  <c r="J2118" i="2"/>
  <c r="I2119" i="2"/>
  <c r="J2119" i="2"/>
  <c r="I2120" i="2"/>
  <c r="J2120" i="2"/>
  <c r="I2121" i="2"/>
  <c r="J2121" i="2"/>
  <c r="I2122" i="2"/>
  <c r="J2122" i="2"/>
  <c r="I2123" i="2"/>
  <c r="J2123" i="2"/>
  <c r="I2124" i="2"/>
  <c r="J2124" i="2"/>
  <c r="I2125" i="2"/>
  <c r="J2125" i="2"/>
  <c r="I2126" i="2"/>
  <c r="J2126" i="2"/>
  <c r="I2127" i="2"/>
  <c r="J2127" i="2"/>
  <c r="I2128" i="2"/>
  <c r="J2128" i="2"/>
  <c r="I2129" i="2"/>
  <c r="J2129" i="2"/>
  <c r="I2130" i="2"/>
  <c r="J2130" i="2"/>
  <c r="I2131" i="2"/>
  <c r="J2131" i="2"/>
  <c r="I2132" i="2"/>
  <c r="J2132" i="2"/>
  <c r="I2133" i="2"/>
  <c r="J2133" i="2"/>
  <c r="I2134" i="2"/>
  <c r="J2134" i="2"/>
  <c r="I2135" i="2"/>
  <c r="J2135" i="2"/>
  <c r="I2136" i="2"/>
  <c r="J2136" i="2"/>
  <c r="I2137" i="2"/>
  <c r="J2137" i="2"/>
  <c r="I2138" i="2"/>
  <c r="J2138" i="2"/>
  <c r="I2139" i="2"/>
  <c r="J2139" i="2"/>
  <c r="I2140" i="2"/>
  <c r="J2140" i="2"/>
  <c r="I2141" i="2"/>
  <c r="J2141" i="2"/>
  <c r="I2142" i="2"/>
  <c r="J2142" i="2"/>
  <c r="I2143" i="2"/>
  <c r="J2143" i="2"/>
  <c r="I2144" i="2"/>
  <c r="J2144" i="2"/>
  <c r="I2145" i="2"/>
  <c r="J2145" i="2"/>
  <c r="I2146" i="2"/>
  <c r="J2146" i="2"/>
  <c r="I2147" i="2"/>
  <c r="J2147" i="2"/>
  <c r="I2148" i="2"/>
  <c r="J2148" i="2"/>
  <c r="I2149" i="2"/>
  <c r="J2149" i="2"/>
  <c r="I2150" i="2"/>
  <c r="J2150" i="2"/>
  <c r="I2151" i="2"/>
  <c r="J2151" i="2"/>
  <c r="I2152" i="2"/>
  <c r="J2152" i="2"/>
  <c r="I2153" i="2"/>
  <c r="J2153" i="2"/>
  <c r="I2154" i="2"/>
  <c r="J2154" i="2"/>
  <c r="I2155" i="2"/>
  <c r="J2155" i="2"/>
  <c r="I2156" i="2"/>
  <c r="J2156" i="2"/>
  <c r="I2157" i="2"/>
  <c r="J2157" i="2"/>
  <c r="I2158" i="2"/>
  <c r="J2158" i="2"/>
  <c r="I2159" i="2"/>
  <c r="J2159" i="2"/>
  <c r="I2160" i="2"/>
  <c r="J2160" i="2"/>
  <c r="I2161" i="2"/>
  <c r="J2161" i="2"/>
  <c r="I2162" i="2"/>
  <c r="J2162" i="2"/>
  <c r="I2163" i="2"/>
  <c r="J2163" i="2"/>
  <c r="I2164" i="2"/>
  <c r="J2164" i="2"/>
  <c r="I2165" i="2"/>
  <c r="J2165" i="2"/>
  <c r="I2166" i="2"/>
  <c r="J2166" i="2"/>
  <c r="I2167" i="2"/>
  <c r="J2167" i="2"/>
  <c r="I2168" i="2"/>
  <c r="J2168" i="2"/>
  <c r="I2169" i="2"/>
  <c r="J2169" i="2"/>
  <c r="I2170" i="2"/>
  <c r="J2170" i="2"/>
  <c r="I2171" i="2"/>
  <c r="J2171" i="2"/>
  <c r="I2172" i="2"/>
  <c r="J2172" i="2"/>
  <c r="I2173" i="2"/>
  <c r="J2173" i="2"/>
  <c r="I2174" i="2"/>
  <c r="J2174" i="2"/>
  <c r="I2175" i="2"/>
  <c r="J2175" i="2"/>
  <c r="I2176" i="2"/>
  <c r="J2176" i="2"/>
  <c r="I2177" i="2"/>
  <c r="J2177" i="2"/>
  <c r="I2178" i="2"/>
  <c r="J2178" i="2"/>
  <c r="I2179" i="2"/>
  <c r="J2179" i="2"/>
  <c r="I2180" i="2"/>
  <c r="J2180" i="2"/>
  <c r="I2181" i="2"/>
  <c r="J2181" i="2"/>
  <c r="I2182" i="2"/>
  <c r="J2182" i="2"/>
  <c r="I2183" i="2"/>
  <c r="J2183" i="2"/>
  <c r="I2184" i="2"/>
  <c r="J2184" i="2"/>
  <c r="I2185" i="2"/>
  <c r="J2185" i="2"/>
  <c r="I2186" i="2"/>
  <c r="J2186" i="2"/>
  <c r="I2187" i="2"/>
  <c r="J2187" i="2"/>
  <c r="I2188" i="2"/>
  <c r="J2188" i="2"/>
  <c r="I2189" i="2"/>
  <c r="J2189" i="2"/>
  <c r="I2190" i="2"/>
  <c r="J2190" i="2"/>
  <c r="I2191" i="2"/>
  <c r="J2191" i="2"/>
  <c r="I2192" i="2"/>
  <c r="J2192" i="2"/>
  <c r="I2193" i="2"/>
  <c r="J2193" i="2"/>
  <c r="I2194" i="2"/>
  <c r="J2194" i="2"/>
  <c r="I2195" i="2"/>
  <c r="J2195" i="2"/>
  <c r="I2196" i="2"/>
  <c r="J2196" i="2"/>
  <c r="I2197" i="2"/>
  <c r="J2197" i="2"/>
  <c r="I2198" i="2"/>
  <c r="J2198" i="2"/>
  <c r="I2199" i="2"/>
  <c r="J2199" i="2"/>
  <c r="I2200" i="2"/>
  <c r="J2200" i="2"/>
  <c r="I2201" i="2"/>
  <c r="J2201" i="2"/>
  <c r="I2202" i="2"/>
  <c r="J2202" i="2"/>
  <c r="I2203" i="2"/>
  <c r="J2203" i="2"/>
  <c r="I2204" i="2"/>
  <c r="J2204" i="2"/>
  <c r="I2205" i="2"/>
  <c r="J2205" i="2"/>
  <c r="I2206" i="2"/>
  <c r="J2206" i="2"/>
  <c r="I2207" i="2"/>
  <c r="J2207" i="2"/>
  <c r="I2208" i="2"/>
  <c r="J2208" i="2"/>
  <c r="I2209" i="2"/>
  <c r="J2209" i="2"/>
  <c r="I2210" i="2"/>
  <c r="J2210" i="2"/>
  <c r="I2211" i="2"/>
  <c r="J2211" i="2"/>
  <c r="I2212" i="2"/>
  <c r="J2212" i="2"/>
  <c r="I2213" i="2"/>
  <c r="J2213" i="2"/>
  <c r="I2214" i="2"/>
  <c r="J2214" i="2"/>
  <c r="I2215" i="2"/>
  <c r="J2215" i="2"/>
  <c r="I2216" i="2"/>
  <c r="J2216" i="2"/>
  <c r="I2217" i="2"/>
  <c r="J2217" i="2"/>
  <c r="I2218" i="2"/>
  <c r="J2218" i="2"/>
  <c r="I2219" i="2"/>
  <c r="J2219" i="2"/>
  <c r="I2220" i="2"/>
  <c r="J2220" i="2"/>
  <c r="I2221" i="2"/>
  <c r="J2221" i="2"/>
  <c r="I2222" i="2"/>
  <c r="J2222" i="2"/>
  <c r="I2223" i="2"/>
  <c r="J2223" i="2"/>
  <c r="I2224" i="2"/>
  <c r="J2224" i="2"/>
  <c r="I2225" i="2"/>
  <c r="J2225" i="2"/>
  <c r="I2226" i="2"/>
  <c r="J2226" i="2"/>
  <c r="I2227" i="2"/>
  <c r="J2227" i="2"/>
  <c r="I2228" i="2"/>
  <c r="J2228" i="2"/>
  <c r="I2229" i="2"/>
  <c r="J2229" i="2"/>
  <c r="I2230" i="2"/>
  <c r="J2230" i="2"/>
  <c r="I2231" i="2"/>
  <c r="J2231" i="2"/>
  <c r="I2232" i="2"/>
  <c r="J2232" i="2"/>
  <c r="I2233" i="2"/>
  <c r="J2233" i="2"/>
  <c r="I2234" i="2"/>
  <c r="J2234" i="2"/>
  <c r="I2235" i="2"/>
  <c r="J2235" i="2"/>
  <c r="I2236" i="2"/>
  <c r="J2236" i="2"/>
  <c r="I2237" i="2"/>
  <c r="J2237" i="2"/>
  <c r="I2238" i="2"/>
  <c r="J2238" i="2"/>
  <c r="I2239" i="2"/>
  <c r="J2239" i="2"/>
  <c r="I2240" i="2"/>
  <c r="J2240" i="2"/>
  <c r="I2241" i="2"/>
  <c r="J2241" i="2"/>
  <c r="I2242" i="2"/>
  <c r="J2242" i="2"/>
  <c r="I2243" i="2"/>
  <c r="J2243" i="2"/>
  <c r="I2244" i="2"/>
  <c r="J2244" i="2"/>
  <c r="I2245" i="2"/>
  <c r="J2245" i="2"/>
  <c r="I2246" i="2"/>
  <c r="J2246" i="2"/>
  <c r="I2247" i="2"/>
  <c r="J2247" i="2"/>
  <c r="I2248" i="2"/>
  <c r="J2248" i="2"/>
  <c r="I2249" i="2"/>
  <c r="J2249" i="2"/>
  <c r="I2250" i="2"/>
  <c r="J2250" i="2"/>
  <c r="I2251" i="2"/>
  <c r="J2251" i="2"/>
  <c r="I2252" i="2"/>
  <c r="J2252" i="2"/>
  <c r="I2253" i="2"/>
  <c r="J2253" i="2"/>
  <c r="I2254" i="2"/>
  <c r="J2254" i="2"/>
  <c r="I2255" i="2"/>
  <c r="J2255" i="2"/>
  <c r="I2256" i="2"/>
  <c r="J2256" i="2"/>
  <c r="I2257" i="2"/>
  <c r="J2257" i="2"/>
  <c r="I2258" i="2"/>
  <c r="J2258" i="2"/>
  <c r="I2259" i="2"/>
  <c r="J2259" i="2"/>
  <c r="I2260" i="2"/>
  <c r="J2260" i="2"/>
  <c r="I2261" i="2"/>
  <c r="J2261" i="2"/>
  <c r="I2262" i="2"/>
  <c r="J2262" i="2"/>
  <c r="I2263" i="2"/>
  <c r="J2263" i="2"/>
  <c r="I2264" i="2"/>
  <c r="J2264" i="2"/>
  <c r="I2265" i="2"/>
  <c r="J2265" i="2"/>
  <c r="I2266" i="2"/>
  <c r="J2266" i="2"/>
  <c r="I2267" i="2"/>
  <c r="J2267" i="2"/>
  <c r="I2268" i="2"/>
  <c r="J2268" i="2"/>
  <c r="I2269" i="2"/>
  <c r="J2269" i="2"/>
  <c r="I2270" i="2"/>
  <c r="J2270" i="2"/>
  <c r="I2271" i="2"/>
  <c r="J2271" i="2"/>
  <c r="I2272" i="2"/>
  <c r="J2272" i="2"/>
  <c r="I2273" i="2"/>
  <c r="J2273" i="2"/>
  <c r="I2274" i="2"/>
  <c r="J2274" i="2"/>
  <c r="I2275" i="2"/>
  <c r="J2275" i="2"/>
  <c r="I2276" i="2"/>
  <c r="J2276" i="2"/>
  <c r="I2277" i="2"/>
  <c r="J2277" i="2"/>
  <c r="I2278" i="2"/>
  <c r="J2278" i="2"/>
  <c r="I2279" i="2"/>
  <c r="J2279" i="2"/>
  <c r="I2280" i="2"/>
  <c r="J2280" i="2"/>
  <c r="I2281" i="2"/>
  <c r="J2281" i="2"/>
  <c r="I2282" i="2"/>
  <c r="J2282" i="2"/>
  <c r="I2283" i="2"/>
  <c r="J2283" i="2"/>
  <c r="I2284" i="2"/>
  <c r="J2284" i="2"/>
  <c r="I2285" i="2"/>
  <c r="J2285" i="2"/>
  <c r="I2286" i="2"/>
  <c r="J2286" i="2"/>
  <c r="I2287" i="2"/>
  <c r="J2287" i="2"/>
  <c r="I2288" i="2"/>
  <c r="J2288" i="2"/>
  <c r="I2289" i="2"/>
  <c r="J2289" i="2"/>
  <c r="I2290" i="2"/>
  <c r="J2290" i="2"/>
  <c r="I2291" i="2"/>
  <c r="J2291" i="2"/>
  <c r="I2292" i="2"/>
  <c r="J2292" i="2"/>
  <c r="I2293" i="2"/>
  <c r="J2293" i="2"/>
  <c r="I2294" i="2"/>
  <c r="J2294" i="2"/>
  <c r="I2295" i="2"/>
  <c r="J2295" i="2"/>
  <c r="I2296" i="2"/>
  <c r="J2296" i="2"/>
  <c r="I2297" i="2"/>
  <c r="J2297" i="2"/>
  <c r="I2298" i="2"/>
  <c r="J2298" i="2"/>
  <c r="I2299" i="2"/>
  <c r="J2299" i="2"/>
  <c r="I2300" i="2"/>
  <c r="J2300" i="2"/>
  <c r="I2301" i="2"/>
  <c r="J2301" i="2"/>
  <c r="I2302" i="2"/>
  <c r="J2302" i="2"/>
  <c r="I2303" i="2"/>
  <c r="J2303" i="2"/>
  <c r="I2304" i="2"/>
  <c r="J2304" i="2"/>
  <c r="I2305" i="2"/>
  <c r="J2305" i="2"/>
  <c r="I2306" i="2"/>
  <c r="J2306" i="2"/>
  <c r="I2307" i="2"/>
  <c r="J2307" i="2"/>
  <c r="I2308" i="2"/>
  <c r="J2308" i="2"/>
  <c r="I2309" i="2"/>
  <c r="J2309" i="2"/>
  <c r="I2310" i="2"/>
  <c r="J2310" i="2"/>
  <c r="I2311" i="2"/>
  <c r="J2311" i="2"/>
  <c r="I2312" i="2"/>
  <c r="J2312" i="2"/>
  <c r="I2313" i="2"/>
  <c r="J2313" i="2"/>
  <c r="I2314" i="2"/>
  <c r="J2314" i="2"/>
  <c r="I2315" i="2"/>
  <c r="J2315" i="2"/>
  <c r="I2316" i="2"/>
  <c r="J2316" i="2"/>
  <c r="I2317" i="2"/>
  <c r="J2317" i="2"/>
  <c r="I2318" i="2"/>
  <c r="J2318" i="2"/>
  <c r="I2319" i="2"/>
  <c r="J2319" i="2"/>
  <c r="I2320" i="2"/>
  <c r="J2320" i="2"/>
  <c r="I2321" i="2"/>
  <c r="J2321" i="2"/>
  <c r="I2322" i="2"/>
  <c r="J2322" i="2"/>
  <c r="I2323" i="2"/>
  <c r="J2323" i="2"/>
  <c r="I2324" i="2"/>
  <c r="J2324" i="2"/>
  <c r="I2325" i="2"/>
  <c r="J2325" i="2"/>
  <c r="I2326" i="2"/>
  <c r="J2326" i="2"/>
  <c r="I2327" i="2"/>
  <c r="J2327" i="2"/>
  <c r="I2328" i="2"/>
  <c r="J2328" i="2"/>
  <c r="I2329" i="2"/>
  <c r="J2329" i="2"/>
  <c r="I2330" i="2"/>
  <c r="J2330" i="2"/>
  <c r="I2331" i="2"/>
  <c r="J2331" i="2"/>
  <c r="I2332" i="2"/>
  <c r="J2332" i="2"/>
  <c r="I2333" i="2"/>
  <c r="J2333" i="2"/>
  <c r="I2334" i="2"/>
  <c r="J2334" i="2"/>
  <c r="I2335" i="2"/>
  <c r="J2335" i="2"/>
  <c r="I2336" i="2"/>
  <c r="J2336" i="2"/>
  <c r="I2337" i="2"/>
  <c r="J2337" i="2"/>
  <c r="I2338" i="2"/>
  <c r="J2338" i="2"/>
  <c r="I2339" i="2"/>
  <c r="J2339" i="2"/>
  <c r="I2340" i="2"/>
  <c r="J2340" i="2"/>
  <c r="I2341" i="2"/>
  <c r="J2341" i="2"/>
  <c r="I2342" i="2"/>
  <c r="J2342" i="2"/>
  <c r="I2343" i="2"/>
  <c r="J2343" i="2"/>
  <c r="I2344" i="2"/>
  <c r="J2344" i="2"/>
  <c r="I2345" i="2"/>
  <c r="J2345" i="2"/>
  <c r="I2346" i="2"/>
  <c r="J2346" i="2"/>
  <c r="I2347" i="2"/>
  <c r="J2347" i="2"/>
  <c r="I2348" i="2"/>
  <c r="J2348" i="2"/>
  <c r="I2349" i="2"/>
  <c r="J2349" i="2"/>
  <c r="I2350" i="2"/>
  <c r="J2350" i="2"/>
  <c r="I2351" i="2"/>
  <c r="J2351" i="2"/>
  <c r="I2352" i="2"/>
  <c r="J2352" i="2"/>
  <c r="I2353" i="2"/>
  <c r="J2353" i="2"/>
  <c r="I2354" i="2"/>
  <c r="J2354" i="2"/>
  <c r="I2355" i="2"/>
  <c r="J2355" i="2"/>
  <c r="I2356" i="2"/>
  <c r="J2356" i="2"/>
  <c r="I2357" i="2"/>
  <c r="J2357" i="2"/>
  <c r="I2358" i="2"/>
  <c r="J2358" i="2"/>
  <c r="I2359" i="2"/>
  <c r="J2359" i="2"/>
  <c r="I2360" i="2"/>
  <c r="J2360" i="2"/>
  <c r="I2361" i="2"/>
  <c r="J2361" i="2"/>
  <c r="I2362" i="2"/>
  <c r="J2362" i="2"/>
  <c r="I2363" i="2"/>
  <c r="J2363" i="2"/>
  <c r="I2364" i="2"/>
  <c r="J2364" i="2"/>
  <c r="I2365" i="2"/>
  <c r="J2365" i="2"/>
  <c r="I2366" i="2"/>
  <c r="J2366" i="2"/>
  <c r="I2367" i="2"/>
  <c r="J2367" i="2"/>
  <c r="I2368" i="2"/>
  <c r="J2368" i="2"/>
  <c r="I2369" i="2"/>
  <c r="J2369" i="2"/>
  <c r="I2370" i="2"/>
  <c r="J2370" i="2"/>
  <c r="I2371" i="2"/>
  <c r="J2371" i="2"/>
  <c r="I2372" i="2"/>
  <c r="J2372" i="2"/>
  <c r="I2373" i="2"/>
  <c r="J2373" i="2"/>
  <c r="I2374" i="2"/>
  <c r="J2374" i="2"/>
  <c r="I2375" i="2"/>
  <c r="J2375" i="2"/>
  <c r="I2376" i="2"/>
  <c r="J2376" i="2"/>
  <c r="I2377" i="2"/>
  <c r="J2377" i="2"/>
  <c r="I2378" i="2"/>
  <c r="J2378" i="2"/>
  <c r="I2379" i="2"/>
  <c r="J2379" i="2"/>
  <c r="I2380" i="2"/>
  <c r="J2380" i="2"/>
  <c r="I2381" i="2"/>
  <c r="J2381" i="2"/>
  <c r="I2382" i="2"/>
  <c r="J2382" i="2"/>
  <c r="I2383" i="2"/>
  <c r="J2383" i="2"/>
  <c r="I2384" i="2"/>
  <c r="J2384" i="2"/>
  <c r="I2385" i="2"/>
  <c r="J2385" i="2"/>
  <c r="I2386" i="2"/>
  <c r="J2386" i="2"/>
  <c r="I2387" i="2"/>
  <c r="J2387" i="2"/>
  <c r="I2388" i="2"/>
  <c r="J2388" i="2"/>
  <c r="I2389" i="2"/>
  <c r="J2389" i="2"/>
  <c r="I2390" i="2"/>
  <c r="J2390" i="2"/>
  <c r="I2391" i="2"/>
  <c r="J2391" i="2"/>
  <c r="I2392" i="2"/>
  <c r="J2392" i="2"/>
  <c r="I2393" i="2"/>
  <c r="J2393" i="2"/>
  <c r="I2394" i="2"/>
  <c r="J2394" i="2"/>
  <c r="I2395" i="2"/>
  <c r="J2395" i="2"/>
  <c r="I2396" i="2"/>
  <c r="J2396" i="2"/>
  <c r="I2397" i="2"/>
  <c r="J2397" i="2"/>
  <c r="I2398" i="2"/>
  <c r="J2398" i="2"/>
  <c r="I2399" i="2"/>
  <c r="J2399" i="2"/>
  <c r="I2400" i="2"/>
  <c r="J2400" i="2"/>
  <c r="I2401" i="2"/>
  <c r="J2401" i="2"/>
  <c r="I2402" i="2"/>
  <c r="J2402" i="2"/>
  <c r="I2403" i="2"/>
  <c r="J2403" i="2"/>
  <c r="I2404" i="2"/>
  <c r="J2404" i="2"/>
  <c r="I2405" i="2"/>
  <c r="J2405" i="2"/>
  <c r="I2406" i="2"/>
  <c r="J2406" i="2"/>
  <c r="I2407" i="2"/>
  <c r="J2407" i="2"/>
  <c r="I2408" i="2"/>
  <c r="J2408" i="2"/>
  <c r="I2409" i="2"/>
  <c r="J2409" i="2"/>
  <c r="I2410" i="2"/>
  <c r="J2410" i="2"/>
  <c r="I2411" i="2"/>
  <c r="J2411" i="2"/>
  <c r="I2412" i="2"/>
  <c r="J2412" i="2"/>
  <c r="I2413" i="2"/>
  <c r="J2413" i="2"/>
  <c r="I2414" i="2"/>
  <c r="J2414" i="2"/>
  <c r="I2415" i="2"/>
  <c r="J2415" i="2"/>
  <c r="I2416" i="2"/>
  <c r="J2416" i="2"/>
  <c r="I2417" i="2"/>
  <c r="J2417" i="2"/>
  <c r="I2418" i="2"/>
  <c r="J2418" i="2"/>
  <c r="I2419" i="2"/>
  <c r="J2419" i="2"/>
  <c r="I2420" i="2"/>
  <c r="J2420" i="2"/>
  <c r="I2421" i="2"/>
  <c r="J2421" i="2"/>
  <c r="I2422" i="2"/>
  <c r="J2422" i="2"/>
  <c r="I2423" i="2"/>
  <c r="J2423" i="2"/>
  <c r="I2424" i="2"/>
  <c r="J2424" i="2"/>
  <c r="I2425" i="2"/>
  <c r="J2425" i="2"/>
  <c r="I2426" i="2"/>
  <c r="J2426" i="2"/>
  <c r="I2427" i="2"/>
  <c r="J2427" i="2"/>
  <c r="I2428" i="2"/>
  <c r="J2428" i="2"/>
  <c r="I2429" i="2"/>
  <c r="J2429" i="2"/>
  <c r="I2430" i="2"/>
  <c r="J2430" i="2"/>
  <c r="I2431" i="2"/>
  <c r="J2431" i="2"/>
  <c r="I2432" i="2"/>
  <c r="J2432" i="2"/>
  <c r="I2433" i="2"/>
  <c r="J2433" i="2"/>
  <c r="I2434" i="2"/>
  <c r="J2434" i="2"/>
  <c r="I2435" i="2"/>
  <c r="J2435" i="2"/>
  <c r="I2436" i="2"/>
  <c r="J2436" i="2"/>
  <c r="I2437" i="2"/>
  <c r="J2437" i="2"/>
  <c r="I2438" i="2"/>
  <c r="J2438" i="2"/>
  <c r="I2439" i="2"/>
  <c r="J2439" i="2"/>
  <c r="I2440" i="2"/>
  <c r="J2440" i="2"/>
  <c r="I2441" i="2"/>
  <c r="J2441" i="2"/>
  <c r="I2442" i="2"/>
  <c r="J2442" i="2"/>
  <c r="I2443" i="2"/>
  <c r="J2443" i="2"/>
  <c r="I2444" i="2"/>
  <c r="J2444" i="2"/>
  <c r="I2445" i="2"/>
  <c r="J2445" i="2"/>
  <c r="I2446" i="2"/>
  <c r="J2446" i="2"/>
  <c r="I2447" i="2"/>
  <c r="J2447" i="2"/>
  <c r="I2448" i="2"/>
  <c r="J2448" i="2"/>
  <c r="I2449" i="2"/>
  <c r="J2449" i="2"/>
  <c r="I2450" i="2"/>
  <c r="J2450" i="2"/>
  <c r="I2451" i="2"/>
  <c r="J2451" i="2"/>
  <c r="I2452" i="2"/>
  <c r="J2452" i="2"/>
  <c r="I2453" i="2"/>
  <c r="J2453" i="2"/>
  <c r="I2454" i="2"/>
  <c r="J2454" i="2"/>
  <c r="I2455" i="2"/>
  <c r="J2455" i="2"/>
  <c r="I2456" i="2"/>
  <c r="J2456" i="2"/>
  <c r="I2457" i="2"/>
  <c r="J2457" i="2"/>
  <c r="I2458" i="2"/>
  <c r="J2458" i="2"/>
  <c r="I2459" i="2"/>
  <c r="J2459" i="2"/>
  <c r="I2460" i="2"/>
  <c r="J2460" i="2"/>
  <c r="I2461" i="2"/>
  <c r="J2461" i="2"/>
  <c r="I2462" i="2"/>
  <c r="J2462" i="2"/>
  <c r="I2463" i="2"/>
  <c r="J2463" i="2"/>
  <c r="I2464" i="2"/>
  <c r="J2464" i="2"/>
  <c r="I2465" i="2"/>
  <c r="J2465" i="2"/>
  <c r="I2466" i="2"/>
  <c r="J2466" i="2"/>
  <c r="I2467" i="2"/>
  <c r="J2467" i="2"/>
  <c r="I2468" i="2"/>
  <c r="J2468" i="2"/>
  <c r="I2469" i="2"/>
  <c r="J2469" i="2"/>
  <c r="I2470" i="2"/>
  <c r="J2470" i="2"/>
  <c r="I2471" i="2"/>
  <c r="J2471" i="2"/>
  <c r="I2472" i="2"/>
  <c r="J2472" i="2"/>
  <c r="I2473" i="2"/>
  <c r="J2473" i="2"/>
  <c r="I2474" i="2"/>
  <c r="J2474" i="2"/>
  <c r="I2475" i="2"/>
  <c r="J2475" i="2"/>
  <c r="I2476" i="2"/>
  <c r="J2476" i="2"/>
  <c r="I2477" i="2"/>
  <c r="J2477" i="2"/>
  <c r="I2478" i="2"/>
  <c r="J2478" i="2"/>
  <c r="I2479" i="2"/>
  <c r="J2479" i="2"/>
  <c r="I2480" i="2"/>
  <c r="J2480" i="2"/>
  <c r="I2481" i="2"/>
  <c r="J2481" i="2"/>
  <c r="I2482" i="2"/>
  <c r="J2482" i="2"/>
  <c r="I2483" i="2"/>
  <c r="J2483" i="2"/>
  <c r="I2484" i="2"/>
  <c r="J2484" i="2"/>
  <c r="I2485" i="2"/>
  <c r="J2485" i="2"/>
  <c r="I2486" i="2"/>
  <c r="J2486" i="2"/>
  <c r="I2487" i="2"/>
  <c r="J2487" i="2"/>
  <c r="I2488" i="2"/>
  <c r="J2488" i="2"/>
  <c r="I2489" i="2"/>
  <c r="J2489" i="2"/>
  <c r="I2490" i="2"/>
  <c r="J2490" i="2"/>
  <c r="I2491" i="2"/>
  <c r="J2491" i="2"/>
  <c r="I2492" i="2"/>
  <c r="J2492" i="2"/>
  <c r="I2493" i="2"/>
  <c r="J2493" i="2"/>
  <c r="I2494" i="2"/>
  <c r="J2494" i="2"/>
  <c r="I2495" i="2"/>
  <c r="J2495" i="2"/>
  <c r="I2496" i="2"/>
  <c r="J2496" i="2"/>
  <c r="I2497" i="2"/>
  <c r="J2497" i="2"/>
  <c r="I2498" i="2"/>
  <c r="J2498" i="2"/>
  <c r="I2499" i="2"/>
  <c r="J2499" i="2"/>
  <c r="I2500" i="2"/>
  <c r="J2500" i="2"/>
  <c r="I2501" i="2"/>
  <c r="J2501" i="2"/>
  <c r="I2502" i="2"/>
  <c r="J2502" i="2"/>
  <c r="I2503" i="2"/>
  <c r="J2503" i="2"/>
  <c r="I2504" i="2"/>
  <c r="J2504" i="2"/>
  <c r="I2505" i="2"/>
  <c r="J2505" i="2"/>
  <c r="I2506" i="2"/>
  <c r="J2506" i="2"/>
  <c r="I2507" i="2"/>
  <c r="J2507" i="2"/>
  <c r="I2508" i="2"/>
  <c r="J2508" i="2"/>
  <c r="I2509" i="2"/>
  <c r="J2509" i="2"/>
  <c r="I2510" i="2"/>
  <c r="J2510" i="2"/>
  <c r="I2511" i="2"/>
  <c r="J2511" i="2"/>
  <c r="I2512" i="2"/>
  <c r="J2512" i="2"/>
  <c r="I2513" i="2"/>
  <c r="J2513" i="2"/>
  <c r="I2514" i="2"/>
  <c r="J2514" i="2"/>
  <c r="I2515" i="2"/>
  <c r="J2515" i="2"/>
  <c r="I2516" i="2"/>
  <c r="J2516" i="2"/>
  <c r="I2517" i="2"/>
  <c r="J2517" i="2"/>
  <c r="I2518" i="2"/>
  <c r="J2518" i="2"/>
  <c r="I2519" i="2"/>
  <c r="J2519" i="2"/>
  <c r="I2520" i="2"/>
  <c r="J2520" i="2"/>
  <c r="I2521" i="2"/>
  <c r="J2521" i="2"/>
  <c r="I2522" i="2"/>
  <c r="J2522" i="2"/>
  <c r="I2523" i="2"/>
  <c r="J2523" i="2"/>
  <c r="I2524" i="2"/>
  <c r="J2524" i="2"/>
  <c r="I2525" i="2"/>
  <c r="J2525" i="2"/>
  <c r="I2526" i="2"/>
  <c r="J2526" i="2"/>
  <c r="I2527" i="2"/>
  <c r="J2527" i="2"/>
  <c r="I2528" i="2"/>
  <c r="J2528" i="2"/>
  <c r="I2529" i="2"/>
  <c r="J2529" i="2"/>
  <c r="I2530" i="2"/>
  <c r="J2530" i="2"/>
  <c r="I2531" i="2"/>
  <c r="J2531" i="2"/>
  <c r="I2532" i="2"/>
  <c r="J2532" i="2"/>
  <c r="I2533" i="2"/>
  <c r="J2533" i="2"/>
  <c r="I2534" i="2"/>
  <c r="J2534" i="2"/>
  <c r="I2535" i="2"/>
  <c r="J2535" i="2"/>
  <c r="I2536" i="2"/>
  <c r="J2536" i="2"/>
  <c r="I2537" i="2"/>
  <c r="J2537" i="2"/>
  <c r="I2538" i="2"/>
  <c r="J2538" i="2"/>
  <c r="I2539" i="2"/>
  <c r="J2539" i="2"/>
  <c r="I2540" i="2"/>
  <c r="J2540" i="2"/>
  <c r="I2541" i="2"/>
  <c r="J2541" i="2"/>
  <c r="I2542" i="2"/>
  <c r="J2542" i="2"/>
  <c r="I2543" i="2"/>
  <c r="J2543" i="2"/>
  <c r="I2544" i="2"/>
  <c r="J2544" i="2"/>
  <c r="I2545" i="2"/>
  <c r="J2545" i="2"/>
  <c r="I2546" i="2"/>
  <c r="J2546" i="2"/>
  <c r="I2547" i="2"/>
  <c r="J2547" i="2"/>
  <c r="I2548" i="2"/>
  <c r="J2548" i="2"/>
  <c r="I2549" i="2"/>
  <c r="J2549" i="2"/>
  <c r="I2550" i="2"/>
  <c r="J2550" i="2"/>
  <c r="I2551" i="2"/>
  <c r="J2551" i="2"/>
  <c r="I2552" i="2"/>
  <c r="J2552" i="2"/>
  <c r="I2553" i="2"/>
  <c r="J2553" i="2"/>
  <c r="I2554" i="2"/>
  <c r="J2554" i="2"/>
  <c r="I2555" i="2"/>
  <c r="J2555" i="2"/>
  <c r="I2556" i="2"/>
  <c r="J2556" i="2"/>
  <c r="I2557" i="2"/>
  <c r="J2557" i="2"/>
  <c r="I2558" i="2"/>
  <c r="J2558" i="2"/>
  <c r="I2559" i="2"/>
  <c r="J2559" i="2"/>
  <c r="I2560" i="2"/>
  <c r="J2560" i="2"/>
  <c r="I2561" i="2"/>
  <c r="J2561" i="2"/>
  <c r="I2562" i="2"/>
  <c r="J2562" i="2"/>
  <c r="I2563" i="2"/>
  <c r="J2563" i="2"/>
  <c r="I2564" i="2"/>
  <c r="J2564" i="2"/>
  <c r="I2565" i="2"/>
  <c r="J2565" i="2"/>
  <c r="I2566" i="2"/>
  <c r="J2566" i="2"/>
  <c r="I2567" i="2"/>
  <c r="J2567" i="2"/>
  <c r="I2568" i="2"/>
  <c r="J2568" i="2"/>
  <c r="I2569" i="2"/>
  <c r="J2569" i="2"/>
  <c r="I2570" i="2"/>
  <c r="J2570" i="2"/>
  <c r="I2571" i="2"/>
  <c r="J2571" i="2"/>
  <c r="I2572" i="2"/>
  <c r="J2572" i="2"/>
  <c r="I2573" i="2"/>
  <c r="J2573" i="2"/>
  <c r="I2574" i="2"/>
  <c r="J2574" i="2"/>
  <c r="I2575" i="2"/>
  <c r="J2575" i="2"/>
  <c r="I2576" i="2"/>
  <c r="J2576" i="2"/>
  <c r="I2577" i="2"/>
  <c r="J2577" i="2"/>
  <c r="I2578" i="2"/>
  <c r="J2578" i="2"/>
  <c r="I2579" i="2"/>
  <c r="J2579" i="2"/>
  <c r="I2580" i="2"/>
  <c r="J2580" i="2"/>
  <c r="I2581" i="2"/>
  <c r="J2581" i="2"/>
  <c r="I2582" i="2"/>
  <c r="J2582" i="2"/>
  <c r="I2583" i="2"/>
  <c r="J2583" i="2"/>
  <c r="I2584" i="2"/>
  <c r="J2584" i="2"/>
  <c r="I2585" i="2"/>
  <c r="J2585" i="2"/>
  <c r="I2586" i="2"/>
  <c r="J2586" i="2"/>
  <c r="I2587" i="2"/>
  <c r="J2587" i="2"/>
  <c r="I2588" i="2"/>
  <c r="J2588" i="2"/>
  <c r="I2589" i="2"/>
  <c r="J2589" i="2"/>
  <c r="I2590" i="2"/>
  <c r="J2590" i="2"/>
  <c r="I2591" i="2"/>
  <c r="J2591" i="2"/>
  <c r="I2592" i="2"/>
  <c r="J2592" i="2"/>
  <c r="I2593" i="2"/>
  <c r="J2593" i="2"/>
  <c r="I2594" i="2"/>
  <c r="J2594" i="2"/>
  <c r="I2595" i="2"/>
  <c r="J2595" i="2"/>
  <c r="I2596" i="2"/>
  <c r="J2596" i="2"/>
  <c r="I2597" i="2"/>
  <c r="J2597" i="2"/>
  <c r="I2598" i="2"/>
  <c r="J2598" i="2"/>
  <c r="I2599" i="2"/>
  <c r="J2599" i="2"/>
  <c r="I2600" i="2"/>
  <c r="J2600" i="2"/>
  <c r="I2601" i="2"/>
  <c r="J2601" i="2"/>
  <c r="I2602" i="2"/>
  <c r="J2602" i="2"/>
  <c r="I2603" i="2"/>
  <c r="J2603" i="2"/>
  <c r="I2604" i="2"/>
  <c r="J2604" i="2"/>
  <c r="I2605" i="2"/>
  <c r="J2605" i="2"/>
  <c r="I2606" i="2"/>
  <c r="J2606" i="2"/>
  <c r="I2607" i="2"/>
  <c r="J2607" i="2"/>
  <c r="I2608" i="2"/>
  <c r="J2608" i="2"/>
  <c r="I2609" i="2"/>
  <c r="J2609" i="2"/>
  <c r="I2610" i="2"/>
  <c r="J2610" i="2"/>
  <c r="I2611" i="2"/>
  <c r="J2611" i="2"/>
  <c r="I2612" i="2"/>
  <c r="J2612" i="2"/>
  <c r="I2613" i="2"/>
  <c r="J2613" i="2"/>
  <c r="I2614" i="2"/>
  <c r="J2614" i="2"/>
  <c r="I2615" i="2"/>
  <c r="J2615" i="2"/>
  <c r="I2616" i="2"/>
  <c r="J2616" i="2"/>
  <c r="I2617" i="2"/>
  <c r="J2617" i="2"/>
  <c r="I2618" i="2"/>
  <c r="J2618" i="2"/>
  <c r="I2619" i="2"/>
  <c r="J2619" i="2"/>
  <c r="I2620" i="2"/>
  <c r="J2620" i="2"/>
  <c r="I2621" i="2"/>
  <c r="J2621" i="2"/>
  <c r="I2622" i="2"/>
  <c r="J2622" i="2"/>
  <c r="I2623" i="2"/>
  <c r="J2623" i="2"/>
  <c r="I2624" i="2"/>
  <c r="J2624" i="2"/>
  <c r="I2625" i="2"/>
  <c r="J2625" i="2"/>
  <c r="I2626" i="2"/>
  <c r="J2626" i="2"/>
  <c r="I2627" i="2"/>
  <c r="J2627" i="2"/>
  <c r="I2628" i="2"/>
  <c r="J2628" i="2"/>
  <c r="I2629" i="2"/>
  <c r="J2629" i="2"/>
  <c r="I2630" i="2"/>
  <c r="J2630" i="2"/>
  <c r="I2631" i="2"/>
  <c r="J2631" i="2"/>
  <c r="I2632" i="2"/>
  <c r="J2632" i="2"/>
  <c r="I2633" i="2"/>
  <c r="J2633" i="2"/>
  <c r="I2634" i="2"/>
  <c r="J2634" i="2"/>
  <c r="I2635" i="2"/>
  <c r="J2635" i="2"/>
  <c r="I2636" i="2"/>
  <c r="J2636" i="2"/>
  <c r="I2637" i="2"/>
  <c r="J2637" i="2"/>
  <c r="I2638" i="2"/>
  <c r="J2638" i="2"/>
  <c r="I2639" i="2"/>
  <c r="J2639" i="2"/>
  <c r="I2640" i="2"/>
  <c r="J2640" i="2"/>
  <c r="I2641" i="2"/>
  <c r="J2641" i="2"/>
  <c r="I2642" i="2"/>
  <c r="J2642" i="2"/>
  <c r="I2643" i="2"/>
  <c r="J2643" i="2"/>
  <c r="I2644" i="2"/>
  <c r="J2644" i="2"/>
  <c r="I2645" i="2"/>
  <c r="J2645" i="2"/>
  <c r="I2646" i="2"/>
  <c r="J2646" i="2"/>
  <c r="I2647" i="2"/>
  <c r="J2647" i="2"/>
  <c r="I2648" i="2"/>
  <c r="J2648" i="2"/>
  <c r="I2649" i="2"/>
  <c r="J2649" i="2"/>
  <c r="I2650" i="2"/>
  <c r="J2650" i="2"/>
  <c r="I2651" i="2"/>
  <c r="J2651" i="2"/>
  <c r="I2652" i="2"/>
  <c r="J2652" i="2"/>
  <c r="I2653" i="2"/>
  <c r="J2653" i="2"/>
  <c r="I2654" i="2"/>
  <c r="J2654" i="2"/>
  <c r="I2655" i="2"/>
  <c r="J2655" i="2"/>
  <c r="I2656" i="2"/>
  <c r="J2656" i="2"/>
  <c r="I2657" i="2"/>
  <c r="J2657" i="2"/>
  <c r="I2658" i="2"/>
  <c r="J2658" i="2"/>
  <c r="I2659" i="2"/>
  <c r="J2659" i="2"/>
  <c r="I2660" i="2"/>
  <c r="J2660" i="2"/>
  <c r="I2661" i="2"/>
  <c r="J2661" i="2"/>
  <c r="I2662" i="2"/>
  <c r="J2662" i="2"/>
  <c r="I2663" i="2"/>
  <c r="J2663" i="2"/>
  <c r="I2664" i="2"/>
  <c r="J2664" i="2"/>
  <c r="I2665" i="2"/>
  <c r="J2665" i="2"/>
  <c r="I2666" i="2"/>
  <c r="J2666" i="2"/>
  <c r="I2667" i="2"/>
  <c r="J2667" i="2"/>
  <c r="I2668" i="2"/>
  <c r="J2668" i="2"/>
  <c r="I2669" i="2"/>
  <c r="J2669" i="2"/>
  <c r="I2670" i="2"/>
  <c r="J2670" i="2"/>
  <c r="I2671" i="2"/>
  <c r="J2671" i="2"/>
  <c r="I2672" i="2"/>
  <c r="J2672" i="2"/>
  <c r="I2673" i="2"/>
  <c r="J2673" i="2"/>
  <c r="I2674" i="2"/>
  <c r="J2674" i="2"/>
  <c r="I2675" i="2"/>
  <c r="J2675" i="2"/>
  <c r="I2676" i="2"/>
  <c r="J2676" i="2"/>
  <c r="I2677" i="2"/>
  <c r="J2677" i="2"/>
  <c r="I2678" i="2"/>
  <c r="J2678" i="2"/>
  <c r="I2679" i="2"/>
  <c r="J2679" i="2"/>
  <c r="I2680" i="2"/>
  <c r="J2680" i="2"/>
  <c r="I2681" i="2"/>
  <c r="J2681" i="2"/>
  <c r="I2682" i="2"/>
  <c r="J2682" i="2"/>
  <c r="I2683" i="2"/>
  <c r="J2683" i="2"/>
  <c r="I2684" i="2"/>
  <c r="J2684" i="2"/>
  <c r="I2685" i="2"/>
  <c r="J2685" i="2"/>
  <c r="I2686" i="2"/>
  <c r="J2686" i="2"/>
  <c r="I2687" i="2"/>
  <c r="J2687" i="2"/>
  <c r="I2688" i="2"/>
  <c r="J2688" i="2"/>
  <c r="I2689" i="2"/>
  <c r="J2689" i="2"/>
  <c r="I2690" i="2"/>
  <c r="J2690" i="2"/>
  <c r="I2691" i="2"/>
  <c r="J2691" i="2"/>
  <c r="I2692" i="2"/>
  <c r="J2692" i="2"/>
  <c r="I2693" i="2"/>
  <c r="J2693" i="2"/>
  <c r="I2694" i="2"/>
  <c r="J2694" i="2"/>
  <c r="I2695" i="2"/>
  <c r="J2695" i="2"/>
  <c r="I2696" i="2"/>
  <c r="J2696" i="2"/>
  <c r="I2697" i="2"/>
  <c r="J2697" i="2"/>
  <c r="I2698" i="2"/>
  <c r="J2698" i="2"/>
  <c r="I2699" i="2"/>
  <c r="J2699" i="2"/>
  <c r="I2700" i="2"/>
  <c r="J2700" i="2"/>
  <c r="I2701" i="2"/>
  <c r="J2701" i="2"/>
  <c r="I2702" i="2"/>
  <c r="J2702" i="2"/>
  <c r="I2703" i="2"/>
  <c r="J2703" i="2"/>
  <c r="I2704" i="2"/>
  <c r="J2704" i="2"/>
  <c r="I2705" i="2"/>
  <c r="J2705" i="2"/>
  <c r="I2706" i="2"/>
  <c r="J2706" i="2"/>
  <c r="I2707" i="2"/>
  <c r="J2707" i="2"/>
  <c r="I2708" i="2"/>
  <c r="J2708" i="2"/>
  <c r="I2709" i="2"/>
  <c r="J2709" i="2"/>
  <c r="I2710" i="2"/>
  <c r="J2710" i="2"/>
  <c r="I2711" i="2"/>
  <c r="J2711" i="2"/>
  <c r="I2712" i="2"/>
  <c r="J2712" i="2"/>
  <c r="I2713" i="2"/>
  <c r="J2713" i="2"/>
  <c r="I2714" i="2"/>
  <c r="J2714" i="2"/>
  <c r="I2715" i="2"/>
  <c r="J2715" i="2"/>
  <c r="I2716" i="2"/>
  <c r="J2716" i="2"/>
  <c r="I2717" i="2"/>
  <c r="J2717" i="2"/>
  <c r="I2718" i="2"/>
  <c r="J2718" i="2"/>
  <c r="I2719" i="2"/>
  <c r="J2719" i="2"/>
  <c r="I2720" i="2"/>
  <c r="J2720" i="2"/>
  <c r="I2721" i="2"/>
  <c r="J2721" i="2"/>
  <c r="I2722" i="2"/>
  <c r="J2722" i="2"/>
  <c r="I2723" i="2"/>
  <c r="J2723" i="2"/>
  <c r="I2724" i="2"/>
  <c r="J2724" i="2"/>
  <c r="I2725" i="2"/>
  <c r="J2725" i="2"/>
  <c r="I2726" i="2"/>
  <c r="J2726" i="2"/>
  <c r="I2727" i="2"/>
  <c r="J2727" i="2"/>
  <c r="I2728" i="2"/>
  <c r="J2728" i="2"/>
  <c r="I2729" i="2"/>
  <c r="J2729" i="2"/>
  <c r="I2730" i="2"/>
  <c r="J2730" i="2"/>
  <c r="I2731" i="2"/>
  <c r="J2731" i="2"/>
  <c r="I2732" i="2"/>
  <c r="J2732" i="2"/>
  <c r="I2733" i="2"/>
  <c r="J2733" i="2"/>
  <c r="I2734" i="2"/>
  <c r="J2734" i="2"/>
  <c r="I2735" i="2"/>
  <c r="J2735" i="2"/>
  <c r="I2736" i="2"/>
  <c r="J2736" i="2"/>
  <c r="I2737" i="2"/>
  <c r="J2737" i="2"/>
  <c r="I2738" i="2"/>
  <c r="J2738" i="2"/>
  <c r="I2739" i="2"/>
  <c r="J2739" i="2"/>
  <c r="I2740" i="2"/>
  <c r="J2740" i="2"/>
  <c r="I2741" i="2"/>
  <c r="J2741" i="2"/>
  <c r="I2742" i="2"/>
  <c r="J2742" i="2"/>
  <c r="I2743" i="2"/>
  <c r="J2743" i="2"/>
  <c r="I2744" i="2"/>
  <c r="J2744" i="2"/>
  <c r="I2745" i="2"/>
  <c r="J2745" i="2"/>
  <c r="I2746" i="2"/>
  <c r="J2746" i="2"/>
  <c r="I2747" i="2"/>
  <c r="J2747" i="2"/>
  <c r="I2748" i="2"/>
  <c r="J2748" i="2"/>
  <c r="I2749" i="2"/>
  <c r="J2749" i="2"/>
  <c r="I2750" i="2"/>
  <c r="J2750" i="2"/>
  <c r="I2751" i="2"/>
  <c r="J2751" i="2"/>
  <c r="I2752" i="2"/>
  <c r="J2752" i="2"/>
  <c r="I2753" i="2"/>
  <c r="J2753" i="2"/>
  <c r="I2754" i="2"/>
  <c r="J2754" i="2"/>
  <c r="I2755" i="2"/>
  <c r="J2755" i="2"/>
  <c r="I2756" i="2"/>
  <c r="J2756" i="2"/>
  <c r="I2757" i="2"/>
  <c r="J2757" i="2"/>
  <c r="I2758" i="2"/>
  <c r="J2758" i="2"/>
  <c r="I2759" i="2"/>
  <c r="J2759" i="2"/>
  <c r="I2760" i="2"/>
  <c r="J2760" i="2"/>
  <c r="I2761" i="2"/>
  <c r="J2761" i="2"/>
  <c r="I2762" i="2"/>
  <c r="J2762" i="2"/>
  <c r="I2763" i="2"/>
  <c r="J2763" i="2"/>
  <c r="I2764" i="2"/>
  <c r="J2764" i="2"/>
  <c r="I2765" i="2"/>
  <c r="J2765" i="2"/>
  <c r="I2766" i="2"/>
  <c r="J2766" i="2"/>
  <c r="I2767" i="2"/>
  <c r="J2767" i="2"/>
  <c r="I2768" i="2"/>
  <c r="J2768" i="2"/>
  <c r="I2769" i="2"/>
  <c r="J2769" i="2"/>
  <c r="I2770" i="2"/>
  <c r="J2770" i="2"/>
  <c r="I2771" i="2"/>
  <c r="J2771" i="2"/>
  <c r="I2772" i="2"/>
  <c r="J2772" i="2"/>
  <c r="I2773" i="2"/>
  <c r="J2773" i="2"/>
  <c r="I2774" i="2"/>
  <c r="J2774" i="2"/>
  <c r="I2775" i="2"/>
  <c r="J2775" i="2"/>
  <c r="I2776" i="2"/>
  <c r="J2776" i="2"/>
  <c r="I2777" i="2"/>
  <c r="J2777" i="2"/>
  <c r="I2778" i="2"/>
  <c r="J2778" i="2"/>
  <c r="I2779" i="2"/>
  <c r="J2779" i="2"/>
  <c r="I2780" i="2"/>
  <c r="J2780" i="2"/>
  <c r="I2781" i="2"/>
  <c r="J2781" i="2"/>
  <c r="I2782" i="2"/>
  <c r="J2782" i="2"/>
  <c r="I2783" i="2"/>
  <c r="J2783" i="2"/>
  <c r="I2784" i="2"/>
  <c r="J2784" i="2"/>
  <c r="I2785" i="2"/>
  <c r="J2785" i="2"/>
  <c r="I2786" i="2"/>
  <c r="J2786" i="2"/>
  <c r="I2787" i="2"/>
  <c r="J2787" i="2"/>
  <c r="I2788" i="2"/>
  <c r="J2788" i="2"/>
  <c r="I2789" i="2"/>
  <c r="J2789" i="2"/>
  <c r="I2790" i="2"/>
  <c r="J2790" i="2"/>
  <c r="I2791" i="2"/>
  <c r="J2791" i="2"/>
  <c r="I2792" i="2"/>
  <c r="J2792" i="2"/>
  <c r="I2793" i="2"/>
  <c r="J2793" i="2"/>
  <c r="I2794" i="2"/>
  <c r="J2794" i="2"/>
  <c r="I2795" i="2"/>
  <c r="J2795" i="2"/>
  <c r="I2796" i="2"/>
  <c r="J2796" i="2"/>
  <c r="I2797" i="2"/>
  <c r="J2797" i="2"/>
  <c r="I2798" i="2"/>
  <c r="J2798" i="2"/>
  <c r="I2799" i="2"/>
  <c r="J2799" i="2"/>
  <c r="I2800" i="2"/>
  <c r="J2800" i="2"/>
  <c r="I2801" i="2"/>
  <c r="J2801" i="2"/>
  <c r="I2802" i="2"/>
  <c r="J2802" i="2"/>
  <c r="I2803" i="2"/>
  <c r="J2803" i="2"/>
  <c r="I2804" i="2"/>
  <c r="J2804" i="2"/>
  <c r="I2805" i="2"/>
  <c r="J2805" i="2"/>
  <c r="I2806" i="2"/>
  <c r="J2806" i="2"/>
  <c r="I2807" i="2"/>
  <c r="J2807" i="2"/>
  <c r="I2808" i="2"/>
  <c r="J2808" i="2"/>
  <c r="I2809" i="2"/>
  <c r="J2809" i="2"/>
  <c r="I2810" i="2"/>
  <c r="J2810" i="2"/>
  <c r="I2811" i="2"/>
  <c r="J2811" i="2"/>
  <c r="I2812" i="2"/>
  <c r="J2812" i="2"/>
  <c r="I2813" i="2"/>
  <c r="J2813" i="2"/>
  <c r="I2814" i="2"/>
  <c r="J2814" i="2"/>
  <c r="I2815" i="2"/>
  <c r="J2815" i="2"/>
  <c r="I2816" i="2"/>
  <c r="J2816" i="2"/>
  <c r="I2817" i="2"/>
  <c r="J2817" i="2"/>
  <c r="I2818" i="2"/>
  <c r="J2818" i="2"/>
  <c r="I2819" i="2"/>
  <c r="J2819" i="2"/>
  <c r="I2820" i="2"/>
  <c r="J2820" i="2"/>
  <c r="I2821" i="2"/>
  <c r="J2821" i="2"/>
  <c r="I2822" i="2"/>
  <c r="J2822" i="2"/>
  <c r="I2823" i="2"/>
  <c r="J2823" i="2"/>
  <c r="I2824" i="2"/>
  <c r="J2824" i="2"/>
  <c r="I2825" i="2"/>
  <c r="J2825" i="2"/>
  <c r="I2826" i="2"/>
  <c r="J2826" i="2"/>
  <c r="I2827" i="2"/>
  <c r="J2827" i="2"/>
  <c r="I2828" i="2"/>
  <c r="J2828" i="2"/>
  <c r="I2829" i="2"/>
  <c r="J2829" i="2"/>
  <c r="I2830" i="2"/>
  <c r="J2830" i="2"/>
  <c r="I2831" i="2"/>
  <c r="J2831" i="2"/>
  <c r="I2832" i="2"/>
  <c r="J2832" i="2"/>
  <c r="I2833" i="2"/>
  <c r="J2833" i="2"/>
  <c r="I2834" i="2"/>
  <c r="J2834" i="2"/>
  <c r="I2835" i="2"/>
  <c r="J2835" i="2"/>
  <c r="I2836" i="2"/>
  <c r="J2836" i="2"/>
  <c r="I2837" i="2"/>
  <c r="J2837" i="2"/>
  <c r="I2838" i="2"/>
  <c r="J2838" i="2"/>
  <c r="I2839" i="2"/>
  <c r="J2839" i="2"/>
  <c r="I2840" i="2"/>
  <c r="J2840" i="2"/>
  <c r="I2841" i="2"/>
  <c r="J2841" i="2"/>
  <c r="I2842" i="2"/>
  <c r="J2842" i="2"/>
  <c r="I2843" i="2"/>
  <c r="J2843" i="2"/>
  <c r="I2844" i="2"/>
  <c r="J2844" i="2"/>
  <c r="I2845" i="2"/>
  <c r="J2845" i="2"/>
  <c r="I2846" i="2"/>
  <c r="J2846" i="2"/>
  <c r="I2847" i="2"/>
  <c r="J2847" i="2"/>
  <c r="I2848" i="2"/>
  <c r="J2848" i="2"/>
  <c r="I2849" i="2"/>
  <c r="J2849" i="2"/>
  <c r="I2850" i="2"/>
  <c r="J2850" i="2"/>
  <c r="I2851" i="2"/>
  <c r="J2851" i="2"/>
  <c r="I2852" i="2"/>
  <c r="J2852" i="2"/>
  <c r="I2853" i="2"/>
  <c r="J2853" i="2"/>
  <c r="I2854" i="2"/>
  <c r="J2854" i="2"/>
  <c r="I2855" i="2"/>
  <c r="J2855" i="2"/>
  <c r="I2856" i="2"/>
  <c r="J2856" i="2"/>
  <c r="I2857" i="2"/>
  <c r="J2857" i="2"/>
  <c r="I2858" i="2"/>
  <c r="J2858" i="2"/>
  <c r="I2859" i="2"/>
  <c r="J2859" i="2"/>
  <c r="I2860" i="2"/>
  <c r="J2860" i="2"/>
  <c r="I2861" i="2"/>
  <c r="J2861" i="2"/>
  <c r="I2862" i="2"/>
  <c r="J2862" i="2"/>
  <c r="I2863" i="2"/>
  <c r="J2863" i="2"/>
  <c r="I2864" i="2"/>
  <c r="J2864" i="2"/>
  <c r="I2865" i="2"/>
  <c r="J2865" i="2"/>
  <c r="I2866" i="2"/>
  <c r="J2866" i="2"/>
  <c r="I2867" i="2"/>
  <c r="J2867" i="2"/>
  <c r="I2868" i="2"/>
  <c r="J2868" i="2"/>
  <c r="I2869" i="2"/>
  <c r="J2869" i="2"/>
  <c r="I2870" i="2"/>
  <c r="J2870" i="2"/>
  <c r="I2871" i="2"/>
  <c r="J2871" i="2"/>
  <c r="I2872" i="2"/>
  <c r="J2872" i="2"/>
  <c r="I2873" i="2"/>
  <c r="J2873" i="2"/>
  <c r="I2874" i="2"/>
  <c r="J2874" i="2"/>
  <c r="I2875" i="2"/>
  <c r="J2875" i="2"/>
  <c r="I2876" i="2"/>
  <c r="J2876" i="2"/>
  <c r="I2877" i="2"/>
  <c r="J2877" i="2"/>
  <c r="I2878" i="2"/>
  <c r="J2878" i="2"/>
  <c r="I2879" i="2"/>
  <c r="J2879" i="2"/>
  <c r="I2880" i="2"/>
  <c r="J2880" i="2"/>
  <c r="C2881" i="2"/>
  <c r="I2881" i="2"/>
  <c r="J2881" i="2"/>
  <c r="C2882" i="2"/>
  <c r="I2882" i="2"/>
  <c r="J2882" i="2"/>
  <c r="I2883" i="2"/>
  <c r="J2883" i="2"/>
  <c r="I2884" i="2"/>
  <c r="J2884" i="2"/>
  <c r="I2885" i="2"/>
  <c r="J2885" i="2"/>
  <c r="I2886" i="2"/>
  <c r="J2886" i="2"/>
  <c r="I2887" i="2"/>
  <c r="J2887" i="2"/>
  <c r="I2888" i="2"/>
  <c r="J2888" i="2"/>
  <c r="I2889" i="2"/>
  <c r="J2889" i="2"/>
  <c r="I2890" i="2"/>
  <c r="J2890" i="2"/>
  <c r="I2891" i="2"/>
  <c r="J2891" i="2"/>
  <c r="I2892" i="2"/>
  <c r="J2892" i="2"/>
  <c r="I2893" i="2"/>
  <c r="J2893" i="2"/>
  <c r="I2894" i="2"/>
  <c r="J2894" i="2"/>
  <c r="I2895" i="2"/>
  <c r="J2895" i="2"/>
  <c r="C2896" i="2"/>
  <c r="I2896" i="2"/>
  <c r="J2896" i="2"/>
  <c r="I2897" i="2"/>
  <c r="J2897" i="2"/>
  <c r="I2898" i="2"/>
  <c r="J2898" i="2"/>
  <c r="I2899" i="2"/>
  <c r="J2899" i="2"/>
  <c r="I2900" i="2"/>
  <c r="J2900" i="2"/>
  <c r="I2901" i="2"/>
  <c r="J2901" i="2"/>
  <c r="I2902" i="2"/>
  <c r="J2902" i="2"/>
  <c r="I2903" i="2"/>
  <c r="J2903" i="2"/>
  <c r="I2904" i="2"/>
  <c r="J2904" i="2"/>
  <c r="I2905" i="2"/>
  <c r="J2905" i="2"/>
  <c r="I2906" i="2"/>
  <c r="J2906" i="2"/>
  <c r="I2907" i="2"/>
  <c r="J2907" i="2"/>
  <c r="I2908" i="2"/>
  <c r="J2908" i="2"/>
  <c r="I2909" i="2"/>
  <c r="J2909" i="2"/>
  <c r="I2910" i="2"/>
  <c r="J2910" i="2"/>
  <c r="I2911" i="2"/>
  <c r="J2911" i="2"/>
  <c r="I2912" i="2"/>
  <c r="J2912" i="2"/>
  <c r="I2913" i="2"/>
  <c r="J2913" i="2"/>
  <c r="I2914" i="2"/>
  <c r="J2914" i="2"/>
  <c r="I2915" i="2"/>
  <c r="J2915" i="2"/>
  <c r="I2916" i="2"/>
  <c r="J2916" i="2"/>
  <c r="I2917" i="2"/>
  <c r="J2917" i="2"/>
  <c r="I2918" i="2"/>
  <c r="J2918" i="2"/>
  <c r="I2919" i="2"/>
  <c r="J2919" i="2"/>
  <c r="I2920" i="2"/>
  <c r="J2920" i="2"/>
  <c r="I2921" i="2"/>
  <c r="J2921" i="2"/>
  <c r="I2922" i="2"/>
  <c r="J2922" i="2"/>
  <c r="I2923" i="2"/>
  <c r="J2923" i="2"/>
  <c r="I2924" i="2"/>
  <c r="J2924" i="2"/>
  <c r="I2925" i="2"/>
  <c r="J2925" i="2"/>
  <c r="I2926" i="2"/>
  <c r="J2926" i="2"/>
  <c r="I2927" i="2"/>
  <c r="J2927" i="2"/>
  <c r="I2928" i="2"/>
  <c r="J2928" i="2"/>
  <c r="I2929" i="2"/>
  <c r="J2929" i="2"/>
  <c r="I2930" i="2"/>
  <c r="J2930" i="2"/>
  <c r="I2931" i="2"/>
  <c r="J2931" i="2"/>
  <c r="I2932" i="2"/>
  <c r="J2932" i="2"/>
  <c r="I2933" i="2"/>
  <c r="J2933" i="2"/>
  <c r="I2934" i="2"/>
  <c r="J2934" i="2"/>
  <c r="I2935" i="2"/>
  <c r="J2935" i="2"/>
  <c r="I2936" i="2"/>
  <c r="J2936" i="2"/>
  <c r="I2937" i="2"/>
  <c r="J2937" i="2"/>
  <c r="I2938" i="2"/>
  <c r="J2938" i="2"/>
  <c r="I2939" i="2"/>
  <c r="J2939" i="2"/>
  <c r="I2940" i="2"/>
  <c r="J2940" i="2"/>
  <c r="I2941" i="2"/>
  <c r="J2941" i="2"/>
  <c r="I2942" i="2"/>
  <c r="J2942" i="2"/>
  <c r="I2943" i="2"/>
  <c r="J2943" i="2"/>
  <c r="I2944" i="2"/>
  <c r="J2944" i="2"/>
  <c r="I2945" i="2"/>
  <c r="J2945" i="2"/>
  <c r="I2946" i="2"/>
  <c r="J2946" i="2"/>
  <c r="I2947" i="2"/>
  <c r="J2947" i="2"/>
  <c r="I2948" i="2"/>
  <c r="J2948" i="2"/>
  <c r="I2949" i="2"/>
  <c r="J2949" i="2"/>
  <c r="I2950" i="2"/>
  <c r="J2950" i="2"/>
  <c r="I2951" i="2"/>
  <c r="J2951" i="2"/>
  <c r="I2952" i="2"/>
  <c r="J2952" i="2"/>
  <c r="I2953" i="2"/>
  <c r="J2953" i="2"/>
  <c r="I2954" i="2"/>
  <c r="J2954" i="2"/>
  <c r="I2955" i="2"/>
  <c r="J2955" i="2"/>
  <c r="I2956" i="2"/>
  <c r="J2956" i="2"/>
  <c r="I2957" i="2"/>
  <c r="J2957" i="2"/>
  <c r="I2958" i="2"/>
  <c r="J2958" i="2"/>
  <c r="I2959" i="2"/>
  <c r="J2959" i="2"/>
  <c r="I2960" i="2"/>
  <c r="J2960" i="2"/>
  <c r="I2961" i="2"/>
  <c r="J2961" i="2"/>
  <c r="I2962" i="2"/>
  <c r="J2962" i="2"/>
  <c r="I2963" i="2"/>
  <c r="J2963" i="2"/>
  <c r="I2964" i="2"/>
  <c r="J2964" i="2"/>
  <c r="I2965" i="2"/>
  <c r="J2965" i="2"/>
  <c r="I2966" i="2"/>
  <c r="J2966" i="2"/>
  <c r="I2967" i="2"/>
  <c r="J2967" i="2"/>
  <c r="I2968" i="2"/>
  <c r="J2968" i="2"/>
  <c r="I2969" i="2"/>
  <c r="J2969" i="2"/>
  <c r="I2970" i="2"/>
  <c r="J2970" i="2"/>
  <c r="I2971" i="2"/>
  <c r="J2971" i="2"/>
  <c r="I2972" i="2"/>
  <c r="J2972" i="2"/>
  <c r="I2973" i="2"/>
  <c r="J2973" i="2"/>
  <c r="I2974" i="2"/>
  <c r="J2974" i="2"/>
  <c r="I2975" i="2"/>
  <c r="J2975" i="2"/>
  <c r="I2976" i="2"/>
  <c r="J2976" i="2"/>
  <c r="I2977" i="2"/>
  <c r="J2977" i="2"/>
  <c r="I2978" i="2"/>
  <c r="J2978" i="2"/>
  <c r="I2979" i="2"/>
  <c r="J2979" i="2"/>
  <c r="I2980" i="2"/>
  <c r="J2980" i="2"/>
  <c r="I2981" i="2"/>
  <c r="J2981" i="2"/>
  <c r="I2982" i="2"/>
  <c r="J2982" i="2"/>
  <c r="I2983" i="2"/>
  <c r="J2983" i="2"/>
  <c r="I2984" i="2"/>
  <c r="J2984" i="2"/>
  <c r="I2985" i="2"/>
  <c r="J2985" i="2"/>
  <c r="I2986" i="2"/>
  <c r="J2986" i="2"/>
  <c r="I2987" i="2"/>
  <c r="J2987" i="2"/>
  <c r="I2988" i="2"/>
  <c r="J2988" i="2"/>
  <c r="I2989" i="2"/>
  <c r="J2989" i="2"/>
  <c r="I2990" i="2"/>
  <c r="J2990" i="2"/>
  <c r="I2991" i="2"/>
  <c r="J2991" i="2"/>
  <c r="I2992" i="2"/>
  <c r="J2992" i="2"/>
  <c r="I2993" i="2"/>
  <c r="J2993" i="2"/>
  <c r="I2994" i="2"/>
  <c r="J2994" i="2"/>
  <c r="I2995" i="2"/>
  <c r="J2995" i="2"/>
  <c r="I2996" i="2"/>
  <c r="J2996" i="2"/>
  <c r="I2997" i="2"/>
  <c r="J2997" i="2"/>
  <c r="I2998" i="2"/>
  <c r="J2998" i="2"/>
  <c r="I2999" i="2"/>
  <c r="J2999" i="2"/>
  <c r="I3000" i="2"/>
  <c r="J3000" i="2"/>
  <c r="I3001" i="2"/>
  <c r="J3001" i="2"/>
  <c r="I3002" i="2"/>
  <c r="J3002" i="2"/>
  <c r="I3003" i="2"/>
  <c r="J3003" i="2"/>
  <c r="I3004" i="2"/>
  <c r="J3004" i="2"/>
  <c r="I3005" i="2"/>
  <c r="J3005" i="2"/>
  <c r="I3006" i="2"/>
  <c r="J3006" i="2"/>
  <c r="I3007" i="2"/>
  <c r="J3007" i="2"/>
  <c r="I3008" i="2"/>
  <c r="J3008" i="2"/>
  <c r="I3009" i="2"/>
  <c r="J3009" i="2"/>
  <c r="I3010" i="2"/>
  <c r="J3010" i="2"/>
  <c r="I3011" i="2"/>
  <c r="J3011" i="2"/>
  <c r="I3012" i="2"/>
  <c r="J3012" i="2"/>
  <c r="I3013" i="2"/>
  <c r="J3013" i="2"/>
  <c r="I3014" i="2"/>
  <c r="J3014" i="2"/>
  <c r="I3015" i="2"/>
  <c r="J3015" i="2"/>
  <c r="I3016" i="2"/>
  <c r="J3016" i="2"/>
  <c r="I3017" i="2"/>
  <c r="J3017" i="2"/>
  <c r="I3018" i="2"/>
  <c r="J3018" i="2"/>
  <c r="I3019" i="2"/>
  <c r="J3019" i="2"/>
  <c r="I3020" i="2"/>
  <c r="J3020" i="2"/>
  <c r="I3021" i="2"/>
  <c r="J3021" i="2"/>
  <c r="I3022" i="2"/>
  <c r="J3022" i="2"/>
  <c r="I3023" i="2"/>
  <c r="J3023" i="2"/>
  <c r="I3024" i="2"/>
  <c r="J3024" i="2"/>
  <c r="I3025" i="2"/>
  <c r="J3025" i="2"/>
  <c r="I3026" i="2"/>
  <c r="J3026" i="2"/>
  <c r="I3027" i="2"/>
  <c r="J3027" i="2"/>
  <c r="I3028" i="2"/>
  <c r="J3028" i="2"/>
  <c r="I3029" i="2"/>
  <c r="J3029" i="2"/>
  <c r="I3030" i="2"/>
  <c r="J3030" i="2"/>
  <c r="I3031" i="2"/>
  <c r="J3031" i="2"/>
  <c r="I3032" i="2"/>
  <c r="J3032" i="2"/>
  <c r="I3033" i="2"/>
  <c r="J3033" i="2"/>
  <c r="I3034" i="2"/>
  <c r="J3034" i="2"/>
  <c r="I3035" i="2"/>
  <c r="J3035" i="2"/>
  <c r="I3036" i="2"/>
  <c r="J3036" i="2"/>
  <c r="I3037" i="2"/>
  <c r="J3037" i="2"/>
  <c r="I3038" i="2"/>
  <c r="J3038" i="2"/>
  <c r="I3039" i="2"/>
  <c r="J3039" i="2"/>
  <c r="I3040" i="2"/>
  <c r="J3040" i="2"/>
  <c r="I3041" i="2"/>
  <c r="J3041" i="2"/>
  <c r="I3042" i="2"/>
  <c r="J3042" i="2"/>
  <c r="I3043" i="2"/>
  <c r="J3043" i="2"/>
  <c r="I3044" i="2"/>
  <c r="J3044" i="2"/>
  <c r="I3045" i="2"/>
  <c r="J3045" i="2"/>
  <c r="I3046" i="2"/>
  <c r="J3046" i="2"/>
  <c r="I3047" i="2"/>
  <c r="J3047" i="2"/>
  <c r="I3048" i="2"/>
  <c r="J3048" i="2"/>
  <c r="I3049" i="2"/>
  <c r="J3049" i="2"/>
  <c r="I3050" i="2"/>
  <c r="J3050" i="2"/>
  <c r="I3051" i="2"/>
  <c r="J3051" i="2"/>
  <c r="I3052" i="2"/>
  <c r="J3052" i="2"/>
  <c r="I3053" i="2"/>
  <c r="J3053" i="2"/>
  <c r="I3054" i="2"/>
  <c r="J3054" i="2"/>
  <c r="I3055" i="2"/>
  <c r="J3055" i="2"/>
  <c r="I3056" i="2"/>
  <c r="J3056" i="2"/>
  <c r="I3057" i="2"/>
  <c r="J3057" i="2"/>
  <c r="AQ5" i="1"/>
  <c r="AQ23" i="1"/>
  <c r="AQ22" i="1"/>
  <c r="AQ21" i="1"/>
  <c r="AQ20" i="1"/>
  <c r="AQ19" i="1"/>
  <c r="AQ18" i="1"/>
  <c r="AQ17" i="1"/>
  <c r="AQ16" i="1"/>
  <c r="AQ15" i="1"/>
  <c r="AQ14" i="1"/>
  <c r="AQ13" i="1"/>
  <c r="AQ12" i="1"/>
  <c r="AQ11" i="1"/>
  <c r="AQ10" i="1"/>
  <c r="AQ9" i="1"/>
  <c r="AQ6" i="1"/>
  <c r="AQ7" i="1"/>
  <c r="AQ8" i="1"/>
  <c r="AQ4" i="1"/>
  <c r="AQ3" i="1"/>
  <c r="M2" i="1" l="1"/>
  <c r="N2" i="1" s="1"/>
  <c r="O2" i="1" s="1"/>
  <c r="P2" i="1" s="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alcChain>
</file>

<file path=xl/sharedStrings.xml><?xml version="1.0" encoding="utf-8"?>
<sst xmlns="http://schemas.openxmlformats.org/spreadsheetml/2006/main" count="16880" uniqueCount="6613">
  <si>
    <t>ANEXO</t>
  </si>
  <si>
    <t>PARTIDA</t>
  </si>
  <si>
    <t>Columna1</t>
  </si>
  <si>
    <t>CONCEPTO</t>
  </si>
  <si>
    <t>UNIDAD</t>
  </si>
  <si>
    <t>CANTIDADES DE REFERENCIA</t>
  </si>
  <si>
    <t>P.U. M.N.</t>
  </si>
  <si>
    <t>P.U. USD</t>
  </si>
  <si>
    <t>M.N.</t>
  </si>
  <si>
    <t>U.S.D.</t>
  </si>
  <si>
    <t>ID PADRE</t>
  </si>
  <si>
    <t>ID MADRE</t>
  </si>
  <si>
    <t>ID HIJO</t>
  </si>
  <si>
    <t>PTE CREACION</t>
  </si>
  <si>
    <t>OT CREACION</t>
  </si>
  <si>
    <t>FECHA SANCION</t>
  </si>
  <si>
    <t>PARTIDA EXT</t>
  </si>
  <si>
    <t>ESTATUS</t>
  </si>
  <si>
    <t>COMENTARIO</t>
  </si>
  <si>
    <t>ID BME</t>
  </si>
  <si>
    <t>C-9</t>
  </si>
  <si>
    <t>1C-009</t>
  </si>
  <si>
    <t>EQUIPO DE APOYO (EMBARCACIÓN CON GRUA DE POSICIONAMIENTO DINÁMICO DP-II).</t>
  </si>
  <si>
    <t>DÍA</t>
  </si>
  <si>
    <t>BME-3801-038-2024</t>
  </si>
  <si>
    <t>OT-GRZ-801-24-031-SPRMNE</t>
  </si>
  <si>
    <t>C1EXT-0002</t>
  </si>
  <si>
    <t>SPRMNE</t>
  </si>
  <si>
    <t>C-10</t>
  </si>
  <si>
    <t>1C-010</t>
  </si>
  <si>
    <t>EQUIPO DE APOYO (EMBARCACIÓN CON GRUA DE POSICIONAMIENTO DINÁMICO DP-II). EN ESPERA</t>
  </si>
  <si>
    <t>BME-3801-035-2023</t>
  </si>
  <si>
    <t>C1EXT-0003</t>
  </si>
  <si>
    <t>SALVATAJE</t>
  </si>
  <si>
    <t>C-17</t>
  </si>
  <si>
    <t>1C-17</t>
  </si>
  <si>
    <t>EQUIPO DE APOYO (EMBARCACIÓN "IRON HORSE" CON GRÚA DE POSICIONAMIENTO DINÁMICO DP-III).</t>
  </si>
  <si>
    <t>BME-3801-037-2025</t>
  </si>
  <si>
    <t>C1EXT-0005</t>
  </si>
  <si>
    <t>C-11</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</si>
  <si>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</si>
  <si>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</si>
  <si>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SERVICIO</t>
  </si>
  <si>
    <t>BME-3801-050-2023</t>
  </si>
  <si>
    <t>OT-GRZ-801-24-8.1-Pokche-NE</t>
  </si>
  <si>
    <t>C3EXT-0977</t>
  </si>
  <si>
    <t>8.1-POKCHE-NE</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</si>
  <si>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</si>
  <si>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</si>
  <si>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BME-3801-037.1-2023</t>
  </si>
  <si>
    <t>OT-GRZ-801-24-013.2-TENTOK-A</t>
  </si>
  <si>
    <t>C3EXT-0978</t>
  </si>
  <si>
    <t>013.2-TENTOK-A</t>
  </si>
  <si>
    <t>SUMINISTRO Y HABILITADO DE PERFIL I RECTANGULAR (IR) 914 mm x 447.20 kg/m (36 in. x 300 lb./ft.). DE ACERO AL CARBÓN ASTM A-36</t>
  </si>
  <si>
    <t>TON</t>
  </si>
  <si>
    <t>BME-3801-015-2023</t>
  </si>
  <si>
    <t>OT-GRZ-801-23-002-ABK-A/ABK-A2</t>
  </si>
  <si>
    <t>C2EXT-0001</t>
  </si>
  <si>
    <t>CANCELADA</t>
  </si>
  <si>
    <t>23-002-ABK-A/ABK-A2</t>
  </si>
  <si>
    <t>SERVICIO PARA MEJORAMIENTO DE TERRENO A BASE DE COMPACTACIÓN PARA CARGA SUPERIOR DE EQUIPOS DE 850 TON; INCLUYE MECÁNICA DE SUELO,MAQUINARIA, EQUIPO MECANICO,HERRAMIENTA MANUAL, EL SUMINISTRO Y APLICACIÓN DE AGUA NECESARIA PARA OBTENER LA COMPACTACIÓN REQUERIDA, AFINE, NIVELACION, MANO DE OBRA EN LA TERMINAL MARÍTIMA DE DOS BOCAS.</t>
  </si>
  <si>
    <t>M2</t>
  </si>
  <si>
    <t>BME-3801-016-2023</t>
  </si>
  <si>
    <t>OT-GRZ-801-23-001-ABK-A2</t>
  </si>
  <si>
    <t>C2EXT-0002</t>
  </si>
  <si>
    <t>Modulos 3 y 4 Abkatun-A</t>
  </si>
  <si>
    <t>SERVICIO DE DESCARGA DE PARTE SUPERIOR DE (01) MÓDULO CON TAG: TC-3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</si>
  <si>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C2EXT-0003</t>
  </si>
  <si>
    <t>SERVICIO DE AGENCIAMIENTO MARITIMO DE PAREJA CHALAN-REMOLCADOR DURANTE LA SALIDA DEL MUELLE DEL ARMADOR SIN CARGA Y CON DESTINO ABKATUN-A, COMPRESION PARA LA CARGA DE LOS MODULOS 3 Y 4, INCLUYE: REMOLQUES, DERECHOS DE PUERTO, CAPITANIA, PILOTOS DE APOYO, LANCHAJE, GASTOS ADMINISTRATIVOS, (NO INCLUYE TIEMPO DE OPERACION O EN ESPERA DE LA PAREJA CHALAN-REMOLCADOR)</t>
  </si>
  <si>
    <t>C2EXT-0004</t>
  </si>
  <si>
    <t>SERVICIO DE AGENCIAMIENTO MARITIMO DE PAREJA CHALAN-REMOLCADOR DURANTE LA ENTRADA AL MUELLE DE PEMEX DE LA TERMINAL MARITIMA DE DOS BOCAS, TABASCO CON CARGA DE LOS MODULOS 3 Y 4 DE ABKATUN-A INCLUYE: REMOLQUES, DERECHOS DE PUERTO, CAPITANIA, PILOTOS DE APOYO, LANCHAJE, GASTOS ADMINISTRATIVOS, (NO INCLUYE TIEMPO DE OPERACION O EN ESPERA DE LA PAREJA CHALAN-REMOLCADOR)</t>
  </si>
  <si>
    <t>C2EXT-0005</t>
  </si>
  <si>
    <t>SERVICIO DE AGENCIAMIENTO MARITIMO DE PAREJA CHALAN-REMOLCADOR DURANTE LOS MOVIMIENTOS DENTRO DEL MUELLE DE PEMEX DE LA TERMINAL MARITIMA DE DOS BOCAS, TABASCO  PARA EL ACOMODO DE LA EMBARCACION PARA REALIZAR LA DESCARGA CON CARGA DE LOS MODULOS 3 Y 4 DE ABKATUN-A, INCLUYE: REMOLQUES, DERECHOS DE PUERTO, CAPITANIA, PILOTOS DE APOYO, LANCHAJE, GASTOS ADMINISTRATIVOS, (NO INCLUYE TIEMPO DE OPERACION O EN ESPERA DE LA PAREJA CHALAN-REMOLCADOR)</t>
  </si>
  <si>
    <t>C2EXT-0006</t>
  </si>
  <si>
    <t>SERVICIO DE AGENCIAMIENTO MARITIMO DE PAREJA CHALAN-REMOLCADOR DURANTE LA SALIDA DEL MUELLE DE PEMEX DE LA TERMINAL MARITIMA DE DOS BOCAS, TABASCO SIN CARGA CON DESTINO AL MUELLE DEL ARMADOR, INCLUYE: REMOLQUES, DERECHOS DE PUERTO, CAPITANIA, PILOTOS DE APOYO, LANCHAJE, GASTOS ADMINISTRATIVOS, (NO INCLUYE TIEMPO DE OPERACION O EN ESPERA DE LA PAREJA CHALAN-REMOLCADOR)</t>
  </si>
  <si>
    <t>C2EXT-0007</t>
  </si>
  <si>
    <t>SERVICIO DE AGENCIAMIENTO MARITIMO DE PAREJA CHALAN-REMOLCADOR DURANTE LA ENTRADA AL MUELLE DEL ARMADOR SIN CARGA, DESPUES DE LA DESCARGA DE LOS MODULOS 3 Y 4 DE ABKATUN-A, EN EL MUELLE DE LA TERMINAL MARITIMA DE DOS BOCAS, TABASCO, INCLUYE: REMOLQUES, DERECHOS DE PUERTO, CAPITANIA, PILOTOS DE APOYO, LANCHAJE, GASTOS ADMINISTRATIVOS, (NO INCLUYE TIEMPO DE OPERACION O EN ESPERA DE LA PAREJA CHALAN-REMOLCADOR)</t>
  </si>
  <si>
    <t>C2EXT-0008</t>
  </si>
  <si>
    <t>SUMINISTRO, HABILITADO E INSTALACIÓN EN PATIO DE PREFABRICADOS DE TUBO DE ACERO AL CARBON API 5L GR. B DE 30"Ø DIÁMETRO X 1.250" ESPESOR (OC-762 MM X 31.75 MM X 571.75 KG/M), INCLUYE: ACARREO, CARGA, DESCARGA, MANIOBRAS.</t>
  </si>
  <si>
    <t>BME-3801-021-2023</t>
  </si>
  <si>
    <t>OT-GRZ-801-23-005-Taratunich-301</t>
  </si>
  <si>
    <t>C2EXT-0012</t>
  </si>
  <si>
    <t>TARATUNICH-301</t>
  </si>
  <si>
    <t>SUMINISTRO, HABILITADO E INSTALACIÓN EN PATIO DE PREFABRICADOS DE TUBO DE ACERO AL CARBON API 5L GR. B DE 30"Ø DIÁMETRO X 1.000" ESPESOR (OC-762 MM X 25.4 MM X 461.38 KG/M),  INCLUYE: ACARREO, CARGA, DESCARGA, MANIOBRAS.</t>
  </si>
  <si>
    <t>C2EXT-0013</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</si>
  <si>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</si>
  <si>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C2EXT-0018</t>
  </si>
  <si>
    <t>DISEÑO, PROCURA, FABRICACIÓN, EQUIPAMIENTO, ENSAMBLE FINAL Y PRUEBAS FAT, INCLUYE MANIOBRAS, TRANSPORTE,  ENTREGA EN PATIO DEL CONTRATISTA DE 01 PLANTA DE TRATAMIENTO DE AGUAS CONGÉNITAS PA-5600 C PARA PLATAFORMA CB-LIT-A DEL C.P. LITORAL-A CONFORME A LA BASES DE DISEÑO, BD-CB-LIT-A-A-001_REV.0 Y FILOSOFÍA DE OPERACIÓN: FO-CB-LIT-A-A-014_REV.0.</t>
  </si>
  <si>
    <t>EQUIPO</t>
  </si>
  <si>
    <t>BME-3801-018-2023</t>
  </si>
  <si>
    <t>OT-GRZ-801-23-006-PTAC-CB-LIT-A</t>
  </si>
  <si>
    <t>C2EXT-0021</t>
  </si>
  <si>
    <t>P.A.C. CB-LIT-A</t>
  </si>
  <si>
    <t>SERVICIO DE DESCARGA DE PARTE INFERIOR DE (01) MÓDULO CON TAG: TC-3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</si>
  <si>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C2EXT-0022</t>
  </si>
  <si>
    <t>SERVICIO DE DESCARGA DE PARTE SUPERIOR DE (01) MÓDULO CON TAG: TC-4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</si>
  <si>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C2EXT-0023</t>
  </si>
  <si>
    <t>SERVICIO DE DESCARGA DE PARTE INFERIOR DE (01) MÓDULO CON TAG: TC-4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</si>
  <si>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C2EXT-0024</t>
  </si>
  <si>
    <t>SUMINISTRO, HABILITADO E INSTALACIÓN EN PATIO DE PREFABRICADOS DE CANAL METÁLICO (TIPO CE) 152 MM x 19.35 KG/M (6 IN. x 13.0 LB./FT.) DE ACERO AL CARBÓN ASTM A-36, INCLUYE: ACARREO, CARGA, DESCARGA, MANIOBRAS.</t>
  </si>
  <si>
    <t>C2EXT-0025</t>
  </si>
  <si>
    <t>SUMINISTRO, HABILITADO E INSTALACIÓN EN PATIO DE PREFABRICADOS DE PLACA LISA DE 7/8" ESPESOR (22.2 MM X 174.38 KG/M2) DE ACERO AL CARBÓN ASTM A-36, INCLUYE: ACARREO, CARGA, DESCARGA.</t>
  </si>
  <si>
    <t>C2EXT-0026</t>
  </si>
  <si>
    <t>SUMINISTRO, HABILITADO E INSTALACIÓN EN PATIO DE PREFABRICADOS DE SOLERA DE 3/16" ESPESOR X 2" DE ANCHO, DE ACERO AL CARBÓN ASTM A-36, INCLUYE: ACARREO, CARGA, DESCARGA.</t>
  </si>
  <si>
    <t>C2EXT-0027</t>
  </si>
  <si>
    <t>SUMINISTRO, HABILITADO E INSTALACIÓN EN PATIO DE PREFABRICADOS DE TUBO CIRCULAR (OC) 89 mm x 15.24 mm, PESO DE 27.68 kg/m (3.5 IN X 0.600 IN), DE ACERO AL CARBÓN API-5L-GR. B, INCLUYE: ACARREO, CARGA, DESCARGA, MANIOBRAS.</t>
  </si>
  <si>
    <t>C2EXT-0028</t>
  </si>
  <si>
    <t>SUMINISTRO, HABILITADO E INSTALACIÓN EN PATIO DE PREFABRICADOS DE TUBO CIRCULAR (OC) 114.3 mm x 6.02 mm  kg/m 16.08 kg/m,DE ACERO AL CARBÓN API-5L-GR. B, INCLUYE: ACARREO, CARGA, DESCARGA, MANIOBRAS.</t>
  </si>
  <si>
    <t>C2EXT-0029</t>
  </si>
  <si>
    <t>SUMINISTRO, HABILITADO E INSTALACIÓN EN PATIO DE PREFABRICADOS DE TUBO CIRCULAR (OC) 141 mm x 6.55 mm (5.56 in. x 0.258 in.) PESO DE 21.77 kg/m, DE ACERO AL CARBÓN API-5L-GR. B, INCLUYE: ACARREO, CARGA, DESCARGA, MANIOBRAS.</t>
  </si>
  <si>
    <t>C2EXT-0030</t>
  </si>
  <si>
    <t>SUMINISTRO, HABILITADO E INSTALACIÓN EN PATIO DE PREFABRICADOS DE TUBO CIRCULAR (OC) 168 mm x 10.97 mm (6.63 in. x 0.432 in.) 42.56 kg/m, DE ACERO AL CARBÓN API-5L-GR. B, INCLUYE: ACARREO, CARGA, DESCARGA, MANIOBRAS.</t>
  </si>
  <si>
    <t>C2EXT-0031</t>
  </si>
  <si>
    <t>SUMINISTRO, HABILITADO E INSTALACIÓN EN PATIO DE PREFABRICADOS DE TUBO CIRCULAR (OC) 273 mm x 12.7 mm (10.75 in. x 0.500 in.) 81.56 kg/m, API-5L-GR. B, DE ACERO AL CARBÓN API-5L-GR. B, INCLUYE: ACARREO, CARGA, DESCARGA, MANIOBRAS.</t>
  </si>
  <si>
    <t>C2EXT-0032</t>
  </si>
  <si>
    <t>TUBO CIRCULAR (OC) 406 mm x 12.7 mm (16 in. x 0.500 in.) 123.31 kg/m, DE ACERO AL CARBONO API-5L-GR. B DE 6.10 METROS; INCLUYE SUMINISTRO, INSPECCIÓN, EMBALAJE, CARGA, ASEGURAMIENTO, TRANSPORTE DEL ALMACÉN DE LA CONTRATISTA, UBICADO EN EL KM. 13.8 AL PATIO DE PREFABRICADOS EN EL RECINTO PORTUARIO DE CIUDAD DEL CARMEN DE ACUERDO CON EL ANEXO DE ESPECIFICACIONES PARTICULARES.</t>
  </si>
  <si>
    <t>PIEZA</t>
  </si>
  <si>
    <t>BME-3801-020-2023</t>
  </si>
  <si>
    <t>OT-GRZ-801-23-004-YAXCHE-C</t>
  </si>
  <si>
    <t>C2EXT-0033</t>
  </si>
  <si>
    <t>YAXCHE-C</t>
  </si>
  <si>
    <t>SUMINISTRO, HABILITADO E INSTALACIÓN EN PATIO DE PREFABRICADOS DE TUBO CIRCULAR (OC) 406 mm x 16.66 mm (16.  in. X .656 in  ) PESO DE 160.13 kg/m DE ACERO AL CARBÓN API-5L-GR. B, INCLUYE: ACARREO, CARGA, DESCARGA, MANIOBRAS.</t>
  </si>
  <si>
    <t>C2EXT-0034</t>
  </si>
  <si>
    <t>SUMINISTRO, HABILITADO E INSTALACIÓN EN PATIO DE PREFABRICADOS DE TUBO CIRCULAR (OC) 508 mm x 25.4 mm 302.28 kg/m, DE ACERO AL CARBÓN API-5L-GR. B, INCLUYE: ACARREO, CARGA, DESCARGA, MANIOBRAS.</t>
  </si>
  <si>
    <t>C2EXT-0035</t>
  </si>
  <si>
    <t>SUMINISTRO, HABILITADO E INSTALACIÓN EN PATIO DE PREFABRICADOS DE PLACA LISA  ROLADA DE 1/2" DE ESPESOR (12.7 MM X 99.59 KG/M2) DE ACERO AL CARBÓN ASTM A-36, INCLUYE: ACARREO, CARGA, DESCARGA, MANIOBRAS.</t>
  </si>
  <si>
    <t>C2EXT-0036</t>
  </si>
  <si>
    <t>SUMINISTRO, HABILITADO E INSTALACIÓN EN PATIO DE PREFABRICADOS DE PLACA LISA  ROLADA DE 3/4" DE ESPESOR (19.1 MM X 149.28 KG/M2) DE ACERO AL CARBÓN ASTM A-36, INCLUYE: ACARREO, CARGA, DESCARGA, MANIOBRAS.</t>
  </si>
  <si>
    <t>C2EXT-0037</t>
  </si>
  <si>
    <t>SUMINISTRO, ELABORACION Y VACIADO EN PATIO DE PREFABRICADOS DE CONCRETO HIDRÁULICO CON RESISTENCIA A LA COMPRESION DE f'c=100 Kg/cm2, INCLUYE: ACARREO, CARGA, DESCARGA, MANIOBRAS.</t>
  </si>
  <si>
    <t>M3</t>
  </si>
  <si>
    <t>C2EXT-0038</t>
  </si>
  <si>
    <t>SUMINISTRO E INSTALACIÓN DE ANODO DE SACRIFICIO EN ALUMINIO TRAPEZOIDAL TIPO "A" DE 90°, CON NUCLEO DE ACERO DE 4" DE DIAMETRO CEDULA 80  DE 725 LBS (328.86 KG) X 2.438 M LONGITUD., INCLUYE: ACARREO, CARGA, DESCARGA, MANIOBRAS.</t>
  </si>
  <si>
    <t>C2EXT-0039</t>
  </si>
  <si>
    <t>SUMINISTRO, HABILITADO Y COLOCACION EN PATIO DE PREFABRICADOS DE CAUCHO MARINER RUBBER, PARA DEFENSA, INCLUYE: ACARREO, CARGA, DESCARGA, MANIOBRAS.</t>
  </si>
  <si>
    <t>METRO</t>
  </si>
  <si>
    <t>C2EXT-0040</t>
  </si>
  <si>
    <t>TUBO DE ACERO AL CARBONO DE 12"Ø, CÉDULA 80, ESPESOR DE PARED 0.688 DE ACERO AL CARBONO ASTM A-106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</si>
  <si>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C2EXT-0041</t>
  </si>
  <si>
    <t>SUMINISTRO E INSTALACIÓN EN PATIO DE PREFABRICADOS DE BRIDA CUELLO SOLDABLE ASME B16.5, DE ACERO AL CARBONO MSS SP-44 GR. F52, CARA JUNTA TIPO ANILLO (R.T.J.), LOS MATERIALES DEBEN CUMPLIR CON EL ESTÁNDAR PEMEX-EST-TD032-P2-2019, DE 4" DE DIAMETRO NPS (100 DN), CLASE 1500, BORE = 3.152". INCLUYE: ACARREO, CARGA, DESCARGA, MANIOBRAS.</t>
  </si>
  <si>
    <t>C2EXT-0042</t>
  </si>
  <si>
    <t>SUMINISTRO E INSTALACIÓN EN PATIO DE PREFABRICADOS DE BRIDA CUELLO SOLDABLE DE 6" DE DIAMETRO NOMINAL DE ACERO AL CARBONO CLASE 1500#, R.T.J. BORE=5.761" (CED. 80) ASTM A105, DIMENSIONES DE ACUERDO CON ASME B16.5. PARA SERVICIO AMARGO, DEBE CUMPLIR CON LOS REQUISITOS TECNICOS Y DOCUMENTALES DE PEMEX-EST-TD-032-P2-2019 Ó VERSION ACTUAL, INCLUYE: ACARREO, CARGA, DESCARGA, MANIOBRAS.</t>
  </si>
  <si>
    <t>C2EXT-0043</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</si>
  <si>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</si>
  <si>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C2EXT-0044</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</si>
  <si>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</si>
  <si>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C2EXT-0045</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</si>
  <si>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</si>
  <si>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</si>
  <si>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INSERTO REDUCCION MATERIAL ASTM A-105 CED. 160 MACHO x ROSCA DE 3/4" x1/2" DE DIAMETRO, INCLUYE: ACARREO, CARGA, DESCARGA, MANIOBRAS.</t>
  </si>
  <si>
    <t>C2EXT-0047</t>
  </si>
  <si>
    <t>SUMINISTRO E INSTALACIÓN EN PATIO DE PREFABRICADOS DE TAPÓN CACHUCHA DE 3/4” DE DIAMETRO, DE ACERO AL CARBONO ASTM A-105, CLASE 6000#, CAJA SOLDAR, INCLUYE: ACARREO, CARGA, DESCARGA, MANIOBRAS.</t>
  </si>
  <si>
    <t>C2EXT-0048</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</si>
  <si>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</si>
  <si>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C2EXT-0049</t>
  </si>
  <si>
    <t>SUMINISTRO E INSTALACIÓN EN PATIO DE PREFABRICADOS DE TAPON CACHUCHA DE 12”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</si>
  <si>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C2EXT-0050</t>
  </si>
  <si>
    <t>SUMINISTRO E INSTALACIÓN EN PATIO DE PREFABRICADOS DE TAPON CACHUCHA DE 30" DE DIAMETRO ESPESOR DE 25.4 MM  EXTREMOS BISELADOS, ACERO AL CARBONO ASTM A-234 GR. WPB, INCLUYE: ACARREO, CARGA, DESCARGA, MANIOBRAS.</t>
  </si>
  <si>
    <t>C2EXT-0051</t>
  </si>
  <si>
    <t>SUMINISTRO E INSTALACIÓN EN PATIO DE PREFABRICADOS DE NIPLE DE ACERO AL CARBÓN 1/2” DE DIAMETRO NOMINAL CÉDULA 160, ASTM A106 GR. B SIN COSTURA, LONGITUD: 102 MM (4 IN), EXTREMOS ROSCADOS, ASME B36.19M, NACE MR0175/ISO 15156, INCLUYE: ACARREO, CARGA, DESCARGA, MANIOBRAS.</t>
  </si>
  <si>
    <t>C2EXT-0052</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</si>
  <si>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</si>
  <si>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C2EXT-0053</t>
  </si>
  <si>
    <t>SERVICIO DE AGENCIAMIENTO MARITIMO DE PAREJA CHALAN-REMOLCADOR DURANTE LA SALIDA DEL MUELLE DEL ARMADOR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</si>
  <si>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C2EXT-0054</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</si>
  <si>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</si>
  <si>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C2EXT-0055</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</si>
  <si>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</si>
  <si>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C2EXT-0056</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</si>
  <si>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</si>
  <si>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C2EXT-0057</t>
  </si>
  <si>
    <t>SERVICIO DE AGENCIAMIENTO MARITIMO DE PAREJA CHALAN-REMOLCADOR DURANTE LA ENTRADA AL MUELLE DEL ARMADOR SIN CARGA, DESPUES DE LA DESCARGA DE LAS ESTRUCTURAS EN LA PLATAFORMA TARATUNICH-301, INCLUYE: REMOLQUES, DERECHOS DE PUERTO, CAPITANIA, PILOTOS DE APOYO, LANCHAJE, GASTOS ADMINISTRATIVOS, (NO INCLUYE TIEMPO DE OPERACION O EN ESPERA DE LA PAREJA CHALAN-REMOLCADOR)</t>
  </si>
  <si>
    <t>C2EXT-0058</t>
  </si>
  <si>
    <t>SUMINISTRO, HABILITADO E INSTALACIÓN EN PATIO DE PREFABRICADOS DE VIGA METÁLICA PERFIL I RECTANGULAR (IR) 203 MM x 31.2 KG/M ( 8 IN. x 21 LB./FT.), DE ACERO AL CARBÓN ASTM A-36, INCLUYE: ACARREO, CARGA, DESCARGA, MANIOBRAS.</t>
  </si>
  <si>
    <t>C2EXT-0059</t>
  </si>
  <si>
    <t>SUMINISTRO, HABILITADO E INSTALACIÓN EN PATIO DE PREFABRICADOS DE VIGA METÁLICA PERFIL I RECTANGULAR (IR) 610 MM x 174.20 KG/M  (24 IN. x 117 LB./FT.), DE ACERO AL CARBÓN ASTM A-36, INCLUYE: ACARREO, CARGA, DESCARGA, MANIOBRAS.</t>
  </si>
  <si>
    <t>C2EXT-0060</t>
  </si>
  <si>
    <t>SUMINISTRO, HABILITADO E INSTALACIÓN EN PATIO DE PREFABRICADOS DE VIGA METÁLICA PERFIL I RECTANGULAR (IR) 686 MM x 169.70 KG/M (27 IN. x 114 LB./FT.), DE ACERO AL CARBÓN ASTM A-36, INCLUYE: ACARREO, CARGA, DESCARGA, MANIOBRAS.</t>
  </si>
  <si>
    <t>C2EXT-0061</t>
  </si>
  <si>
    <t>SUMINISTRO, HABILITADO E INSTALACIÓN EN PATIO DE PREFABRICADOS DE VIGA IS-356 MM X 19 MM / 800 MM X 13 MM (186.12 KG/M) DE ACERO AL CARBON ASTM A-36 , INCLUYE: ACARREO, CARGA, DESCARGA, MANIOBRAS.</t>
  </si>
  <si>
    <t>C2EXT-0062</t>
  </si>
  <si>
    <t>VIGA IR-203 MM X 26.6 KG/M DE ACERO AL CARBONO ASTM A-572; INCLUYE SUMINISTRO, INSPECCIÓN, EMBALAJE, CARGA, ASEGURAMIENTO, TRANSPORTE DEL ALMACÉN DE LA CONTRATISTA, UBICADO EN EL KM. 13.8 AL PATIO DE PREFABRICADOS EN EL RECINTO PORTUARIO DE CIUDAD DEL CARMEN DE ACUERDO CON EL ANEXO DE ESPECIFICACIONES PARTICULARES.</t>
  </si>
  <si>
    <t>C2EXT-0063</t>
  </si>
  <si>
    <t>SUMINISTRO, HABILITADO E INSTALACIÓN EN PATIO DE PREFABRICADOS DE VIGA IR-254 MM X 28.5 KG/M DE ACERO AL CARBON ASTM A-572, INCLUYE: ACARREO, CARGA, DESCARGA, MANIOBRAS.</t>
  </si>
  <si>
    <t>C2EXT-0064</t>
  </si>
  <si>
    <t>SUMINISTRO, HABILITADO E INSTALACIÓN EN PATIO DE PREFABRICADOS DE VIGA IR-305 MM X 74.4 KG/M DE ACERO AL CARBON ASTM A-572, INCLUYE: ACARREO, CARGA, DESCARGA, MANIOBRAS.</t>
  </si>
  <si>
    <t>C2EXT-0065</t>
  </si>
  <si>
    <t>SUMINISTRO, HABILITADO E INSTALACIÓN EN PATIO DE PREFABRICADOS DE VIGA IR-102 MM X 19.40 KG/M (4” X 13 LB/FT). ACERO AL CARBON ASTM A-36, INCLUYE: ACARREO, CARGA, DESCARGA, MANIOBRAS.</t>
  </si>
  <si>
    <t>C2EXT-0066</t>
  </si>
  <si>
    <t>SUMINISTRO, HABILITADO E INSTALACIÓN EN PATIO DE PREFABRICADOS DE CANAL METALICO CE-152 MM X 12.20 KG/M DE ACERO AL CARBON ASTM A-572, INCLUYE: ACARREO, CARGA, DESCARGA, MANIOBRAS.</t>
  </si>
  <si>
    <t>C2EXT-0067</t>
  </si>
  <si>
    <t>SUMINISTRO, HABILITADO E INSTALACIÓN EN PATIO DE PREFABRICADOS DE CANAL METALICO CE-254 MM X 22.76 KG/M DE ACERO AL CARBON ASTM A-572, INCLUYE: ACARREO, CARGA, DESCARGA, MANIOBRAS.</t>
  </si>
  <si>
    <t>C2EXT-0068</t>
  </si>
  <si>
    <t>SUMINISTRO, HABILITADO E INSTALACIÓN EN PATIO DE PREFABRICADOS DE ANGULO LI-64 MM X 6 MM DE ACERO AL CARBON ASTM A-572 (6.10 KG/M), INCLUYE: ACARREO, CARGA, DESCARGA, MANIOBRAS.</t>
  </si>
  <si>
    <t>C2EXT-0069</t>
  </si>
  <si>
    <t>SUMINISTRO, HABILITADO E INSTALACIÓN EN PATIO DE PREFABRICADOS DE ANGULO LI-102 MM X 6 MM (9.82 KG/M) DE ACERO AL CARBON ASTM A-572 , INCLUYE: ACARREO, CARGA, DESCARGA, MANIOBRAS.</t>
  </si>
  <si>
    <t>C2EXT-0070</t>
  </si>
  <si>
    <t>SUMINISTRO, HABILITADO E INSTALACIÓN EN PATIO DE PREFABRICADOS DE SOLERA DE 51 MM X 13 MM (2” X 1/2") (5.07 KG/M)  DE ACERO AL CARBON ASTM A-36 , INCLUYE: ACARREO, CARGA, DESCARGA, MANIOBRAS.</t>
  </si>
  <si>
    <t>C2EXT-0071</t>
  </si>
  <si>
    <t>SUMINISTRO, HABILITADO E INSTALACIÓN EN PATIO DE PREFABRICADOS DE SOLERA DE 76 MM X 6 MM (3” X 1/4")  (3.80 KG/M) DE ACERO AL CARBON ASTM A-36 , INCLUYE: ACARREO, CARGA, DESCARGA, MANIOBRAS.</t>
  </si>
  <si>
    <t>C2EXT-0072</t>
  </si>
  <si>
    <t>SUMINISTRO, HABILITADO E INSTALACIÓN EN PATIO DE PREFABRICADOS DE PLACA DE 1/8" DE ESPESOR (24.90 KG/M²) ACERO AL CARBON ASTM-A-36 , INCLUYE: ACARREO, CARGA, DESCARGA, MANIOBRAS.</t>
  </si>
  <si>
    <t>C2EXT-0073</t>
  </si>
  <si>
    <t>SUMINISTRO, HABILITADO E INSTALACIÓN EN PATIO DE PREFABRICADOS DE PLACA ROLADA DE 10 MM (3/8”) DE ESPESOR DE ACERO AL CARBON ASTM A-36 (74.77 KG/M²) , INCLUYE: ACARREO, CARGA, DESCARGA, MANIOBRAS.</t>
  </si>
  <si>
    <t>C2EXT-0074</t>
  </si>
  <si>
    <t>SUMINISTRO, HABILITADO E INSTALACIÓN EN PATIO DE PREFABRICADOS DE PLACA ROLADA DE 25 MM (1”) DE ESPESOR (199.39 KG/M²) ACERO AL CARBON ASTM A-36, INCLUYE: ACARREO, CARGA, DESCARGA, MANIOBRAS.</t>
  </si>
  <si>
    <t>C2EXT-0075</t>
  </si>
  <si>
    <t>SUMINISTRO, HABILITADO E INSTALACIÓN EN PATIO DE PREFABRICADOS DE PLACA ANTIDERRAPANTE (1/4" DE ESPESOR) 6.4 MM X 56.034 KG./M2 EN ACERO ASTM-A36, INCLUYE: ACARREO, CARGA, DESCARGA, MANIOBRAS.</t>
  </si>
  <si>
    <t>C2EXT-0076</t>
  </si>
  <si>
    <t>SUMINISTRO, HABILITADO E INSTALACIÓN EN PATIO DE PREFABRICADOS DE PLACA ANTIDERRAPANTE DE 9.5 MM (3/8") DE ESPESOR (79.82 KG/M²) DE ACERO AL CARBON  ASTM A-36  , INCLUYE: ACARREO, CARGA, DESCARGA, MANIOBRAS.</t>
  </si>
  <si>
    <t>C2EXT-0077</t>
  </si>
  <si>
    <t>SUMINISTRO, HABILITADO E INSTALACIÓN EN PATIO DE PREFABRICADOS DE TUBO CIRCULAR (OC) 356 MM X 19.05 MM ROLADO CON SUPLEMENTOS S-1, S3, S-4 Y S-5. API 2H GR. 50 (158.11 KG/M), INCLUYE: ACARREO, CARGA, DESCARGA, MANIOBRAS.</t>
  </si>
  <si>
    <t>C2EXT-0078</t>
  </si>
  <si>
    <t>SUMINISTRO, HABILITADO E INSTALACIÓN EN PATIO DE PREFABRICADOS DE TUBO ASME B36.10, DE ACERO AL CARBONO ISO 3183 GR. L360NO (API 5L GR. X52NO) PSL2, SIN COSTURA, EXTREMOS BISELADOS, DE 4” DE DIAMETRO NPS (100 DN), 0.531” DE ESPESOR, CEDULA 160. LOS MATERIALES DEBEN CUMPLIR CON EL ESTÁNDAR PEMEX EST-TD-032-P1-2018  Ó VERSION ACTUAL, INCLUYE: ACARREO, CARGA, DESCARGA, MANIOBRAS.</t>
  </si>
  <si>
    <t>C2EXT-0079</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</si>
  <si>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</si>
  <si>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C2EXT-0080</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</si>
  <si>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</si>
  <si>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C2EXT-0081</t>
  </si>
  <si>
    <t>SUMINISTRO E INSTALACIÓN EN PATIO DE PREFABRICADOS DE BRIDA CUELLO SOLDABLE ASME B16.5, DE ACERO AL CARBONO MSS SP-44 GR. F52, CARA JUNTA TIPO ANILLO (R.T.J.), LOS MATERIALES DEBEN CUMPLIR CON Y EL ESTÁNDAR TÉCNICO PEMEX-EST-TD-032-P2-2019  Ó VERSION ACTUAL, DE 8" DE DIAMETRO NPS (200 DN), CLASE 1500, BORE = 6.875”. , INCLUYE: ACARREO, CARGA, DESCARGA, MANIOBRAS.</t>
  </si>
  <si>
    <t>C2EXT-0082</t>
  </si>
  <si>
    <t>CODO 90° ASME B16.11, DE ACERO AL CARBONO FORJADO, ASTM A105, EXTREMOS CAJA SOLDABLE, LOS MATERIALES DEBEN CUMPLIR CON EL ESTÁNDAR PEMEX-EST-TD-032-P2-2019  Ó VERSION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</si>
  <si>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C2EXT-0083</t>
  </si>
  <si>
    <t>CODO 90° R. L. ASME B16.9, DE ACERO AL CARBONO MSS SP-75 GR. WPHY-52, SIN COSTURA, EXTREMOS BISELADOS, LOS MATERIALES DEBEN CUMPLIR CON Y EL ESTÁNDAR PEMEX-EST-TD-032-P2-2019 Ó VERSIÓN ACTUAL, DE 4” DE DIÁMETRO NPS (100 DN), 0.531 DE ESPESOR,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</si>
  <si>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C2EXT-0084</t>
  </si>
  <si>
    <t>CODO 90° R. L. ASME B16.9, DE ACERO AL CARBONO ASTM A 234 GR. WPB, SIN COSTURA, EXTREMOS BISELADOS, LOS MATERIALES DEBEN CUMPLIR CON ANSI/NACE MR-0175, ISO 15156-1 Y 2, Y EL ESTÁNDAR PEMEX-EST-TD-032-P2-2019  Ó VERSION ACTUAL, DE 12” DE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</si>
  <si>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C2EXT-0085</t>
  </si>
  <si>
    <t>CODO 45° ASME B16.9, DE ACERO AL CARBONO MSS SP-75 GR. WPHY-52, SIN COSTURA, EXTREMOS BISELADOS, LOS MATERIALES DEBEN CUMPLIR CON EL ESTÁNDAR PEMEX-EST-TD-032-P2-2019 Ó VERSIÓN ACTUAL, DE 4” DE DIÁMETRO NPS (100 DN), 0.531 DE ESP.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</si>
  <si>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C2EXT-0086</t>
  </si>
  <si>
    <t>TEE RECTA ASME B16.11, DE ACERO AL CARBONO FORJADO, ASTM A105, EXTREMOS CAJA SOLDABLE, LOS MATERIALES DEBEN CUMPLIR CON EL ESTÁNDAR PEMEX-EST-TD-032-P2-2019 Ó VERSIÓN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</si>
  <si>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C2EXT-0087</t>
  </si>
  <si>
    <t>TEE REDUCCIÓN ASME B16.11, DE ACERO AL CARBONO FORJADO, ASTM A105, EXTREMOS CAJA SOLDABLE, LOS MATERIALES DEBEN CUMPLIR CON EL ESTÁNDAR PEMEX-EST-TD-032-P2-2019 Ó VERSIÓN ACTUAL, DE 2” X 3/4” DE DIÁMETRO NPS (50 DN X 20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</si>
  <si>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C2EXT-0089</t>
  </si>
  <si>
    <t>TEE REDUCCIÓN ASME B16.9, DE ACERO AL CARBONO MSS SP-75 GR. WPHY-52, SIN COSTURA, EXTREMOS BISELADOS, LOS MATERIALES DEBEN CUMPLIR CON EL ESTÁNDAR PEMEX-EST-TD-032-P2-2019 Ó VERSIÓN ACTUAL, DE 4” NPS X 2” DE DIÁMETRO NPS (100 DN X 50 DN), 0.531 DE ESPESOR X CÉDULA XXS. INCLUYE SUMINISTRO, INSPECCIÓN, EMBALAJE, CARGA, ASEGURAMIENTO, TRANSPORTE DEL ALMACÉN DE LA CONTRATISTA, UBICADO EN EL KM. 13.8 AL PATIO DE PREFABRICADOS EN EL RECINTO PORTUARIO DE CIUDAD DEL CARMEN DE ACUERDO CON EL ANEXO DE ESPECIFICACIONES PARTICULARES.</t>
  </si>
  <si>
    <t>C2EXT-0090</t>
  </si>
  <si>
    <t>SUMINISTRO E INSTALACIÓN EN PATIO DE PREFABRICADOS DE REDUCCIÓN CONCÉNTRICA ASME B16.9, DE ACERO AL CARBONO MSS SP-75 GR. WPHY-52, SIN COSTURA, EXTREMOS BISELADOS, LOS MATERIALES DEBEN CUMPLIR CON EL ESTÁNDAR PEMEX EST-TD-032-P2-2019, DE 4”Ø NPS X 2” DE DIAMETRO NPS (100 DN X 50 DN), 0.875” DE ESP. X 0.531 DE ESP. , INCLUYE: ACARREO, CARGA, DESCARGA, MANIOBRAS.</t>
  </si>
  <si>
    <t>C2EXT-0091</t>
  </si>
  <si>
    <t>REDUCCIÓN CONCÉNTRICA ASME B16.9, DE ACERO AL CARBONO ASTM A 234 GR. WPB, SIN COSTURA, EXTREMOS BISELADOS, LOS MATERIALES DEBEN CUMPLIR CON ANSI/NACE MR-0175, ISO 15156-1 Y 2, Y EL ESTÁNDAR PEMEX-EST-TD-032-P2-2019, DE 16” X 12” DE DIÁMETRO NPS (400 X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</si>
  <si>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C2EXT-0092</t>
  </si>
  <si>
    <t>SUMINISTRO E INSTALACIÓN EN PATIO DE PREFABRICADOS DE TAPON CACHUCHA DE 2" DE DIAMETRO ROSCADO DE ACERO AL CARBONO FORJADO, CLASE 300 ASTM A105, INCLUYE: ACARREO, CARGA, DESCARGA, MANIOBRAS.</t>
  </si>
  <si>
    <t>C2EXT-0093</t>
  </si>
  <si>
    <t>SUMINISTRO E INSTALACIÓN EN PATIO DE PREFABRICADOS DE TAPÓN CACHUCHA ROSCADO ASME B16.11, DE ACERO AL CARBONO FORJADO, ASTM A105, LOS MATERIALES DEBEN CUMPLIR CON EL ESTÁNDAR PEMEX-EST-TD-032-P2-2019 Ó VERSIÓN ACTUAL, DE 2” DE DIAMETRO NPS (50 DN), CLASE 9000, INCLUYE: ACARREO, CARGA, DESCARGA, MANIOBRAS.</t>
  </si>
  <si>
    <t>C2EXT-0094</t>
  </si>
  <si>
    <t>COPLE REDUCCIÓN ASME B16.11, DE ACERO AL CARBONO FORJADO, ASTM A105, EXTREMOS CAJA SOLDABLE, LOS MATERIALES DEBEN CUMPLIR CON EL ESTÁNDAR PEMEX-EST-TD032-P2-2019 Ó VERSIÓN ACTUAL, DE 2” NPS X 1” DE DIÁMETRO NPS (50 DN X 25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</si>
  <si>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C2EXT-0095</t>
  </si>
  <si>
    <t>NIPLE DE ACERO AL CARBONO ASTM A106 GR. B, EXTREMOS PLANOS X ROSCADO ASME B36.10 SIN COSTURA, LOS MATERIALES DEBEN CUMPLIR CON EL ESTÁNDAR PEMEX-EST-TD-032-P1-2018 Ó VERSIÓN ACTUAL, DE 1" DE DIÁMETRO NPS (25 DN) X 3.5" DE LONG., CÉDULA 80. INCLUYE SUMINISTRO, INSPECCIÓN, EMBALAJE, CARGA, ASEGURAMIENTO, TRANSPORTE DEL ALMACÉN DE LA CONTRATISTA, UBICADO EN EL KM. 13.8 AL PATIO DE PREFABRICADOS EN EL RECINTO PORTUARIO DE CIUDAD DEL CARMEN DE ACUERDO CON EL ANEXO DE ESPECIFICACIONES PARTICULARES.</t>
  </si>
  <si>
    <t>C2EXT-0096</t>
  </si>
  <si>
    <t>SUMINISTRO E INSTALACIÓN EN PATIO DE PREFABRICADOS DE NIPLE EN ACERO AL CARBON ASTM A-53 GR. B, DE 2" DE DIAMETRO X 6" LONG. CEDULA 80, SIN COSTURA, EXTREMOS ROSCADOS, INCLUYE: ACARREO, CARGA, DESCARGA, MANIOBRAS.</t>
  </si>
  <si>
    <t>C2EXT-0097</t>
  </si>
  <si>
    <t>NIPLE SWAGE REDUCTOR DE ACERO AL CARBONO FORJADO, ASTM A105, EXTREMOS PLANOS ASME B16.25, CONSTRUIDO CONFORME A MSS SP-95, LOS MATERIALES DEBEN CUMPLIR CON ANSI/NACE MR-0175, ISO 15156-1 Y 2, Y EL ESTÁNDAR TÉCNICO PEMEX-EST-TD-032-P2-2019, DE 2” DIÁMEWTRO X 3/4” DE DIÁMETRO NPS (50 DN X 20 DN), CÉDULA XXS. R. INCLUYE SUMINISTRO, INSPECCIÓN, EMBALAJE, CARGA, ASEGURAMIENTO, TRANSPORTE DEL ALMACÉN DE LA CONTRATISTA, UBICADO EN EL KM. 13.8 AL PATIO DE PREFABRICADOS EN EL RECINTO PORTUARIO DE CIUDAD DEL CARMEN DE ACUERDO CON EL ANEXO DE ESPECIFICACIONES PARTICULARES.</t>
  </si>
  <si>
    <t>C2EXT-0098</t>
  </si>
  <si>
    <t>SUMINISTRO E INSTALACIÓN EN PATIO DE PREFABRICADOS DE ADAPTADOR CON CUERDA HEMBRA 2” DE DIAMETRO TIPO ENGER CRA, INCLUYE: ACARREO, CARGA, DESCARGA, MANIOBRAS.</t>
  </si>
  <si>
    <t>C2EXT-0099</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</si>
  <si>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</si>
  <si>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</si>
  <si>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</si>
  <si>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C2EXT-0101</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</si>
  <si>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</si>
  <si>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</si>
  <si>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</si>
  <si>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C2EXT-0103</t>
  </si>
  <si>
    <t>BRIDA CUELLO SOLDABLE ASME B16.5, DE ACERO AL CARBONO FORJADO ASTM A105, GALVANIZADO ASTM A153 Y ASTM A385, CARA REALZADA, LOS MATERIALES DEBEN CUMPLIR CON EL ESTÁNDAR PEMEX-EST-TD-032-P2-2019  Ó VERSION ACTUAL, DE 1 1/2" DE DIÁMETRO NPS, (40 DN) CLASE 150, BORE= 1.500". INCLUYE SUMINISTRO, INSPECCIÓN, EMBALAJE, CARGA, ASEGURAMIENTO, TRANSPORTE DEL ALMACÉN DE LA CONTRATISTA, UBICADO EN EL KM. 13.8 AL PATIO DE PREFABRICADOS EN EL RECINTO PORTUARIO DE CIUDAD DEL CARMEN DE ACUERDO CON EL ANEXO DE ESPECIFICACIONES PARTICULARES.</t>
  </si>
  <si>
    <t>C2EXT-0104</t>
  </si>
  <si>
    <t>BRIDA CUELLO SOLDABLE ASME B16.5, DE ACERO AL CARBONO FORJADO ASTM A105, GALVANIZADO ASTM A153 Y ASTM A385, CARA REALZADA, LOS MATERIALES DEBEN CUMPLIR CON EL ESTÁNDAR PEMEX-EST-TD-032-P2-2019  Ó VERSION ACTUAL, DE 2" DE DIÁMETRO NPS, (50 DN) CLASE 150, BORE= 1.939". INCLUYE SUMINISTRO, INSPECCIÓN, EMBALAJE, CARGA, ASEGURAMIENTO, TRANSPORTE DEL ALMACÉN DE LA CONTRATISTA, UBICADO EN EL KM. 13.8 AL PATIO DE PREFABRICADOS EN EL RECINTO PORTUARIO DE CIUDAD DEL CARMEN DE ACUERDO CON EL ANEXO DE ESPECIFICACIONES PARTICULARES.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</si>
  <si>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</si>
  <si>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3" DE DIAMETRO NPS, (80 DN) CLASE 150, BORE = 2.624". , INCLUYE: ACARREO, CARGA, DESCARGA, MANIOBRAS.</t>
  </si>
  <si>
    <t>C2EXT-0106</t>
  </si>
  <si>
    <t>BRIDA CUELLO SOLDABLE ASME B16.5, DE ACERO AL CARBONO FORJADO ASTM A105, GALVANIZADO ASTM A153 Y ASTM A385, CARA REALZADA, LOS MATERIALES DEBEN CUMPLIR CON EL ESTÁNDAR PEMEX-EST-TD-032-P2-2019  Ó VERSION ACTUAL, DE 4" DE DIÁMETRO NPS, (100 DN) CLASE 150, BORE= 3.826". INCLUYE SUMINISTRO, INSPECCIÓN, EMBALAJE, CARGA, ASEGURAMIENTO, TRANSPORTE DEL ALMACÉN DE LA CONTRATISTA, UBICADO EN EL KM. 13.8 AL PATIO DE PREFABRICADOS EN EL RECINTO PORTUARIO DE CIUDAD DEL CARMEN DE ACUERDO CON EL ANEXO DE ESPECIFICACIONES PARTICULARES.</t>
  </si>
  <si>
    <t>C2EXT-0107</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</si>
  <si>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</si>
  <si>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C2EXT-0108</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</si>
  <si>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</si>
  <si>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C2EXT-0109</t>
  </si>
  <si>
    <t>CODO 90° R. L. ASME B16.9, DE ACERO AL CARBONO ASTM A234 GR. WPB, GALVANIZADO ASTM A153 Y ASTM A385, EXTREMOS BISELADOS, LOS MATERIALES DEBEN CUMPLIR CON EL ESTÁNDAR PEMEX-EST-TD-032-P2-2019  Ó VERSION ACTUAL, DE 4” DE DIÁMETRO NPS (100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</si>
  <si>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C2EXT-0110</t>
  </si>
  <si>
    <t>TEE RECTA ASME B16.11, DE ACERO AL CARBONO FORJADO ASTM A105, GALVANIZADO ASTM A123, EXTREMOS ROSCADOS, LOS MATERIALES DEBEN CUMPLIR CON EL ESTÁNDAR PEMEX-EST-TD032-P2-2019  Ó VERSION ACTUAL, DE 1 1/2” DE DIÁMETRO NPS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</si>
  <si>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C2EXT-0111</t>
  </si>
  <si>
    <t>TEE REDUCCIÓN ASME B16.11, DE ACERO AL CARBONO FORJADO ASTM A105, GALVANIZADO ASTM A123, EXTREMOS ROSCADOS , LOS MATERIALES DEBEN CUMPLIR CON EL ESTÁNDAR PEMEXEST-TD-032-P2-2019  Ó VERSION ACTUAL, DE 2” DIÁMETRO NPS X 1 1/2” DE DIÁMETRO NPS (50 DN X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</si>
  <si>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C2EXT-0112</t>
  </si>
  <si>
    <t>TEE REDUCCIÓN ASME B16.9, DE ACERO AL CARBONO ASTM A234 GR. WPB, GALVANIZADO ASTM A153 Y ASTM A385, EXTREMOS BISELADO, LOS MATERIALES DEBEN CUMPLIR CON EL ESTÁNDAR PEMEX-EST-TD-032-P2-2019  Ó VERSION ACTUAL, DE 3” DIÁMETRO NPS X 1 1/2” DE DIÁMETRO NPS (90 DN X 40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</si>
  <si>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C2EXT-0113</t>
  </si>
  <si>
    <t>TEE REDUCCIÓN ASME B16.9, DE ACERO AL CARBONO ASTM A234 GR. WPB, GALVANIZADO ASTM A153 Y ASTM A385, EXTREMOS BISELADO, LOS MATERIALES DEBEN CUMPLIR CON EL ESTÁNDAR PEMEX-EST-TD-032-P2-2019  Ó VERSION ACTUAL, DE 3” DIÁMETRO NPS X 2” DE DIÁMETRO NPS (90 DN X 50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</si>
  <si>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C2EXT-0114</t>
  </si>
  <si>
    <t>TEE REDUCCIÓN ASME B16.9, DE ACERO AL CARBONO ASTM A234 GR. WPB, GALVANIZADO ASTM A153 Y ASTM A385, EXTREMOS BISELADOS, LOS MATERIALES DEBEN CUMPLIR CON EL ESTÁNDAR PEMEX-EST-TD-032-P2-2019  Ó VERSION ACTUAL, DE 4” DIÁMETRO NPS X 1 1/2” DE DIÁMETRO NPS (100 DN X 40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</si>
  <si>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C2EXT-0115</t>
  </si>
  <si>
    <t>TEE REDUCCIÓN ASME B16.9, DE ACERO AL CARBONO ASTM A234 GR. WPB, GALVANIZADO ASTM A153 Y ASTM A385, EXTREMOS BISELADOS, LOS MATERIALES DEBEN CUMPLIR CON EL ESTÁNDAR PEMEX-EST-TD-032-P2-2019  Ó VERSION ACTUAL, DE 4” DIÁMETRO NPS X 2” DE DIÁMETRO NPS (100 DN X 50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</si>
  <si>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C2EXT-0116</t>
  </si>
  <si>
    <t>TEE REDUCCIÓN ASME B16.9, DE ACERO AL CARBONO ASTM A234 GR. WPB, GALVANIZADO ASTM A153 Y ASTM A385, EXTREMOS BISELADOS, LOS MATERIALES DEBEN CUMPLIR CON EL ESTÁNDAR PEMEX-EST-TD-032-P2-2019  Ó VERSION ACTUAL, DE 6” DIÁMETRO NPS X 4” DE DIÁMETRO NPS (150 DN X 100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</si>
  <si>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C2EXT-0117</t>
  </si>
  <si>
    <t>REDUCCIÓN CAMPANA DE 3" X 2" DE DIÁMETRO DE ACERO AL CARBONO, ASTM A-53, CÉDULA 40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</si>
  <si>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C2EXT-0118</t>
  </si>
  <si>
    <t>REDUCCIÓN CONCÉNTRICA ASME B16.9, DE ACERO AL CARBONO ASTM A234 GR. WPB, GALVANIZADO ASTM A153 Y ASTM A385, EXTREMOS BISELADO, LOS MATERIALES DEBEN CUMPLIR CON EL ESTÁNDAR PEMEX-EST-TD-032-P2-2019  Ó VERSION ACTUAL, DE 4” DIÁMETRO NPS X 3” DE DIÁMETRO NPS (100 DN X 90 DN), CÉDULA 80 X CÉDULA 160. INCLUYE SUMINISTRO, INSPECCIÓN, EMBALAJE, CARGA, ASEGURAMIENTO, TRANSPORTE DEL ALMACÉN DE LA CONTRATISTA, UBICADO EN EL KM. 13.8 AL PATIO DE PREFABRICADOS EN EL RECINTO PORTUARIO DE CIUDAD DEL CARMEN DE ACUERDO CON EL ANEXO DE ESPECIFICACIONES PARTICULARES.</t>
  </si>
  <si>
    <t>C2EXT-0119</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</si>
  <si>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</si>
  <si>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</si>
  <si>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2” DE DIAMETRO NPS (50 DN), CLASE 3000., INCLUYE: ACARREO, CARGA, DESCARGA, MANIOBRAS.</t>
  </si>
  <si>
    <t>C2EXT-0121</t>
  </si>
  <si>
    <t>SUMINISTRO E INSTALACIÓN EN PATIO DE PREFABRICADOS DE TAPON CAPA ASME B16.9, DE ACERO AL CARBONO ASTM A234 GR. WPB, GALVANIZADO ASTM A153 Y ASTM A385, EXTREMOS BISELADOS, LOS MATERIALES DEBEN CUMPLIR CON EL ESTÁNDAR PEMEX-EST-TD-032-P2-2019  Ó VERSION ACTUAL, DE 3” DE DIAMETRO NPS (90 D), CED. 160. , INCLUYE: ACARREO, CARGA, DESCARGA, MANIOBRAS.</t>
  </si>
  <si>
    <t>C2EXT-0122</t>
  </si>
  <si>
    <t>SUMINISTRO E INSTALACIÓN EN PATIO DE PREFABRICADOS DE NIPLE DE ACERO AL CARBONO ASTM A106 GR. B SIN COSTURA, GALVANIZADO ASTM A123, EXTREMOS ROSCADOS ASME B16.11, LOS MATERIALES DEBEN CUMPLIR CON EL ESTÁNDAR PEMEXEST-TD-032-P2-2019  Ó VERSION ACTUAL, DE 1 1/2” DE DIAMETRO NPS (40 DN) X 3 1/2” (89 MM) DE LONG., CED. 80. , INCLUYE: ACARREO, CARGA, DESCARGA, MANIOBRAS.</t>
  </si>
  <si>
    <t>C2EXT-0123</t>
  </si>
  <si>
    <t>SUMINISTRO, HABILITADO E INSTALACIÓN EN PATIO DE PREFABRICADOS DE PLACA LISA ROLADA DE 1" DE ESPESOR (25.4 MM X 199.18 KG/M2) DE ACERO AL CARBÓN ASTM A-36, INCLUYE: ACARREO, CARGA, DESCARGA, MANIOBRAS.</t>
  </si>
  <si>
    <t>C2EXT-0124</t>
  </si>
  <si>
    <t>SUMINISTRO, HABILITADO E INSTALACIÓN EN PATIO DE PREFABRICADOS DE PLACA LISA ROLADA DE 1 1/4" DE ESPESOR (31.8 MM X 249.63 KG/M2) DE ACERO AL CARBÓN ASTM A-36, INCLUYE: ACARREO, CARGA, DESCARGA, MANIOBRAS.</t>
  </si>
  <si>
    <t>C2EXT-0125</t>
  </si>
  <si>
    <t>TUBO CIRCULAR (OC) 406 MM x 12.7 MM (16 IN. X 0.500 IN.) 123.31 KG/M, ASTM A53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</si>
  <si>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C2EXT-0126</t>
  </si>
  <si>
    <t>SUMINISTRO, HABILITADO E INSTALACIÓN EN PATIO DE PREFABRICADOS DE TUBO OC-508 MM X 25.4 MM ROLADO CON SUPLEMENTOS S-1, S3, S-4 Y S-5. API 2H GR. 50 (302.28 KG/M), INCLUYE: ACARREO, CARGA, DESCARGA, MANIOBRAS.</t>
  </si>
  <si>
    <t>C2EXT-0127</t>
  </si>
  <si>
    <t>SUMINISTRO, HABILITADO E INSTALACIÓN EN PATIO DE PREFABRICADOS DE TUBO CIRCULAR DE ACERO AL CARBON API-5L-GR. B (OC) DE 508 MM x 15.09 MM, (20" DE DIAMETRO X 0.594" DE ESPESOR X 183.43 KG/M), DE ACERO AL CARBON API-5L-GR. B, INCLUYE: ACARREO, CARGA, DESCARGA, MANIOBRAS.</t>
  </si>
  <si>
    <t>C2EXT-0128</t>
  </si>
  <si>
    <t>SUMINISTRO E INSTALACIÓN EN PATIO DE PREFABRICADOS DE TAPÓN CACHUCHA ROSCADO ASME B16.11, DE ACERO AL CARBONO FORJADO, ASTM A105, LOS MATERIALES DEBEN CUMPLIR CON EL ESTÁNDAR PEMEX-EST-TD-032-P2-2019, DE 3/4” DE DIAMETRO NPS (20 DN), CLASE 9000, INCLUYE: ACARREO, CARGA, DESCARGA, MANIOBRAS.</t>
  </si>
  <si>
    <t>C2EXT-0129</t>
  </si>
  <si>
    <t>SUMINISTRO E INSTALACIÓN EN PATIO DE PREFABRICADOS DE REDUCCIÓN CONCÉNTRICA ASME B16.9, DE ACERO AL CARBONO MSS SP-75 GR. WPHY-52, SIN COSTURA, EXTREMOS BISELADOS, DE 8” X 4” DE DIAMETRO, 0.875” DE ESP. X 0.531 DE ESP. , INCLUYE: ACARREO, CARGA, DESCARGA, MANIOBRAS.</t>
  </si>
  <si>
    <t>C2EXT-0130</t>
  </si>
  <si>
    <t>SUMINISTRO E INSTALACIÓN EN PATIO DE PREFABRICADOS DE NIPLE DE ACERO AL CARBONO ASTM A106 GR. B, EXTREMOS PLANOS X ROSCADO ASME B36.10 SIN COSTURA, DE 2” DE DIAMETRO X 3.5” DE LONG., CÉD. XXS, INCLUYE: ACARREO, CARGA, DESCARGA, MANIOBRAS.</t>
  </si>
  <si>
    <t>C2EXT-0131</t>
  </si>
  <si>
    <t>SUMINISTRO E INSTALACIÓN EN PATIO DE PREFABRICADOS DE NIPLE DE ACERO AL CARBONO ASTM A106 GR. B SIN COSTURA, GALVANIZADO ASTM A123, EXTREMOS ROSCADOS ASME B16.11, LOS MATERIALES DEBEN CUMPLIR CON EL ESTÁNDAR PEMEXEST-TD-032-P2-2019, DE 2”Ø NPS (50 DN) X 3 1/2” (89 mm) DE LONG., CED. 80. , INCLUYE: ACARREO, CARGA, DESCARGA, MANIOBRAS.</t>
  </si>
  <si>
    <t>C2EXT-0132</t>
  </si>
  <si>
    <t>SUMINISTRO, MANEJO Y APLICACIÓN DE GALVANIZADO POR INMERSIÓN EN CALIENTE EN PATIO DE PREFABRICADOS, EL MÍNIMO ESPESOR DE GALVANIZADO ES DE 0.127 MM (0.005 IN), CON EL PROCESO DE GALVANIZADO POR INMERSIÓN DE ACUERDO AL ESTÁNDAR ASTM A 90 PARA TUBERIAS DE DIAM DE 4 Y MENORES.</t>
  </si>
  <si>
    <t>C2EXT-0133</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</si>
  <si>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</si>
  <si>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C2EXT-0134</t>
  </si>
  <si>
    <t>SUMINISTRO, HABILITADO E INSTALACIÓN EN PATIO DE PREFABRICADOS DE VIGA METÁLICA PERFIL I RECTANGULAR (IR)-610 mm x 140.3 kg/m DE ACERO AL CARBON ASTM A-572 GR. 50, INCLUYE: ACARREO, CARGA, DESCARGA, MANIOBRAS.</t>
  </si>
  <si>
    <t>BME-3801-041-2024</t>
  </si>
  <si>
    <t>OT-GRZ-801-24-04.3-Guias-Yaxche-C</t>
  </si>
  <si>
    <t>C2EXT-0135</t>
  </si>
  <si>
    <t>24-04.3-YAXCHE-C</t>
  </si>
  <si>
    <t>SUMINISTRO, HABILITADO E INSTALACIÓN EN PATIO DE PREFABRICADOS DE PLACA LISA ROLADA DE 7/8" DE ESPESOR (22.2 MM X 174.38 KG/M2) DE ACERO AL CARBÓN ASTM A-36, INCLUYE: ACARREO, CARGA, DESCARGA, MANIOBRAS.</t>
  </si>
  <si>
    <t>C2EXT-0136</t>
  </si>
  <si>
    <t>SUMINISTRO, HABILITADO E INSTALACIÓN EN PATIO DE PREFABRICADOS DE VIGA METÁLICA PERFIL I RECTANGULAR (IR)-610 mm x 153.30 kg/m DE ACERO AL CARBON ASTM A-572 GR 50, INCLUYE: ACARREO, CARGA, DESCARGA, MANIOBRAS.</t>
  </si>
  <si>
    <t>C2EXT-0137</t>
  </si>
  <si>
    <t>PRUEBA HIDROSTATICA A VÁLVULA DE 14"-20" DE DIAMETRO EN PATIO DE CONSTRUCCIÓN DE LA CONTRATISTA, INCLUYE: MANO DE OBRA Y EQUIPO A VÁLVULAS.</t>
  </si>
  <si>
    <t>C2EXT-0140</t>
  </si>
  <si>
    <t>TUBO DE ACERO AL CARBONO DE 406 mm x 9.53 mm X 93.27 KG/M, SIN COSTURA, EXTREMOS BISELADOS ESPECIFICACIÓN: ASTM API-5L GR. B PSL1. ASME: B36.10. DE 3.05 METROS; INCLUYE SUMINISTRO, INSPECCIÓN, EMBALAJE, CARGA, ASEGURAMIENTO, TRANSPORTE DEL ALMACÉN DE LA CONTRATISTA, UBICADO EN EL KM. 13.8 AL PATIO DE PREFABRICADOS EN EL RECINTO PORTUARIO DE CIUDAD DEL CARMEN DE ACUERDO CON EL ANEXO DE ESPECIFICACIONES PARTICULARES.</t>
  </si>
  <si>
    <t>C2EXT-0158</t>
  </si>
  <si>
    <t>SUMINISTRO, HABILITADO E INSTALACIÓN EN PATIO DE PREFABRICADOS DE TUBO CIRCULAR (OC) 508 mm x 12.70 mm 154.81 kg/m, DE ACERO AL CARBÓN API-5L-GR. B, INCLUYE: ACARREO, CARGA, DESCARGA, MANIOBRAS.</t>
  </si>
  <si>
    <t>C2EXT-0159</t>
  </si>
  <si>
    <t>SUMINISTRO, HABILITADO E INSTALACIÓN EN PATIO DE PREFABRICADOS DE PERFIL I RECTANGULAR (IR) 254 mm x 44.80 kg/m (10 in. x 30 lb./ft.) DE ACERO AL CARBÓN ASTM A-36, INCLUYE: ACARREO, CARGA, DESCARGA, MANIOBRAS.</t>
  </si>
  <si>
    <t>C2EXT-0160</t>
  </si>
  <si>
    <t>SUMINISTRO, HABILITADO E INSTALACIÓN EN PATIO DE PREFABRICADOS DE PERFIL I RECTANGULAR (IR) 356 mm x 32.9 kg/m (14 in. x 22 lb./ft.) DE ACERO AL CARBÓN ASTM A-36, INCLUYE: ACARREO, CARGA, DESCARGA, MANIOBRAS.</t>
  </si>
  <si>
    <t>C2EXT-0161</t>
  </si>
  <si>
    <t>SUMINISTRO, HABILITADO E INSTALACIÓN EN PATIO DE PREFABRICADOS DE PERFIL I RECTANGULAR (IR) 457 mm x 74.50 kg/m (18 in. x 50 lb./ft.) DE ACERO AL CARBÓN ASTM A-36, INCLUYE: ACARREO, CARGA, DESCARGA, MANIOBRAS.</t>
  </si>
  <si>
    <t>C2EXT-0162</t>
  </si>
  <si>
    <t>SUMINISTRO, HABILITADO E INSTALACIÓN EN PATIO DE PREFABRICADOS DE PERFIL I RECTANGULAR (IR) 152 mm x 18.00 kg/m (6 in. x 12 lb./ft.) DE ACERO AL CARBÓN ASTM A-36, INCLUYE: ACARREO, CARGA, DESCARGA, MANIOBRAS.</t>
  </si>
  <si>
    <t>C2EXT-0163</t>
  </si>
  <si>
    <t>SUMINISTRO, HABILITADO E INSTALACIÓN EN PATIO DE PREFABRICADOS DE TUBO CIRCULAR (OC) 406 mm x 12.7 mm (16 in. x 0.500 in.) ROLADO CON SUPLEMENTOS S-1, S3, S-4 Y S-5. API 2H GR. 50.  INCLUYE: ACARREO, CARGA, DESCARGA, MANIOBRAS.</t>
  </si>
  <si>
    <t>C2EXT-0164</t>
  </si>
  <si>
    <t>SUMINISTRO, HABILITADO E INSTALACIÓN EN PATIO DE PREFABRICADOS DE PLACA LISA METÁLICA ESTRUCTURAL DE 3/4" DE ESPESOR DE ACERO AL CARBÓN CON SUPLEMENTOS S-1, S3, S-4 Y S-5. API 2H GR. 50. INCLUYE: ACARREO, CARGA, DESCARGA, MANIOBRAS.</t>
  </si>
  <si>
    <t>C2EXT-0165</t>
  </si>
  <si>
    <t>SUMINISTRO, HABILITADO E INSTALACIÓN EN PATIO DE PREFABRICADOS DE PLACA LISA ROLADA METÁLICA ESTRUCTURAL DE 3/4" DE ESPESOR DE ACERO AL CARBÓN CON SUPLEMENTOS S-1, S3, S-4 Y S-5. API 2H GR. 50. INCLUYE: ACARREO, CARGA, DESCARGA, MANIOBRAS.</t>
  </si>
  <si>
    <t>C2EXT-0166</t>
  </si>
  <si>
    <t>SUMINISTRO, HABILITADO E INSTALACIÓN EN PATIO DE PREFABRICADOS DE PLACA LISA ROLADA METÁLICA ESTRUCTURAL DE 1" DE ESPESOR DE ACERO AL CARBÓN CON SUPLEMENTOS S-1, S3, S-4 Y S-5. API 2H GR. 50. INCLUYE: ACARREO, CARGA, DESCARGA, MANIOBRAS.</t>
  </si>
  <si>
    <t>C2EXT-0168</t>
  </si>
  <si>
    <t>SUMINISTRO, HABILITADO E INSTALACIÓN EN PATIO DE PREFABRICADOS DE PLACA LISA METÁLICA ESTRUCTURAL DE 1/2" DE ESPESOR DE ACERO AL CARBÓN CON SUPLEMENTOS S-1, S3, S-4 Y S-5. API 2H GR. 50. INCLUYE: ACARREO, CARGA, DESCARGA, MANIOBRAS.</t>
  </si>
  <si>
    <t>C2EXT-0169</t>
  </si>
  <si>
    <t>SUMINISTRO, HABILITADO E INSTALACIÓN EN PATIO DE PREFABRICADOS DE TUBO CIRCULAR (OC) 114.3 mm x 8.56 mm, 22.32 kg/m, DE ACERO AL CARBÓN API-5L-GR. B, ESPECIFICACIÓN PSL1, INCLUYE: ACARREO, CARGA, DESCARGA, MANIOBRAS.</t>
  </si>
  <si>
    <t>C2EXT-0170</t>
  </si>
  <si>
    <t>SUMINISTRO E INSTALACIÓN DE ÁNODO DE SACRIFICIO EN ALUMINIO TIPO GALVALUM III CON PESO NETO DE 725 LBS, TIPO “B” CON DIMENSIONES DE 249 MM DE ANCHO X 239 MM DE ALTO X 2,438 MM DE LARGO, CON NÚCLEO DE 2,134 MM DE TUBO ACERO DE 4" DE DIAMETRO CEDULA 80, DOBLADO A 90°, INCLUYE: ACARREO, CARGA, DESCARGA, MANIOBRAS.</t>
  </si>
  <si>
    <t>C2EXT-0171</t>
  </si>
  <si>
    <t>PRUEBA HIDROSTATICA A VÁLVULA DE 1/2"- 2 1/2" DE DIAMETRO EN PATIO DE CONSTRUCCIÓN DE LA CONTRATISTA, INCLUYE: MANO DE OBRA Y EQUIPO A VÁLVULAS.</t>
  </si>
  <si>
    <t>C2EXT-0172</t>
  </si>
  <si>
    <t>PRUEBA HIDROSTATICA A VÁLVULA DE 3"- 6" DE DIAMETRO EN PATIO DE CONSTRUCCIÓN DE LA CONTRATISTA, INCLUYE: MANO DE OBRA Y EQUIPO A VÁLVULAS.</t>
  </si>
  <si>
    <t>C2EXT-0173</t>
  </si>
  <si>
    <t>SUMINISTRO E INSTALACIÓN DE MALLA CICLONICA GALVANIZADA CON RECUBRIMIENTOS DE PVC ABERTURAS DE 55 x 55 CALIBRE 10.5.  INCLUYE: ACARREO, CARGA, DESCARGA, MANIOBRAS.</t>
  </si>
  <si>
    <t>C2EXT-0174</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</si>
  <si>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</si>
  <si>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JORNADA</t>
  </si>
  <si>
    <t>C2EXT-0175</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</si>
  <si>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</si>
  <si>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C2EXT-0176</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</si>
  <si>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</si>
  <si>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C2EXT-0177</t>
  </si>
  <si>
    <t>BRIDA CAJA SOLDABLE ASME B16.5, DE ACERO AL CARBONO ASTM A-105, CARA JUNTA TIPO ANILLO (R.T.J.),  LOS MATERIALES DEBEN CUMPLIR CON EL ESTANDAR PEMEX-EST-TD-032-P2-2019  Ó VERSION ACTUAL, DE 2" DE DIÁMETRO NPS(50 DN), CLASE 1500, CÉDULA XXS. INCLUYE SUMINISTRO, INSPECCIÓN, EMBALAJE, CARGA, ASEGURAMIENTO, TRANSPORTE DEL ALMACÉN DE LA CONTRATISTA, UBICADO EN EL KM. 13.8 AL PATIO DE PREFABRICADOS EN EL RECINTO PORTUARIO DE CIUDAD DEL CARMEN DE ACUERDO CON EL ANEXO DE ESPECIFICACIONES PARTICULARES.</t>
  </si>
  <si>
    <t>C2EXT-0178</t>
  </si>
  <si>
    <t>SERVICIOS DE ASISTENCIA TÉCNICA EN TIERRA POR PERSONAL ESPECIALIZADO DEL FABRICANTE DEL TABLERO DE SEGURIDAD DE CONTROL DE POZOS  (TSCP) DURANTE LAS PRUEBAS EN SAT Y PRUEBAS DE PREOPERACIONALES.</t>
  </si>
  <si>
    <t>C2EXT-0179</t>
  </si>
  <si>
    <t>SUMINISTRO, HABILITADO E INSTALACIÓN EN PATIO DE PREFABRICADOS DE VIGA METÁLICA PERFIL I RECTANGULAR (IR) 203 MM x 59.30 KG/M ( 8 IN. x 40 LB./FT.), DE ACERO AL CARBÓN ASTM A-36, INCLUYE: ACARREO, CARGA, DESCARGA, MANIOBRAS.</t>
  </si>
  <si>
    <t>C2EXT-0180</t>
  </si>
  <si>
    <t>SUMINISTRO, HABILITADO E INSTALACIÓN EN PATIO DE PREFABRICADOS DE TUBO DE ACERO AL CARBON DE 30"Ø DIÁMETRO NOMINAL, DE 1.250" ESPESOR DE 571.75 KG/M, API 5L PLS2 X52/X65M DSAW PEB,  INCLUYE: ACARREO, CARGA, DESCARGA, MANIOBRAS.</t>
  </si>
  <si>
    <t>C2EXT-0181</t>
  </si>
  <si>
    <t>SUMINISTRO E INSTALACIÓN EN PATIO DE PREFABRICADOS DE  REDUCCIÓN CONCENTRICA ASME B16.9, DE ACERO AL CARBONO MSS SP-75 GR. WPHY-52, SIN COSTURA, EXTREMOS BISELADOS, LOS MATERIALES DEBEN CUMPLIR CON EL ESTÁNDAR PEMEX-EST-TD032-P2-2019 Ó VERSIÓN ACTUAL, DE 2 1/2”Ø  X 2” DE DIAMETRO , CED. XXS, INCLUYE: ACARREO, CARGA, DESCARGA, MANIOBRAS</t>
  </si>
  <si>
    <t>C2EXT-0182</t>
  </si>
  <si>
    <t>SUMINISTRO E INSTALACIÓN EN PATIO DE PREFABRICADOS DE BRIDA CUELLO SOLDABLE ASME B16.5, DE ACERO AL CARBONO MSS SP-44 GR. F52, CARA JUNTA TIPO ANILLO (R.T.J.), LOS MATERIALES DEBEN CUMPLIR CON EL ESTÁNDAR PEMEX-EST-TD032-P2-2019 Ó VERSION ACTUAL, DE 4" DE DIAMETRO NPS (100 DN), CLASE 1500, BORE = 3.826". INCLUYE: ACARREO, CARGA, DESCARGA, MANIOBRAS.</t>
  </si>
  <si>
    <t>C2EXT-0183</t>
  </si>
  <si>
    <t>SERVICIO EN PATIO DE PREFABRICADOS DE INSPECCIÓN DE SOLDADURA MEDIANTE PRUEBAS NO DESTRUCTIVAS PARA JUNTAS DE PROCESO MEDIANTE LA TECNICA DE ULTRASONIDO DE ARREGLO DE FASES</t>
  </si>
  <si>
    <t>C2EXT-0184</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</si>
  <si>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80 x CED. 80.</t>
  </si>
  <si>
    <t>C2EXT-0185</t>
  </si>
  <si>
    <t>EN ELABORACION</t>
  </si>
  <si>
    <t>AYATSIL-A</t>
  </si>
  <si>
    <t>SUMINISTRO E INSTALACIÓN EN PATIO DE PREFABRICADOS DE CODO 90° DE ACERO INOXIDABLE  A182 GR. F316L  ASME B16.11, CAJA PARA SOLDAR, DE 3/4" DE DIAMETRO, CLASE 3000.</t>
  </si>
  <si>
    <t>BME-3801-027-2024</t>
  </si>
  <si>
    <t>OT-GRZ-801-24-016.6-J-NHA</t>
  </si>
  <si>
    <t>C2EXT-0186</t>
  </si>
  <si>
    <t>016.6-J-NHA</t>
  </si>
  <si>
    <t>SUMINISTRO E INSTALACIÓN EN PATIO DE PREFABRICADOS DE CODO 90° ASME B16.11, DE ACERO AL CARBONO FORJADO ASTM A105, GALVANIZADO ASTM A123, EXTREMOS ROSCADOS, LOS MATERIALES DEBEN CUMPLIR CON EL ESTÁNDAR PEMEX-EST-TD-032-P2-2019, DE 2” DE DIAMETRO NPS (50 DN), CLASE 3000</t>
  </si>
  <si>
    <t>C2EXT-0187</t>
  </si>
  <si>
    <t>SUMINISTRO E INSTALACIÓN EN PATIO DE PREFABRICADOS DE COPLE RECTO, EXTREMOS CAJA PARA SOLDAR, MATERIAL ACERO INOXIDABLE ASTM A-182 Gr. F316L, LOS MATERIALES DEBEN CUMPLIR CON EL ESTÁNDAR PEMEX-EST-TD-032-P2-2019, DE 3/4” DE DIAMETRO NPS (20 DN), CLASE 3000, DE ACUERDO AL ASME B16.11</t>
  </si>
  <si>
    <t>C2EXT-0188</t>
  </si>
  <si>
    <t>SUMINISTRO E INSTALACIÓN EN PATIO DE PREFABRICADOS DE COPLE RECTO ASME B16.11, DE ACERO AL CARBONO FORJADO ASTM A105, GALVANIZADO ASTM A123, EXTREMOS ROSCADOS, LOS MATERIALES DEBEN CUMPLIR CON EL ESTÁNDAR PEMEX-EST-TD-032-P2-2019, DE 2” DE DIAMETRO NPS (50 DN), CLASE 3000.</t>
  </si>
  <si>
    <t>C2EXT-0189</t>
  </si>
  <si>
    <t>SUMINISTRO E INSTALACIÓN EN PATIO DE PREFABRICADOS DE COPLE REDUCTOR ASME B16.11, DE ACERO AL CARBONO FORJADO ASTM A105, GALVANIZADO ASTM A123, EXTREMOS ROSCADOS, LOS MATERIALES DEBEN CUMPLIR CON EL ESTÁNDAR PEMEX-EST-TD-032-P2-2019, DE 1 1/2” DE DIAMETRO NPS x 1” DE DIAMETRO NPS (40 DN X 25 DN), CLASE 3000.</t>
  </si>
  <si>
    <t>C2EXT-0190</t>
  </si>
  <si>
    <t>SUMINISTRO E INSTALACIÓN EN PATIO DE PREFABRICADOS DE BRIDA CAJA PARA SOLDAR DE ACERO INOXIDABLE, ASTM A182 Gr. F316L, CARA REALZADA (R.F.),ASME  B16.5 DIAMETRO INTERIOR IGUAL AL TUBO DE 3/4” DE DIAMETRO ), CLASE 300# BORE 0.742".</t>
  </si>
  <si>
    <t>C2EXT-0191</t>
  </si>
  <si>
    <t>SUMINISTRO E INSTALACIÓN EN PATIO DE PREFABRICADOS DE BRIDA CIEGA ASME B16.5, DE ACERO AL CARBONO FORJADO ASTM A105, CARA REALZADA, LOS MATERIALES DEBEN CUMPLIR CON EL ESTÁNDAR PEMEX-EST-TD-032-P2-2019, DE 6" DE DIAMETRO NPS, (150 DN) CLASE 150.</t>
  </si>
  <si>
    <t>C2EXT-0192</t>
  </si>
  <si>
    <t>SUMINISTRO E INSTALACIÓN EN PATIO DE PREFABRICADOS DE TUERCA UNION ASME B16.11, DE ACERO AL CARBONO FORJADO ASTM A105, GALVANIZADO ASTM A123, EXTREMOS ROSCADOS, LOS MATERIALES DEBEN CUMPLIR CON EL ESTÁNDAR PEMEX-EST-TD-032-P2-2019, DE 1 1/2” DE DIAMETRO NPS (40 DN), CLASE 3000.</t>
  </si>
  <si>
    <t>C2EXT-0193</t>
  </si>
  <si>
    <t>SUMINISTRO E INSTALACIÓN EN PATIO DE PREFABRICADOS DE TUERCA UNION ASME B16.11, DE ACERO AL CARBONO FORJADO ASTM A105, GALVANIZADO ASTM A123, EXTREMOS ROSCADOS, LOS MATERIALES DEBEN CUMPLIR CON EL ESTÁNDAR PEMEX-EST-TD-032-P2-2019, DE 2” DE DIAMETRO NPS (50 DN), CLASE 3000.</t>
  </si>
  <si>
    <t>C2EXT-0194</t>
  </si>
  <si>
    <t>SUMINISTRO, HABILITADO E INSTALACIÓN EN PATIO DE PREFABRICADOS DE VIGA IS-305 mm x 19 mm / 953 mm x 13 mm (188.211 KG/M) DE ACERO AL CARBÓN ASTM A-36. INCLUYE: ACARREO, CARGA, DESCARGA, MANIOBRAS.</t>
  </si>
  <si>
    <t>C2EXT-0195</t>
  </si>
  <si>
    <t>SUMINISTRO, HABILITADO E INSTALACIÓN EN PATIO DE PREFABRICADOS DE VIGA IS-306 mm x 29 mm / 833 mm x 16 mm (243.915 KG/M) DE ACERO AL CARBÓN ASTM A-36. INCLUYE: ACARREO, CARGA, DESCARGA, MANIOBRAS.</t>
  </si>
  <si>
    <t>C2EXT-0196</t>
  </si>
  <si>
    <t>SUMINISTRO, HABILITADO E INSTALACIÓN EN PATIO DE PREFABRICADOS DE VIGA IR-254 mm x 44.8 KG/M DE ACERO AL CARBON ASTM A-572 Gr. 50. INCLUYE: ACARREO, CARGA, DESCARGA, MANIOBRAS.</t>
  </si>
  <si>
    <t>C2EXT-0197</t>
  </si>
  <si>
    <t>SUMINISTRO, HABILITADO E INSTALACIÓN EN PATIO DE PREFABRICADOS DE VIGA IR-356 mm x 32.9 KG/M DE ACERO AL CARBON ASTM A-572 Gr. 50. INCLUYE: ACARREO, CARGA, DESCARGA, MANIOBRAS.</t>
  </si>
  <si>
    <t>C2EXT-0198</t>
  </si>
  <si>
    <t>SUMINISTRO, HABILITADO E INSTALACIÓN EN PATIO DE PREFABRICADOS DE VIGA IR-457 mm x 128.1 KG/M DE ACERO AL CARBON ASTM A-572 Gr. 50. INCLUYE: ACARREO, CARGA, DESCARGA, MANIOBRAS.</t>
  </si>
  <si>
    <t>C2EXT-0199</t>
  </si>
  <si>
    <t>SUMINISTRO, HABILITADO E INSTALACIÓN EN PATIO DE PREFABRICADOS DE VIGA IR-553 mm x 218.9 KG/M DE ACERO AL CARBON ASTM A-572 Gr. 50. INCLUYE: ACARREO, CARGA, DESCARGA, MANIOBRAS.</t>
  </si>
  <si>
    <t>C2EXT-0200</t>
  </si>
  <si>
    <t>SUMINISTRO, HABILITADO E INSTALACIÓN EN PATIO DE PREFABRICADOS DE ANGULO LI-152 mm x 13 mm (29.17 KG/M) DE ACERO AL CARBÓN ASTM A-36. INCLUYE: ACARREO, CARGA, DESCARGA, MANIOBRAS.</t>
  </si>
  <si>
    <t>C2EXT-0201</t>
  </si>
  <si>
    <t>SUMINISTRO, HABILITADO E INSTALACIÓN EN PATIO DE PREFABRICADOS DE ANGULO LD-152 mm x 102 mm x 8 mm (15.3 KG/M) DE ACERO AL CARBÓN ASTM A-36. INCLUYE: ACARREO, CARGA, DESCARGA, MANIOBRAS.</t>
  </si>
  <si>
    <t>C2EXT-0202</t>
  </si>
  <si>
    <t>SUMINISTRO, HABILITADO E INSTALACIÓN EN PATIO DE PREFABRICADOS DE REDONDO SOLIDO OS-6 mm (1/4”) (0.249 KG/M) DE ACERO AL CARBÓN ASTM A-36</t>
  </si>
  <si>
    <t>C2EXT-0203</t>
  </si>
  <si>
    <t>SUMINISTRO, HABILITADO E INSTALACIÓN EN PATIO DE PREFABRICADOS DE REDONDO  DE 102 mm x 210 mm DE LONG. AISI/SAE C1020 (63.58 KG/M). INCLUYE: ACARREO, CARGA, DESCARGA, MANIOBRAS.</t>
  </si>
  <si>
    <t>C2EXT-0204</t>
  </si>
  <si>
    <t>SUMINISTRO, HABILITADO E INSTALACIÓN EN PATIO DE PREFABRICADOS DE TUBO OC-254 mm x 12.7 mm (75.58 KG/M) DE ACERO AL CARBON API 5L Gr. B. INCLUYE: ACARREO, CARGA, DESCARGA, MANIOBRAS.</t>
  </si>
  <si>
    <t>C2EXT-0205</t>
  </si>
  <si>
    <t>SUMINISTRO, HABILITADO E INSTALACIÓN EN PATIO DE PREFABRICADOS DE TUBO OC-272 mm x 12.7 mm (81.55 KG/M) DE ACERO AL CARBON API 5L Gr. B. INCLUYE: ACARREO, CARGA, DESCARGA, MANIOBRAS.</t>
  </si>
  <si>
    <t>C2EXT-0206</t>
  </si>
  <si>
    <t>SUMINISTRO, HABILITADO E INSTALACIÓN EN PATIO DE PREFABRICADOS DE PLACA ROLADA DE 15.875 (5/8”)  DE ESPESOR (124.62 KG/M2) DE ACERO AL CARBÓN ASTM A-36. INCLUYE: ACARREO, CARGA, DESCARGA, MANIOBRAS.</t>
  </si>
  <si>
    <t>C2EXT-0207</t>
  </si>
  <si>
    <t>SUMINISTRO, HABILITADO E INSTALACIÓN EN PATIO DE PREFABRICADOS DE PLACA ANTIDERRAPANTE DE 4.8 mm DE ESPESOR (37.35 KG/M2) DE ACERO AL CARBÓN ASTM A-36. INCLUYE: ACARREO, CARGA, DESCARGA, MANIOBRAS.</t>
  </si>
  <si>
    <t>C2EXT-0208</t>
  </si>
  <si>
    <t>CORTE Y BISELADO EN TUBERÍAS DE ACERO AL CARBONO CON BISELADOR MECÁNICO Y CORTADOR OXIACETILENO Y/O CORTADOR MECANICO.  PARA TUBERIA DE 3/4</t>
  </si>
  <si>
    <t>C2EXT-0209</t>
  </si>
  <si>
    <t>CORTE Y BISELADO EN TUBERÍAS DE ACERO AL CARBONO CON BISELADOR MECÁNICO Y CORTADOR OXIACETILENO Y/O CORTADOR MECANICO.  PARA TUBERIA DE 8" CED. 80</t>
  </si>
  <si>
    <t>C2EXT-0210</t>
  </si>
  <si>
    <t>SUMINISTRO, HABILITADO E INSTALACIÓN EN PATIO DE PREFABRICADOS DE VIGA IR-914 mm x 447.20 KG/M DE ACERO AL CARBON ASTM A-36. INCLUYE: ACARREO, CARGA, DESCARGA, MANIOBRAS.</t>
  </si>
  <si>
    <t>C2EXT-0211</t>
  </si>
  <si>
    <t>SUMINISTRO E INSTALACIÓN EN PATIO DE PREFABRICADOS DE TUBO ASME B36.19M, DE ACERO INOXIDABLE A 312 GR. TP316L, CON COSTURA, EXTREMOS PLANOS, DE 3/4” DE DIAMETRO, CÉD. 80S. INCLUYE: ACARREO, CARGA, DESCARGA, MANIOBRAS.</t>
  </si>
  <si>
    <t>C2EXT-0212</t>
  </si>
  <si>
    <t>SUMINISTRO E INSTALACIÓN EN PATIO DE PREFABRICADOS DE BRIDA CUELLO SOLDABLE ASME B16.5, DE ACERO AL CARBONO FORJADO ASTM A105, , CARA REALZADA, LOS MATERIALES DEBEN CUMPLIR CON EL ESTÁNDAR PEMEX-EST-TD-032-P2-2019, DE 8"Ø NPS, (200 DN) CLASE 150, BORE= 7.625". INCLUYE: ACARREO, CARGA, DESCARGA, MANIOBRAS.</t>
  </si>
  <si>
    <t>C2EXT-0213</t>
  </si>
  <si>
    <t>SUMINISTRO, MANEJO Y APLICACIÓN DE GALVANIZADO POR INMERSIÓN EN CALIENTE EN PATIO DE PREFABRICADOS, EL MÍNIMO ESPESOR DE GALVANIZADO ES DE 0.127 MM (0.005 IN), CON EL PROCESO DE GALVANIZADO POR INMERSIÓN DE ACUERDO AL ESTÁNDAR ASTM A 90 PARA TUBERIAS DE DIF. DIAMETROS.</t>
  </si>
  <si>
    <t>C2EXT-0214</t>
  </si>
  <si>
    <t>SUMINISTRO, HABILITADO E INSTALACIÓN EN PATIO DE PREFABRICADOS DE BARRA DE IZAJE (BALANCÍN).  A BASE DE TUBERIA Y PLACA ESTRUCTURAL, INCLUYE: DISEÑO, APLICACIÓN DE PROTECCIÓN ANTICORROSIVA, PRUEBA DE CARGA Y CERTIFICACIÓN.</t>
  </si>
  <si>
    <t>C2EXT-0215</t>
  </si>
  <si>
    <t>SUMINISTRO, HABILITADO E INSTALACIÓN EN PATIO DE PREFABRICADOS DE PERFIL IR-914mm X 447.2 kg/m (36" x 300 lb/ft), ACERO AL CARBON ASTM A-36. INCLUYE: ACARREO, CARGA, DESCARGA, MANIOBRAS.</t>
  </si>
  <si>
    <t>BME-3801-022-2024</t>
  </si>
  <si>
    <t>OT-GRZ-801-24-016.5-J-NHA</t>
  </si>
  <si>
    <t>C2EXT-0216</t>
  </si>
  <si>
    <t>016.5-J-NHA</t>
  </si>
  <si>
    <t>SUMINISTRO, HABILITADO E INSTALACIÓN EN PATIO DE PREFABRICADOS DE PERFIL CE-305mm X 44.64 kg/m (12" x 30 lb/ft) DE ACERO AL CARBON ASTM A572 GR 50. INCLUYE: ACARREO, CARGA, DESCARGA, MANIOBRAS.</t>
  </si>
  <si>
    <t>C2EXT-0217</t>
  </si>
  <si>
    <t>SUMINISTRO, HABILITADO E INSTALACIÓN EN PATIO DE PREFABRICADOS DE PLACA LISA 6.35 mm (1/4") DE ESPESOR DE ACERO AL CARBON ASTM A-572 GR. 50. INCLUYE: ACARREO, CARGA, DESCARGA, MANIOBRAS.</t>
  </si>
  <si>
    <t>C2EXT-0218</t>
  </si>
  <si>
    <t>SUMINISTRO, HABILITADO E INSTALACIÓN EN PATIO DE PREFABRICADOS DE SOLERA METÁLICA DE 254 mm x 9.5 mm (10" x 3/8") DE ACERO AL CARBÓN ASTM A-36. INCLUYE: ACARREO, CARGA, DESCARGA, MANIOBRAS.</t>
  </si>
  <si>
    <t>C2EXT-0219</t>
  </si>
  <si>
    <t>SUMINISTRO E INSTALACIÓN EN PATIO DE PREFABRICADOS DE LATERAL “Y” A 45° REDUCTORA DE ACERO AL CARBONO, ASTM A234 GR. WPB S/C, ASME B16.9, CEDULA ESTANDAR, EXTREMOS BISELADOS, DIÁMETRO 16” x 10". INCLUYE: ACARREO, CARGA, DESCARGA, MANIOBRAS.</t>
  </si>
  <si>
    <t>C2EXT-0220</t>
  </si>
  <si>
    <t>SUMINISTRO E INSTALACIÓN EN PATIO DE PREFABRICADOS DE LATERAL “Y” A 45° REDUCTORA DE ACERO AL CARBONO, ASTM A234 GR. WPB S/C, ASME B16.9, CEDULA ESTANDAR, EXTREMOS BISELADOS, DIÁMETRO 16” x 6". INCLUYE: ACARREO, CARGA, DESCARGA, MANIOBRAS</t>
  </si>
  <si>
    <t>C2EXT-0221</t>
  </si>
  <si>
    <t>SUMINISTRO E INSTALACIÓN EN PATIO DE PREFABRICADOS DE LATERAL “Y” A 45° DE ACERO AL CARBONO, ASTM A234 GR. WPB S/C, ASME B16.9, CEDULA 40, EXTREMOS BISELADOS, DIÁMETRO 4". INCLUYE: ACARREO, CARGA, DESCARGA, MANIOBRAS</t>
  </si>
  <si>
    <t>C2EXT-0222</t>
  </si>
  <si>
    <t>SERVICIO DE AGENCIAMIENTO MARITIMO DURANTE LA ENTRADA SIN CARGA DEL ABASTECEDOR BAHIA CAMPECHE AL MUELLE #17 DEL PUERTO INDUSTRIAL PESQUERO, LAGUNA AZUL DE CIUDAD DEL CARMEN, CAMPECHE, PARA LA CARGA DE BALANCIN CON UN PESO APROXIMADO DE 21.50 TON , INCLUYE: DERECHOS DE PUERTO, CAPITANIA, PILOTOS DE APOYO, LANCHAJE, GASTOS ADMINISTRATIVOS, (NO INCLUYE TIEMPO DE OPERACION O EN ESPERA DEL ABASTECEDOR)</t>
  </si>
  <si>
    <t>C2EXT-0223</t>
  </si>
  <si>
    <t>SERVICIO DE AGENCIAMIENTO MARITIMO DURANTE LA ENTRADA SIN CARGA DEL ABASTECEDOR BAHIA CAMPECHE AL MUELLE #17 DEL PUERTO INDUSTRIAL PESQUERO, LAGUNA AZUL DE CIUDAD DEL CARMEN, CAMPECHE, PARA LA CARGA DE PATIN ESTRUCTURAL CON UN PESO APROXIMADO DE 18.34 TON., INCLUYE: DERECHOS DE PUERTO, CAPITANIA, PILOTOS DE APOYO, LANCHAJE, GASTOS ADMINISTRATIVOS, (NO INCLUYE TIEMPO DE OPERACION O EN ESPERA DEL ABASTECEDOR)</t>
  </si>
  <si>
    <t>C2EXT-0224</t>
  </si>
  <si>
    <t>SERVICIO DE AGENCIAMIENTO MARITIMO DURANTE LA SALIDA CON CARGA DEL ABASTECEDOR BAHIA CAMPECHE DEL  MUELLE #17 DEL PUERTO INDUSTRIAL PESQUERO, LAGUNA AZUL DE CIUDAD DEL CARMEN, CAMPECHE, CON DESTINO HACIA LA PLATAFORMA NOHOCH-A PERFORACION, TRANSPORTANDO EL BALANCIN CON UN PESO APROXIMADO DE 21.50 TON, INCLUYE: DERECHOS DE PUERTO, CAPITANIA, PILOTOS DE APOYO, LANCHAJE, GASTOS ADMINISTRATIVOS, (NO INCLUYE TIEMPO DE OPERACION O EN ESPERA DEL ABASTECEDOR)</t>
  </si>
  <si>
    <t>C2EXT-0225</t>
  </si>
  <si>
    <t>SERVICIO DE AGENCIAMIENTO MARITIMO DURANTE LA SALIDA CON CARGA DEL ABASTECEDOR BAHIA CAMPECHE DEL  MUELLE #17 DEL PUERTO INDUSTRIAL PESQUERO, LAGUNA AZUL DE CIUDAD DEL CARMEN, CAMPECHE, CON DESTINO HACIA LA PLATAFORMA NOHOCH-A PERFORACION, TRANSPORTANDO EL PATIN ESTRUCTURAL CON UN PESO APROXIMADO DE 18.34 TON., INCLUYE: DERECHOS DE PUERTO, CAPITANIA, PILOTOS DE APOYO, LANCHAJE, GASTOS ADMINISTRATIVOS, (NO INCLUYE TIEMPO DE OPERACION O EN ESPERA DEL ABASTECEDOR)</t>
  </si>
  <si>
    <t>C2EXT-0226</t>
  </si>
  <si>
    <t>SERVICIO DE TRANSPORTACION TERRESTRE CON TRACTO CAMION CON PLATAFORMA CAMA EXTENDIBLE PARA EXCESO DE DIMENSIÓN, DE BALANCIN DE 21.40 M DE LARGO X 3.98 M DE ANCHO X 0.50 M DE ALTURA CON UN PESO APROXIMADO DE 21.50 TON., DEL PATIO DE PREFABRICADO HACIA EL MUELLE DE PEMEX DENTRO DEL PUERTO INDUSTRIAL PESQUERO "LAGUNA AZUL",  INCLUYE PERMISOS ANTE LA AGENCIA CONSIGNATARIA PARA TRANSITO DE VIALIDAD POR EXCESO DE DIMENSIONES, TRACTO CAMION CON PLATAFORMA CAMA EXTENDIBLE Y OPERADOR.</t>
  </si>
  <si>
    <t>BME-3801-026-2024</t>
  </si>
  <si>
    <t>OT-GRZ-801-24-016.4-J-NHA.</t>
  </si>
  <si>
    <t>C2EXT-0227</t>
  </si>
  <si>
    <t>016.4-J-NHA</t>
  </si>
  <si>
    <t>REPARACION DE SUPERFICIES CON APLICACION DE PROTECCION ANTICORROSIVA MEDIANTE SISTEMA ISO 12944 CX + IM4,   EN JUNTAS, CONEXIONES, UNIONES Y/O AREAS INTERVENIDAS CON TRABAJOS CALIENTES . INCLUYE: SUMINISTRO Y APLICACIÓN DE RECUBRIMIENTO EPOXICO DE DOS COMPONENTES, DE ALTO ESPESOR, CURADO POR ADUCTO DE POLIAMINA SIGMASHIELD 880/ AMERLOCK 880,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</si>
  <si>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C2EXT-0228</t>
  </si>
  <si>
    <t>APLICACIÓN DE ACABADO EN JUNTAS, CONEXIONES, UNIONES Y/O AREAS INTERVENIDAS CON TRABAJOS CALIENTES Y REPARADAS MEDIANTE SISTEMA ISO 12944 CX + IM4 PARA UNIFORMIZAR EL RECUBRIMIENTO EN SU ETAPA DE ACABADO. INCLUYE SUMINISTRO Y APLICACIÓN DE RECUBRIMIENTO POLISILOXANO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</si>
  <si>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C2EXT-0229</t>
  </si>
  <si>
    <t>SUMINISTRO E INSTALACIÓN EN PATIO DE PREFABRICADOS DE TUBO DE ACERO AL CARBONO ASTM A106 GR. B S/C, ASME B36.10M, EXTREMOS BISELADOS, DEBE CUMPLIR CON LOS REQUISITOS TÉCNICOS Y DOCUMENTALES DE PEMEX-EST- TD-032-P1-2018. ESPESOR 0.375",  DIAMETRO 20”. INCLUYE: ACARREO, CARGA, DESCARGA, MANIOBRAS.</t>
  </si>
  <si>
    <t>C2EXT-0230</t>
  </si>
  <si>
    <t>SUMINISTRO E INSTALACIÓN EN PATIO DE PREFABRICADOS DE TUBO DE ACERO AL CARBONO ASTM A106 GR. B S/C, ASME B36.10M, CEDULA ESTANDAR, EXTREMOS BISELADOS, DEBE CUMPLIR CON LOS REQUISITOS TÉCNICOS Y DOCUMENTALES DE PEMEX-EST-TD-032-P1-2018. DIAMETRO 16”. INCLUYE: ACARREO, CARGA, DESCARGA, MANIOBRAS.</t>
  </si>
  <si>
    <t>C2EXT-0231</t>
  </si>
  <si>
    <t>SUMINISTRO E INSTALACIÓN EN PATIO DE PREFABRICADOS DE TUBERÍA DE ACERO INOXIDABLE SIN COSTURA, ASTM A312 Gr. TP316L, ASME B36.19M, EXTREMOS PLANOS, CÉDULA 80S, DIÁMETRO 1". INCLUYE: ACARREO, CARGA, DESCARGA, MANIOBRAS.</t>
  </si>
  <si>
    <t>C2EXT-0232</t>
  </si>
  <si>
    <t>SUMINISTRO E INSTALACIÓN EN PATIO DE PREFABRICADOS DE TUBERÍA DE ACERO INOXIDABLE CON COSTURA, ASTM A312 Gr. TP316L, ASME B36.19M, EXTREMOS PLANOS, CÉDULA 80S, DIÁMETRO 3/4", INCLUYE: ACARREO, CARGA, DESCARGA, MANIOBRAS.</t>
  </si>
  <si>
    <t>C2EXT-0233</t>
  </si>
  <si>
    <t>SUMINISTRO E INSTALACIÓN EN PATIO DE PREFABRICADOS DE BRIDA CUELLO SOLDABLE DE ACERO AL CARBÓN ASTM A-105, DE 30" DE DIAMETRO, CLASE 150, CEDULA 20. INCLUYE: ACARREO, CARGA, DESCARGA, MANIOBRAS.</t>
  </si>
  <si>
    <t>C2EXT-0234</t>
  </si>
  <si>
    <t>PTE-027-24</t>
  </si>
  <si>
    <t>SUMINISTRO E INSTALACIÓN EN PATIO DE PREFABRICADOS DE BRIDA CUELLO SOLDABLE DE  ACERO AL CARBÓN ASTM A-105, 20" DE DIAMETRO, CED STD, CLASE 150.  INCLUYE: ACARREO, CARGA, DESCARGA, MANIOBRAS.</t>
  </si>
  <si>
    <t>C2EXT-0235</t>
  </si>
  <si>
    <t>SUMINISTRO E INSTALACIÓN EN PATIO DE PREFABRICADOS DE BRIDA CUELLO SOLDABLE DE ACERO AL CARBONO FORJADO, ASTM A105, ASME B16.5, CLASE 150# R.F., 15.250", EXTREMO BISELADO, DIAMETRO 16”. INCLUYE: ACARREO, CARGA, DESCARGA, MANIOBRAS.</t>
  </si>
  <si>
    <t>C2EXT-0236</t>
  </si>
  <si>
    <t>SUMINISTRO E INSTALACIÓN EN PATIO DE PREFABRICADOS DE BRIDA CAJA PARA SOLDAR DE ACERO INOXIDABLE, ASTM A182 Gr. F316L, ASME B16.5, CLASE 150# R.F., P/CED,80, DIAMETRO 1”. INCLUYE: ACARREO, CARGA, DESCARGA, MANIOBRAS.</t>
  </si>
  <si>
    <t>C2EXT-0237</t>
  </si>
  <si>
    <t>SUMINISTRO E INSTALACIÓN EN PATIO DE PREFABRICADOS DE CODO DE 45° DE ACERO AL CARBONO, ASTM A234 GR. WPB, S/C, ASME B16.9, ESPESOR 0.500", EXTREMOS BISELADOS. DIÁMETRO 30". INCLUYE: ACARREO, CARGA, DESCARGA, MANIOBRAS.</t>
  </si>
  <si>
    <t>C2EXT-0238</t>
  </si>
  <si>
    <t>SUMINISTRO E INSTALACIÓN EN PATIO DE PREFABRICADOS DE CODO 90° RADIO LARGO ACERO AL CARBON ASTM A234 Gr. WPB, SIN COST. CEDULA STD DE 20" DE DIAMETRO. INCLUYE: ACARREO, CARGA, DESCARGA, MANIOBRAS.</t>
  </si>
  <si>
    <t>C2EXT-0239</t>
  </si>
  <si>
    <t>SUMINISTRO E INSTALACIÓN EN PATIO DE PREFABRICADOS DE CODO 90° CAJA PARA SOLDAR, ACERO INOXIDABLE, ASTM A-182 Gr. F316L, ASME B16.11, CLASE 3000#, DIÁMETRO 1". INCLUYE: ACARREO, CARGA, DESCARGA, MANIOBRAS.</t>
  </si>
  <si>
    <t>C2EXT-0240</t>
  </si>
  <si>
    <t>SUMINISTRO E INSTALACIÓN EN PATIO DE PREFABRICADOS DE COPLE REDUCCION CAJA PARA SOLDAR, ACERO INOXIDABLE, ASTM A- 182 Gr. F316L, ASME B16.11, CLASE 3000#, DIÁMETRO 1" X 3/4". INCLUYE: ACARREO, CARGA, DESCARGA, MANIOBRAS.</t>
  </si>
  <si>
    <t>C2EXT-0241</t>
  </si>
  <si>
    <t>SUMINISTRO E INSTALACIÓN EN PATIO DE PREFABRICADOS DE TEE REDUCCIÓN DE ACERO AL CARBONO, ASTM A234 GR. WPB S/C, ASME B16.9, ESPESOR 0.500 x 0.375", EXTREMOS BISELADOS. DIAMETRO 30” X 24”. INCLUYE: ACARREO, CARGA, DESCARGA, MANIOBRAS.</t>
  </si>
  <si>
    <t>C2EXT-0242</t>
  </si>
  <si>
    <t>SUMINISTRO E INSTALACIÓN EN PATIO DE PREFABRICADOS DE TEE REDUCCIÓN DE ACERO AL CARBONO, ASTM A234 GR. WPB S/C, ASME B16.9, CEDULA 80, EXTREMOS BISELADOS, DIÁMETRO 8” x 4". INCLUYE: ACARREO, CARGA, DESCARGA, MANIOBRAS.</t>
  </si>
  <si>
    <t>C2EXT-0243</t>
  </si>
  <si>
    <t>SUMINISTRO E INSTALACIÓN EN PATIO DE PREFABRICADOS DE REDUCCIÓN CONCENTRICA DE ACERO AL CARBONO, ASTM A234 GR. WPB S/C, CEDULA ESTANDAR, ASME B16.9, EXTREMOS BISELADOS. DIÁMETRO 16”x 8". INCLUYE: ACARREO, CARGA, DESCARGA, MANIOBRAS.</t>
  </si>
  <si>
    <t>C2EXT-0244</t>
  </si>
  <si>
    <t>SUMINISTRO E INSTALACIÓN EN PATIO DE PREFABRICADOS DE REDUCCIÓN CONCENTRICA DE ACERO AL CARBONO, ASTM A234 GR. WPB S/C, CEDULA ESTANDAR, ASME B16.9, EXTREMOS BISELADOS. DIÁMETRO 10” x 6". INCLUYE: ACARREO, CARGA, DESCARGA, MANIOBRAS.</t>
  </si>
  <si>
    <t>C2EXT-0245</t>
  </si>
  <si>
    <t>SUMINISTRO, HABILITADO E INSTALACIÓN EN PATIO DE PREFABRICADOS DE PERFIL ESTRUCTURAL TIPO IR 102 MM X 19.4 KG/M (4" X 13 LB/FT) ACERO AL CARBONO ASTM A572 GR. 50, INCLUYE: ACARREO, CARGA, DESCARGA, MANIOBRAS.</t>
  </si>
  <si>
    <t>C2EXT-0246</t>
  </si>
  <si>
    <t>SUMINISTRO, HABILITADO E INSTALACIÓN EN PATIO DE PREFABRICADOS DE PERFIL ESTRUCTURAL IR 203 MM x 22.5 KG/M, ACERO AL CARBONO ASTM A 36/ASTM A-572 GR. 50, INCLUYE: ACARREO, CARGA, DESCARGA, MANIOBRAS.</t>
  </si>
  <si>
    <t>C2EXT-0247</t>
  </si>
  <si>
    <t>SUMINISTRO, HABILITADO E INSTALACIÓN EN PATIO DE PREFABRICADOS DE PERFIL IR-356 MM X 38.9 KG/M (14" x 26 lb/ft), ACERO AL CARBONO ASTM A-572 GR. 50, INCLUYE: ACARREO, CARGA, DESCARGA, MANIOBRAS.</t>
  </si>
  <si>
    <t>C2EXT-0248</t>
  </si>
  <si>
    <t>SUMINISTRO, HABILITADO E INSTALACIÓN EN PATIO DE PREFABRICADOS DE PERFIL ESTRUCTURAL CE 152 MM x 15.6 KG/M (6" x 10 b/ft) DE ACERO AL CARBON ASTM A572 GR 50, INCLUYE: ACARREO, CARGA, DESCARGA, MANIOBRAS.</t>
  </si>
  <si>
    <t>C2EXT-0249</t>
  </si>
  <si>
    <t>SUMINISTRO E INSTALACIÓN EN PATIO DE PREFABRICADOS DE CODO R.L. DE ACERO AL CARBÓN, ASTM A234 GR. WPB S/C, ASME B16.9, DE 16" DE DIAMETRO, 90° GRADOS, CÉDULA 40, EXTREMOS BISELADOS. INCLUYE: ACARREO, CARGA, DESCARGA, MANIOBRAS.</t>
  </si>
  <si>
    <t>C2EXT-0250</t>
  </si>
  <si>
    <t>SUMINISTRO E INSTALACIÓN EN PATIO DE PREFABRICADOS DE TEE REDUCIDA DE CAJA PARA SOLDAR, ACERO INOXIDABLE, ASTM A182 GR. F316L, ASME B16.11, CLASE 3000#, DIÁMETRO 1" X 3/4". INCLUYE: ACARREO, CARGA, DESCARGA, MANIOBRAS.</t>
  </si>
  <si>
    <t>C2EXT-0251</t>
  </si>
  <si>
    <t>SUMINISTRO E INSTALACIÓN EN PATIO DE PREFABRICADOS DE COPLE RECTO CAJA PARA SOLDAR, ACERO INOXIDABLE, ASTM A- 182 Gr. F316L, ASME B16.11, CLASE 3000#, DIÁMETRO 1". INCLUYE: ACARREO, CARGA, DESCARGA, MANIOBRAS.</t>
  </si>
  <si>
    <t>C2EXT-0252</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</si>
  <si>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40 x CED. 40. INCLUYE: ACARREO, CARGA, DESCARGA, MANIOBRAS.</t>
  </si>
  <si>
    <t>C2EXT-0253</t>
  </si>
  <si>
    <t>SERVICIO DE EVALUACIÓN Y DIAGNOSTICO POR PERSONAL ESPECIALIZADO A INSTRUMENTOS LIT, TIT, PIT LC, LE, FR, PI, TI, FE, ASI COMO ELABORACION Y ENTREGA DE DICTAMEN TECNICO ESPECIFICO.</t>
  </si>
  <si>
    <t>C2EXT-0254</t>
  </si>
  <si>
    <t>SUMINISTRO E INSTALACIÓN EN PATIO DE PREFABRICADOS DE CODO DE 45° DE 6" DE DIAMETRO NOMINAL, DE ACERO AL CARBONO ASTM A234 GR. WPB, CEDULA 40 S/C, EXTREMOS BISELADOS, INCLUYE: ACARREO, CARGA, DESCARGA, MANIOBRAS.</t>
  </si>
  <si>
    <t>C2EXT-0255</t>
  </si>
  <si>
    <t>SERVICIO DE AGENCIAMIENTO MARITIMO DE PAREJA CHALAN-REMOLCADOR DURANTE LA SALIDA DEL MUELLE DEL ARMADOR SIN CARGA Y CON DESTINO A PLATAFORMA NHA ENLACE Y NHC, PARA LA CARGA DE ESTRUCTURAS, INCLUYE: REMOLQUES, DERECHOS DE PUERTO, CAPITANIA, PILOTOS DE APOYO, LANCHAJE, GASTOS ADMINISTRATIVOS, (NO INCLUYE TIEMPO DE OPERACION O EN ESPERA DE LA PAREJA CHALAN-REMOLCADOR)</t>
  </si>
  <si>
    <t>C2EXT-0256</t>
  </si>
  <si>
    <t>SERVICIO DE AGENCIAMIENTO MARITIMO DE PAREJA CHALAN-REMOLCADOR DURANTE LA SALIDA DE LA PLATAFORMA NHA ENLACE Y NHC HACIA EL  MUELLE TMDB CON CARGA  INCLUYE: REMOLQUES, DERECHOS DE PUERTO, CAPITANIA, PILOTOS DE APOYO, LANCHAJE, GASTOS ADMINISTRATIVOS, (NO INCLUYE TIEMPO DE OPERACION O EN ESPERA DE LA PAREJA CHALAN-REMOLCADOR)</t>
  </si>
  <si>
    <t>C2EXT-0257</t>
  </si>
  <si>
    <t>SERVICIO DE AGENCIAMIENTO MARITIMO DE PAREJA CHALAN-REMOLCADOR DURANTE LA ENTRADA AL MUELLE DEL ARMADOR SIN CARGA, DESPUES DE LA DESCARGA DE LAS ESTRUCTURAS EN LATMDB INCLUYE: REMOLQUES, DERECHOS DE PUERTO, CAPITANIA, PILOTOS DE APOYO, LANCHAJE, GASTOS ADMINISTRATIVOS, (NO INCLUYE TIEMPO DE OPERACION O EN ESPERA DE LA PAREJA CHALAN-REMOLCADOR)</t>
  </si>
  <si>
    <t>C2EXT-0258</t>
  </si>
  <si>
    <t>SERVICIO DE AGENCIAMIENTO MARITIMO DE PAREJA CHALAN-REMOLCADOR DURANTE LA SALIDA DEL MUELLE DEL ARMADOR SIN CARGA Y CON DESTINO ABKATUN-A, INCLUYE: REMOLQUES, DERECHOS DE PUERTO, CAPITANIA, PILOTOS DE APOYO, LANCHAJE, GASTOS ADMINISTRATIVOS, (NO INCLUYE TIEMPO DE OPERACION O EN ESPERA DE LA PAREJA CHALAN-REMOLCADOR)</t>
  </si>
  <si>
    <t>C2EXT-0259</t>
  </si>
  <si>
    <t>PTE-020-24</t>
  </si>
  <si>
    <t>SERVICIO DE AGENCIAMIENTO MARITIMO DE PAREJA CHALAN-REMOLCADOR DURANTE LA ENTRADA A LA TMDB, PROCEDENTE DE LA PLATAFORMA ABK-A CON ESTRUCTURAS DEL QUEMADOR, INCLUYE: REMOLQUES, DERECHOS DE PUERTO, CAPITANIA, PILOTOS DE APOYO, LANCHAJE, GASTOS ADMINISTRATIVOS, (NO INCLUYE TIEMPO DE OPERACION O EN ESPERA DE LA PAREJA CHALAN-REMOLCADOR).</t>
  </si>
  <si>
    <t>C2EXT-0260</t>
  </si>
  <si>
    <t>SERVICIO DE AGENCIAMIENTO MARITIMO DE PAREJA CHALAN-REMOLCADOR DURANTE LA ENTRADA AL MUELLE DEL ARMADOR SIN CARGA, EN EL MUELLE DE LA TERMINAL MARITIMA DE DOS BOCAS, TABASCO, INCLUYE: REMOLQUES, DERECHOS DE PUERTO, CAPITANIA, PILOTOS DE APOYO, LANCHAJE, GASTOS ADMINISTRATIVOS, (NO INCLUYE TIEMPO DE OPERACION O EN ESPERA DE LA PAREJA CHALAN-REMOLCADOR)</t>
  </si>
  <si>
    <t>C2EXT-0261</t>
  </si>
  <si>
    <t>SERVICIO DE GRUA SOBRE ORUGAS CON PLUMA ESTRUCTURAL CAPACIDAD DE 800 TONELADAS, MARCA MANITOWOC MODELO 18000.</t>
  </si>
  <si>
    <t>C2EXT-0262</t>
  </si>
  <si>
    <t>PTE-023-24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</si>
  <si>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1 1/2" DE DIAMETRO, CED. 80 x CLASE 3000. INCLUYE: ACARREO, CARGA, DESCARGA, MANIOBRAS</t>
  </si>
  <si>
    <t>C2EXT-0263</t>
  </si>
  <si>
    <t>PTE-046-24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</si>
  <si>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2" DE DIAMETRO, CED. 80 x CLASE 3000. INCLUYE: ACARREO, CARGA, DESCARGA, MANIOBRAS.</t>
  </si>
  <si>
    <t>C2EXT-0264</t>
  </si>
  <si>
    <t>SUMINISTRO, HABILITADO E INSTALACIÓN EN PATIO DE PREFABRICADOS DE TUBO DE ACERO AL CARBONO ASTM A106 GR. B S/C, ASME B36.10M, EXTREMOS BISELADOS, DEBE CUMPLIR CON LOS REQUISITOS TÉCNICOS Y DOCUMENTALES DE PEMEX-EST- TD-032-P1-2018. ESPESOR 0.500", DIAMETRO 24”. INCLUYE: ACARREO, CARGA, DESCARGA, MANIOBRAS.</t>
  </si>
  <si>
    <t>C2EXT-0265</t>
  </si>
  <si>
    <t>016.6-J-NHA X INGRESAR</t>
  </si>
  <si>
    <t>SUMINISTRO, HABILITADO E INSTALACIÓN EN PATIO DE PREFABRICADOS DE TUBERIA DE ACERO AL CARBON EXTREMOS BISELADOS, WT DSA, API 5L GRDO X52M, DRL PSL-2. ESPECIFICACIÓN ASME B36.10M / ISO 3183 L360M DE 30" DE DIAMETRO, CED 0.500" ESPESOR. INCLUYE: ACARREO, CARGA, DESCARGA, MANIOBRAS.</t>
  </si>
  <si>
    <t>C2EXT-0266</t>
  </si>
  <si>
    <t>SUMINISTRO E INSTALACIÓN EN PATIO DE PREFABRICADOS DE BRIDA CUELLO LARGO (PIPETA) DE ACERO AL CARBONO FORJADO, ASTM A105, ASME B16.5, ASME B31.3 (302.2, 304.3, 326, 328.5.4), CLASE 150# R.F. BORE: 1.100", EXTREMO BISELADO. DIAMETRO 1 1/2”x 10” DE LONG . INCLUYE: ACARREO, CARGA, DESCARGA, MANIOBRAS.</t>
  </si>
  <si>
    <t>C2EXT-0267</t>
  </si>
  <si>
    <t>SUMINISTRO E INSTALACIÓN EN PATIO DE PREFABRICADOS DE BRIDA CUELLO SOLDABLE DE ACERO AL CARBONO FORJADO, ASTM A105, ASME B16.5, CLASE 300# R.F., BORE: 7.981", EXTREMO BISELADO, DIAMETRO 8”. INCLUYE: ACARREO, CARGA, DESCARGA, MANIOBRAS.</t>
  </si>
  <si>
    <t>C2EXT-0268</t>
  </si>
  <si>
    <t>SUMINISTRO E INSTALACIÓN EN PATIO DE PREFABRICADOS DE BRIDA CUELLO SOLDABLE DE ACERO AL CARBONO FORJADO, ASTM A105, ASME B16.5, CLASE 300# R.F., BORE: 15.250", EXTREMO BISELADO, DIAMETRO 16”. INCLUYE: ACARREO, CARGA, DESCARGA, MANIOBRAS.</t>
  </si>
  <si>
    <t>C2EXT-0269</t>
  </si>
  <si>
    <t>SUMINISTRO E INSTALACIÓN EN PATIO DE PREFABRICADOS DE BRIDA CUELLO SOLDABLE DE ACERO AL CARBÓN ASTM A-105, DE 18" DE DIAMETRO, CED 20, CLASE 150. INCLUYE: ACARREO, CARGA, DESCARGA, MANIOBRAS.</t>
  </si>
  <si>
    <t>C2EXT-0270</t>
  </si>
  <si>
    <t>SUMINISTRO E INSTALACIÓN EN PATIO DE PREFABRICADOS DE BRIDA CUELLO SOLDABLE DE  ACERO AL CARBÓN ASTM A-105, 20" DE DIAMETRO, CED STD, CLASE 150. INCLUYE: ACARREO, CARGA, DESCARGA, MANIOBRAS.</t>
  </si>
  <si>
    <t>C2EXT-0271</t>
  </si>
  <si>
    <t>SUMINISTRO E INSTALACIÓN EN PATIO DE PREFABRICADOS DE BRIDA CUELLO SOLDABLE DE ACERO AL CARBONO FORJADO, ASTM A105, ASME B16.47, CLASE 300# R.F. BORE: 23.250", EXTREMO BISELADO, DIAMETRO 24”. INCLUYE: ACARREO, CARGA, DESCARGA, MANIOBRAS.</t>
  </si>
  <si>
    <t>C2EXT-0272</t>
  </si>
  <si>
    <t>C2EXT-0273</t>
  </si>
  <si>
    <t>SUMINISTRO E INSTALACIÓN EN PATIO DE PREFABRICADOS DE REDUCCION CONCENTRICA DE ACERO AL CARBONO, ASTM A234 GR. WPB S/C, ASME B16.9, CEDULA STD EXTREMOS BISELADOS, DIÁMETRO 4” x 3". INCLUYE: ACARREO, CARGA, DESCARGA, MANIOBRAS.</t>
  </si>
  <si>
    <t>C2EXT-0274</t>
  </si>
  <si>
    <t>SUMINISTRO E INSTALACIÓN EN PATIO DE PREFABRICADOS DE REDUCCIÓN CONCÉNTRICA DE ACERO AL CARBONO, ASTM A234 GR. WPB S/C, ASME B16.9 ESPESOR 0.375” x ESTÁNDAR, EXTREMOS BISELADOS. DIAMETRO 18” x 16”. INCLUYE: ACARREO, CARGA, DESCARGA, MANIOBRAS.</t>
  </si>
  <si>
    <t>C2EXT-0275</t>
  </si>
  <si>
    <t>SUMINISTRO E INSTALACIÓN EN PATIO DE PREFABRICADOS DE REDUCCIÓN CONCÉNTRICA DE ACERO AL CARBONO, ASTM A234 GR. WPB S/C, ASME B16.9 ESPESOR 0.375", EXTREMOS BISELADOS. DIAMETRO 24” x 20”. INCLUYE: ACARREO, CARGA, DESCARGA, MANIOBRAS.</t>
  </si>
  <si>
    <t>C2EXT-0276</t>
  </si>
  <si>
    <t>SUMINISTRO E INSTALACIÓN EN PATIO DE PREFABRICADOS DE TEE REDUCCIÓN 24"x16" DE ACERO AL CARBONO, ASTM A234 GR. WPB, S/C, ASME B16.9, S/C. 0.375"/STD. EXTREMOS BISELADOS. INCLUYE: ACARREO, CARGA, DESCARGA, MANIOBRAS.</t>
  </si>
  <si>
    <t>C2EXT-0277</t>
  </si>
  <si>
    <t>LEVANTAMIENTO TOPOGRÁFICO (TRAZO Y NIVELACION) EN PATIO DE PEP TERMINAL MARÍTIMA "ÁRBOL GRANDE"  LOCALIZADO  CD MADERO TAMAULIPAS (DELIMITACIÓN DEL ÁREA DONDE SE REUBICARA Y ADECUARA LA SUBESTRUCTURA ONEL-B).INCLUYE EQUIPOS DE NIVELACIÓN Y ACCESORIOS</t>
  </si>
  <si>
    <t>BME-3801-043-2024</t>
  </si>
  <si>
    <t>C2EXT-0278</t>
  </si>
  <si>
    <t>ONEL-B</t>
  </si>
  <si>
    <t>ESTUDIO DE MECÁNICA DE SUELOS PARA REUBICACIÓN DE SUBESTRUCTURA ONEL-B DEL PATIO DE LA CIA. COMMSA AL PATIO DE PEP "ARBOL GRANDE" EN CD MADERO TAMAULIPAS (DELIMITACIÓN DEL ÁREA DONDE SE REUBICARA Y ADECUARA LA SUBESTRUCTURA ONEL-B) INCLUYE EQUIPOS Y ACCESORIOS</t>
  </si>
  <si>
    <t>C2EXT-0279</t>
  </si>
  <si>
    <t>SERVICIO PARA MEJORAMIENTO DE TERRENO A BASE DE RELLENO CON  MATERIAL DE BANCO ; INCLUYE, MAQUINARIA, EQUIPO MECANICO, HERRAMIENTA MANUAL, EL SUMINISTRO MATERIAL DE BANCO, EXTENDIDO DE MATERIAL EN EL AREA DE RELLENAR EN LA TERMINAL MARÍTIMA DE ÁRBOL GRANDE LOCALIZADO  CD MADERO TAMAULIPAS.</t>
  </si>
  <si>
    <t>C2EXT-0280</t>
  </si>
  <si>
    <t>SERVICIO TOPOGRÁFICO  A ESTRUCTURA ONEL-B  PARA VERIFICACIÓN DE DIMENSIONES Y NIVELES EN LA TERMINAL MARÍTIMA ARBOL GRANDE LOCALIZADO  CD MADERO TAMAULIPAS.</t>
  </si>
  <si>
    <t>C2EXT-0281</t>
  </si>
  <si>
    <t>SERVICIO DE LASTRADO Y ESTABILIZADO DE CHALAN JMC-2515 (250 X 72 X 16 PIES) PARA CONDICIONES DE ZARPE CON CARGA DE SUPERESTRUCTURA EMDR-2 TENTOK, UBICADO EN MUELLE DE LA TERMINAL MARITIMA DE DOS BOCAS, TAB. CON APOYO DE EQUIPO DE BOMBREO DE GRAN CAUDAL, CUADRILLA DE PERSONLA PARA MANIOBRAS DE RETIRO DE ESCOTILLAS DE CUBIERTA PARA LLENADO DE TANQUES, MOVILIZACION Y DESMOVILIZACION DE PERSONAL, EQUIPOS Y MATERIALES ( NO INCLUYE GASTOS DE ESTANCIA, DERECHOS DE PUERTO, LANCHAJE, GASTOS ADMINISTRATIVOS, CAPITANIA, PILOTO DE PUERTO, REMOLCADORES)</t>
  </si>
  <si>
    <t>BME-3801-032-2023</t>
  </si>
  <si>
    <t>OT-GRZ-801-23-008-POKCHE-N</t>
  </si>
  <si>
    <t>C2EXT-0282</t>
  </si>
  <si>
    <t>23-008-POKCHE-NE</t>
  </si>
  <si>
    <t>SUMINISTRO, HABILITADO E INSTALACIÓN EN PATIO DE PREFABRICADOS DE PERFIL IR-254 X 28.5 KG/M (10"X 19 LB/FT) ACERO AL CARBON ASTM A-36. INCLUYE: ACARREO, CARGA, DESCARGA, MANIOBRAS.</t>
  </si>
  <si>
    <t>C2EXT-0283</t>
  </si>
  <si>
    <t>SUMINISTRO, HABILITADO E INSTALACIÓN EN PATIO DE PREFABRICADOS DE TUBO DE ACERO AL CARBONO ASTM A106 GR. B, S/C, ASME B36.10M, EXTREMOS BISELADOS, DEBE CUMPLIR CON LOS REQUISITOS TÉCNICOS Y DOCUMENTALES DE PEMEX-EST- TD-032-P1-2018. ESPESOR 0.375", DIAMETRO 24”. INCLUYE: ACARREO, CARGA, DESCARGA, MANIOBRAS.</t>
  </si>
  <si>
    <t>C2EXT-0284</t>
  </si>
  <si>
    <t>SUMINISTRO E INSTALACIÓN EN PATIO DE PREFABRICADOS DE CODO DE 90° RADIO CORTO DE ACERO AL CARBONO, ASTM A234 GR. WPB, S/C, ASME B16.9, ESPESOR 0.375", EXTREMOS BISELADOS, DIÁMETRO 24". INCLUYE: ACARREO, CARGA, DESCARGA, MANIOBRAS.</t>
  </si>
  <si>
    <t>C2EXT-0285</t>
  </si>
  <si>
    <t>SUMINISTRO E INSTALACIÓN EN PATIO DE PREFABRICADOS DE COPLE DE ACERO AL CARBONO, ASTM A105, ASME B16.11 CLASE 6000#, EXTREMOS CAJA PARA SOLDAR, DIAMETRO 1”. INCLUYE: ACARREO, CARGA, DESCARGA, MANIOBRAS.</t>
  </si>
  <si>
    <t>C2EXT-0286</t>
  </si>
  <si>
    <t>SUMINISTRO E INSTALACIÓN EN PATIO DE PREFABRICADOS DE TAPÓN CACHUCHA DE ACERO AL CARBONO FORJADO, ASTM A234 GR. WPB S/C, CEDULA 80, EXTREMO BISELADO, DIAMETRO 4”. INCLUYE: ACARREO, CARGA, DESCARGA, MANIOBRAS.</t>
  </si>
  <si>
    <t>C2EXT-0287</t>
  </si>
  <si>
    <t>SUMINISTRO E INSTALACIÓN EN PATIO DE PREFABRICADOS DE TAPON CACHUCHA DE ACERO AL CARBONO, ASTM A105, ASME B16.11 CLASE 6000#, EXTREMOS CAJA PARA SOLDAR, DIAMETRO 2”. INCLUYE: ACARREO, CARGA, DESCARGA, MANIOBRAS.</t>
  </si>
  <si>
    <t>C2EXT-0288</t>
  </si>
  <si>
    <t>SUMINISTRO E INSTALACIÓN EN PATIO DE PREFABRICADOS DE TE RECTA DE ACERO AL CARBONO, ASTM A105, ASME B16.11 CLASE 6000#, EXTREMOS CAJA PARA SOLDAR, DIAMETRO 2”. INCLUYE: ACARREO, CARGA, DESCARGA, MANIOBRAS.</t>
  </si>
  <si>
    <t>C2EXT-0289</t>
  </si>
  <si>
    <t>SUMINISTRO E INSTALACIÓN EN PATIO DE PREFABRICADOS DE TE REDUCCIÓN DE ACERO AL CARBONO, ASTM A105, ASME B16.11 CLASE 6000#, EXTREMOS CAJA PARA SOLDAR, DIAMETRO 2" X 1”. INCLUYE: ACARREO, CARGA, DESCARGA, MANIOBRAS.</t>
  </si>
  <si>
    <t>C2EXT-0290</t>
  </si>
  <si>
    <t>SUMINISTRO E INSTALACIÓN EN PATIO DE PREFABRICADOS DE TE REDUCCIÓN DE ACERO AL CARBONO, ASTM A105, ASME B16.11 CLASE 6000#, EXTREMOS CAJA PARA SOLDAR, DIAMETRO 2" X 3/4”. INCLUYE: ACARREO, CARGA, DESCARGA, MANIOBRAS.</t>
  </si>
  <si>
    <t>C2EXT-0291</t>
  </si>
  <si>
    <t>SERVICIO DE COMPACTACIÓN DE TERRENO  PARA DAR NIVEL AL SITIO DE DESCARGA O RESGUARDO DE EQUIPOS, SUBPERESTRUCTURAS O SUPERESTRUCTURAS; INCLUYE, MAQUINARIA, EQUIPO MECANICO, HERRAMIENTA MANUAL, EL SUMINISTRO Y APLICACIÓN DE AGUA NECESARIA PARA OBTENER LA COMPACTACIÓN REQUERIDA, AFINE, NIVELACION, MANO DE OBRA EN LA TERMINAL MARÍTIMA DE ÁRBOL GRANDE LOCALIZADO  CD MADERO TAMAULIPAS.</t>
  </si>
  <si>
    <t>C2EXT-0292</t>
  </si>
  <si>
    <t>SERVICIO DE AGENCIAMIENTO MARITIMO DE PAREJA CHALAN-REMOLCADOR DURANTE LOS MOVIMIENTOS DENTRO DEL MUELLE DE PEMEX DE LA TERMINAL MARITIMA DE DOS BOCAS, TABASCO  PARA EL ACOMODO DE LA EMBARCACION PARA REALIZAR LA DESCARGA DE LAS ESTRUCTURAS EN LA TMDB INCLUYE: REMOLQUES, DERECHOS DE PUERTO, CAPITANIA, PILOTOS DE APOYO, LANCHAJE, GASTOS ADMINISTRATIVOS, (NO INCLUYE TIEMPO DE OPERACION O EN ESPERA DE LA PAREJA CHALAN-REMOLCADOR)</t>
  </si>
  <si>
    <t>C2EXT-0293</t>
  </si>
  <si>
    <t>SERVICIOS PORTUARIOS PARA LA ESTANCIA DE LA PAREJA CHALAN-REMOLCADOR , EN MUELLE DEL PUERTO DE DOS BOCAS TAB., DURANTE LA DESCARGA DE LAS ESTRUCTURAS EN LA TMDB, NO INCLUYE:  REMOLQUES, DERECHOS DE PUERTO, CAPITANIA, PILOTOS DE APOYO, LANCHAJE, GASTOS ADMINISTRATIVOS, TIEMPO DE OPERACION O EN ESPERA DE LA PAREJA CHALAN-REMOLCADOR.</t>
  </si>
  <si>
    <t>C2EXT-0294</t>
  </si>
  <si>
    <t>SERVICIO DE ANÁLISIS DE RIESGO DE PROCESO (ARP) PARA LOS TRABAJOS DE LEVANTAMIENTOS, INGENIERÍA BÁSICA Y DETALLE PARA LA REUBICACIÓN, INTERCONEXIONES Y PUESTA EN OPERACIÓN DE TANQUE SLUG-CATCHER FA-4223B DE AKAL-C6 HACIA EL CP. NOHOCH-A, INCLUYE SERVICIOS AUXILIARES.</t>
  </si>
  <si>
    <t>BME-3801-041-2023</t>
  </si>
  <si>
    <t>OT-GRZ-801-23-016.1-JNHA</t>
  </si>
  <si>
    <t>C2EXT-0295</t>
  </si>
  <si>
    <t>23-016.1-JNHA</t>
  </si>
  <si>
    <t>TRABAJOS PRELIMINARES DE MEJORAMIENTO DEL SUELO, DESMANTELAMIENTOS, DEMOLICIONES, ACARREOS DENTRO Y FUERA DEL SITIO PRODUCTO DE LAS EXCAVACIONES Y / DEMOLICIONES  DEL TERRENO PARA LA CONSTRUCCIÓN DEL TALLER DE MANTENIMIENTO MECÁNICO, ELÉCTRICO E INSTRUMENTOS EN LA TERMINAL MARITIMA DOS BOCAS, INCLUYE MATERIAL, EQUIPO, HERRAMIENTA, MANO DE OBRA Y TODO LO NECESARIO PARA SU CORRECTA EJECUCIÓN EN BASE A LAS ESPECIFICACIONES SIGUIENTES:</t>
  </si>
  <si>
    <t>LOTE</t>
  </si>
  <si>
    <t>C2EXT-0296</t>
  </si>
  <si>
    <t>PTE-037-2024 (TMDB)</t>
  </si>
  <si>
    <t>TRABAJOS DE OBRA CIVIL PARA LA CONSTRUCCIÓN DEL TALLER DE MANTENIMIENTO MECÁNICO, ELÉCTRICO E INSTRUMENTOS EN LA TERMINAL MARITIMA DOS BOCAS. INCLUYE HABILITADO, DESCIMBRADO, MATERIAL,CORTES, DESPERDICIOS, EQUIPO, HERRAMIENTA, MANO DE OBRA Y TODO LO NECESARIO PARA SU CORRECTA EJECUCIÓN EN BASE A LAS ESPECIFICACIONES SIGUIENTES:</t>
  </si>
  <si>
    <t>C2EXT-0297</t>
  </si>
  <si>
    <t>CONSTRUCCIÓN DE CISTERNA EN SITIO PARA EL TALLER DE MANTENIMIENTO MECÁNICO, ELÉCTRICO E INSTRUMENTOS EN LA TERMINAL MARITIMA DOS BOCAS. INCLUYE: MAQUINARIA, EQUIPO, MATERIALES, HERRAMIENTA Y MANO DE OBRA Y TODO LO NECESARIO PARA SU CORRECTA EJECUCIÓN DE ACUERDO A LAS SIGUIENTES ESPECIFICACIONES:</t>
  </si>
  <si>
    <t>C2EXT-0298</t>
  </si>
  <si>
    <t>TRABAJOS EN CUBIERTAS METÁLICAS EN EL ÁREA DEL TALLER DE MANTENIMIENTO MECÁNICO, ELÉCTRICO E INSTRUMENTOS EN LA TERMINAL MARITIMA DOS BOCAS, INCLUYE CONSUMIBLES, HERRAJES, CONEXIONES, MATERIAL,CORTES, DESPERDICIOS, EQUIPO, HERRAMIENTA, MANO DE OBRA Y TODO LO NECESARIO PARA SU CORRECTA EJECUCIÓN EN BASE A LAS ESPECIFICACIONES SIGUIENTES:</t>
  </si>
  <si>
    <t>C2EXT-0299</t>
  </si>
  <si>
    <t>TRABAJOS DE ALBAÑILERÍA PARA LA CONSTRUCCIÓN DEL TALLER DE MANTENIMIENTO MECÁNICO, ELÉCTRICO E INSTRUMENTOS EN LA TERMINAL MARITIMA DOS BOCAS. INCLUYE:  PREPARACIÓN DE LA SUPERFICIE, SUMINISTRO DE TODOS LOS MATERIALES, MANO DE OBRA, HERRAMIENTA, EQUIPO, DESPERDICIOS, LIMPIEZA FINAL DEL SITIO DE LOS TRABAJOS Y TODO LO NECESARIO PARA LA CORRECTA EJECUCIÓN DE ACUERDO A LAS SIGUIENTES ESPECIFICACIONES:</t>
  </si>
  <si>
    <t>C2EXT-0300</t>
  </si>
  <si>
    <t>SUMINISTRO Y COLOCACIÓN DE PUERTAS INTERIORES Y EXTERIORES EN EL TALLER DE MANTENIMIENTO MECÁNICO, ELÉCTRICO E INSTRUMENTOS EN LA TERMINAL MARITIMA DOS BOCAS, INCLUYE MATERIAL, EQUIPO, HERRAMIENTA, MANO DE OBRA Y TODO LO NECESARIO PARA SU CORRECTA EJECUCIÓN.</t>
  </si>
  <si>
    <t>C2EXT-0301</t>
  </si>
  <si>
    <t>SUMINISTRO Y COLOCACIÓN DE CANCELERÍAS Y VENTANAS DE ALUMINIO EN EL TALLER DE MANTENIMIENTO MECÁNICO, ELÉCTRICO E INSTRUMENTOS EN LA TERMINAL MARITIMA DOS BOCAS, INCLUYE MATERIAL, EQUIPO, HERRAMIENTA, MANO DE OBRA Y TODO LO NECESARIO PARA SU CORRECTA EJECUCIÓN.</t>
  </si>
  <si>
    <t>C2EXT-0302</t>
  </si>
  <si>
    <t>SUMINISTRO Y COLOCACIÓN DE CORTINA Y MALLA METALICA EN EL TALLER DE MANTENIMIENTO MECÁNICO, ELÉCTRICO E INSTRUMENTOS EN LA TERMINAL MARITIMA DOS BOCAS, INCLUYE MATERIAL, EQUIPO, HERRAMIENTA, MANO DE OBRA Y TODO LO NECESARIO PARA SU CORRECTA EJECUCIÓN.</t>
  </si>
  <si>
    <t>C2EXT-0303</t>
  </si>
  <si>
    <t>SUMINISTRO  E INSTALACION DE RED HIDRAULICA DE TUBERÍA DE COBRE TIPO "L" PARA ALIMENTACIÓN DE AGUA FRÍA CON TUBERÍA Y ACCESORIOS DE COBRE DE 1/2" (13 MM), 3/4" (19 MM), 1 1/2" (32 MM) EN ÁREA DE TALLERES Y  ÁREA ADMINISTRATIVA EN EL TALLER DE MANTENIMIENTO MECÁNICO, ELÉCTRICO E INSTRUMENTOS EN LA TERMINAL MARITIMA DOS BOCAS INCLUYE: MATERIAL, MANO DE OBRA, HERRAMIENTAS, MOBILIARIO, ACCESORIOS Y TODO LO NECESARIO PARA SU CORRECTA EJECUCIÓN.</t>
  </si>
  <si>
    <t>C2EXT-0304</t>
  </si>
  <si>
    <t>SUMINISTRO  E INSTALACION DE RED SANITARIA, MOBILIARIO, EQUIPO Y ACCESORIOS SANITARIOS PARA EL ÁREA DE TALLERES Y  ÁREA ADMINISTRATIVA CON TUBERIA Y ACCESORIOS DE  PVC SANITARIO DE 4"Ø, 2"Ø CÉDULA 40, INCLUYE EXCAVACIÓN Y RELLENO, MATERIAL, MANO DE OBRA, MOBILIARIO, HERRAMIENTAS Y TODO LO NECESARIO PARA SU CORRECTA EJECUCIÓN.</t>
  </si>
  <si>
    <t>C2EXT-0305</t>
  </si>
  <si>
    <t>SUMINISTRO, HABILITADO Y MONTAJE DE RED AIRE DE SERVICIOS, INCLUYE: MATERIAL, MANO DE OBRA, HERRAMIENTAS Y TODO LO NECESARIO PARA SU CORRECTA EJECUCIÓN.</t>
  </si>
  <si>
    <t>C2EXT-0306</t>
  </si>
  <si>
    <t>SUMINISTRO, MANEJO E INSTALACION DE RED SISTEMA DE FUERZA, ALUMBRADO Y CONTACTOS,  INCLUYE: MATERIAL, MANO DE OBRA, CANALIZACIONES, HERRAMIENTAS, EQUIPO, PRUEBAS Y TODO LO NECESARIO PARA SU CORRECTA EJECUCIÓN.</t>
  </si>
  <si>
    <t>C2EXT-0307</t>
  </si>
  <si>
    <t>SUMINISTRO, MANEJO E INSTALACION DE SISTEMA DE TIERRA FISICA, INCLUYE: MATERIAL, MANO DE OBRA, HERRAMIENTAS Y TODO LO NECESARIO PARA SU CORRECTA EJECUCIÓN.</t>
  </si>
  <si>
    <t>C2EXT-0308</t>
  </si>
  <si>
    <t>SUMINISTRO, MANEJO E INSTALACION DE SISTEMA DE DESCARGA ATMOSFERICA, INCLUYE: MATERIAL, MANO DE OBRA, HERRAMIENTAS Y TODO LO NECESARIO PARA SU CORRECTA EJECUCIÓN.</t>
  </si>
  <si>
    <t>C2EXT-0309</t>
  </si>
  <si>
    <t>SUMINISTRO, MANEJO E INSTALACION DE EQUIPOS, ACCESORIOS, SEÑALAMIENTOS, SOPORTERIA Y CANALIZACIONES PARA SISTEMA DE SEGURIDAD, INCLUYE: MATERIAL, MANO DE OBRA, HERRAMIENTAS Y TODO LO NECESARIO PARA SU CORRECTA EJECUCIÓN.</t>
  </si>
  <si>
    <t>C2EXT-0310</t>
  </si>
  <si>
    <t>SUMINISTRO, MANEJO E INSTALACION DE RED, CANALIZACIONES, SOPORTES, EQUIPOS Y ACCESORIOS DEL SISTEMA DE TELECOM, INCLUYE: MATERIAL, MANO DE OBRA, HERRAMIENTAS Y TODO LO NECESARIO PARA SU CORRECTA EJECUCIÓN.</t>
  </si>
  <si>
    <t>C2EXT-0311</t>
  </si>
  <si>
    <t>SUMINISTRO, MANEJO, INSTALACION DE SOPORTES PARA DUCTOS Y PRUEBAS DE SISTEMA DE HVAC, INCLUYE: MATERIAL, MANO DE OBRA, HERRAMIENTAS Y TODO LO NECESARIO PARA SU CORRECTA EJECUCIÓN.</t>
  </si>
  <si>
    <t>C2EXT-0312</t>
  </si>
  <si>
    <t>SUMINISTRO E INSTALACIÓN DE RED PLUVIAL PARA EL TALLER DE MANTENIMIENTO MECÁNICO, ELÉCTRICO E INSTRUMENTOS EN LA TERMINAL MARITIMA DOS BOCAS  INCLUYE: SELLO, TAPONES, EMPAQUE Y TODOS LOS ACCESORIOS NECESARIOS PARA GARANTIZAR LA INTEGRIDAD DEL SISTEMA, HERRAMIENTA Y MANO DE OBRA EN BASE A LAS ESPECIFICACIONES SIGUIENTES:</t>
  </si>
  <si>
    <t>C2EXT-0313</t>
  </si>
  <si>
    <t>CONSTRUCCIÓN EN SITIO DE REGISTRO ELECTRICO PARA EL TALLER DE MANTENIMIENTO MECÁNICO, ELÉCTRICO E INSTRUMENTOS EN LA TERMINAL MARITIMA DOS BOCAS. INCLUYE MATERIAL, EQUIPO,HERRAMIENTAS, MANO DE OBRA Y TODO LO NECESARIO PARA SU CORRECTA EJECUCIÓN DE ACUERDO A LAS DIMENSIONES Y ESPECIFICACIONES SIGUIENTES:</t>
  </si>
  <si>
    <t>C2EXT-0314</t>
  </si>
  <si>
    <t>SUMINISTRO, HABILITADO E INSTALACIÓN EN PATIO DE PREFABRICADOS DE TUBO DE ACERO AL CARBON EXTREMOS BISELADOS, ASME B31.10M/ISO 3183 Gr. L245NCS (API SPEC 5L Gr b), DE 24" DE DIAMETRO, DE 1.125” DE ESPESOR.</t>
  </si>
  <si>
    <t>C2EXT-0315</t>
  </si>
  <si>
    <t>LEVANTAMIENTO EN CAMPO CON PERSONAL ESPECIALISTA, INCLUYE HERRAMIENTA MENOR Y EQUIPO DE PROTECCION PERSONAL. (INCLUYE PERSONAL, EQUIPO (LAPTOP) Y SOFTWARE). (TIERRA)</t>
  </si>
  <si>
    <t>H-H</t>
  </si>
  <si>
    <t>C2EXT-0316</t>
  </si>
  <si>
    <t>SUMINISTRO E INSTALACIÓN EN PATIO DE PREFABRICADOS DE BRIDA CAJA PARA SOLDAR 600# CARA REALZADA (R.F.) DE ACERO AL CARBÓN ASTM A105, ASME B16.5. DE 1" DE DIÁMETRO, INCLUYE: ACARREO, CARGA, DESCARGA, MANIOBRAS.</t>
  </si>
  <si>
    <t>C2EXT-0317</t>
  </si>
  <si>
    <t>SUMINISTRO, HABILITADO E INSTALACIÓN EN PATIO DE PREFABRICADOS DE TUBO ASME B36.10, DE ACERO AL CARBONO ASTMA 106 Gr. B ISO 3183 Gr. L360NO PSL2, SIN COSTURA, EXTREMOS BISELADOS, LOS MATERIALES DEBEN CUMPLIR CON PEMEX-EST-TD-032-P1-2023, DE 4” DE DIAMETRO NPS (100 DN), 0.531” DE ESP. INCLUYE: ACARREO, CARGA, DESCARGA, MANIOBRAS.</t>
  </si>
  <si>
    <t>C2EXT-0318</t>
  </si>
  <si>
    <t>PTE-042-2024</t>
  </si>
  <si>
    <t>SUMINISTRO E INSTALACIÓN EN PATIO DE PREFABRICADOS DE NIPLE EXTREMOS ROSCADOS NPT, ASTM A 106, GALVANIZADO DE ACUERDO ASTM A123, S/C. ASME B36.10M, DE 1/2" DE DIAMETRO, LONGITUD, 89 MM (3.5 IN), CED. 80, INCLUYE: ACARREO, CARGA, DESCARGA, MANIOBRAS.</t>
  </si>
  <si>
    <t>C2EXT-0319</t>
  </si>
  <si>
    <t>SUMINISTRO E INSTALACIÓN EN PATIO DE PREFABRICADOS DE NIPLE DE ACERO AL CARBON, ASTM A106 GR. B ASME B36.10M, EXTREMOS PLANOS, DE 2" DE DIAMETRO  x 3.5" LONGITUD. CÉDULA XXS, INCLUYE: ACARREO, CARGA, DESCARGA, MANIOBRAS.</t>
  </si>
  <si>
    <t>C2EXT-0320</t>
  </si>
  <si>
    <t>SUMINISTRO E INSTALACIÓN EN PATIO DE PREFABRICADOS DE NIPLE SWAGE REDUCTOR DE ACERO AL CARBONO FORJADO, ASTM A234 Gr.WPB, EXTREMOS PLANOS, DE 2 1/2” X 2” DE DIAMETRO NPS (50 DN X 20 DN), CED. 160. XXS. INCLUYE: ACARREO, CARGA, DESCARGA, MANIOBRAS.</t>
  </si>
  <si>
    <t>C2EXT-0321</t>
  </si>
  <si>
    <t>SUMINISTRO E INSTALACIÓN EN PATIO DE PREFABRICADOS DE COPLE RECTO EXTREMOS ROSCADOS ASTM A105, CON RECUBRIMIENTOS GALVANIZADO DE ACUERDO A ASTM A 123, ASME B16.11, DE 1/2" DIAMETRO, CLASE 6000, INCLUYE: ACARREO, CARGA, DESCARGA, MANIOBRAS.</t>
  </si>
  <si>
    <t>C2EXT-0322</t>
  </si>
  <si>
    <t>SUMINISTRO E INSTALACIÓN EN PATIO DE PREFABRICADOS DE TEE RECTA  EXTREMOS ROSCADOS ASTM A105, CON RECUBRIMIENTOS GALVANIZADO DE ACUERDO A ASTM A 123, ASME B16.11, DE 1/2" DE DIAMETRO, CLASE 6000, INCLUYE: ACARREO, CARGA, DESCARGA, MANIOBRAS.</t>
  </si>
  <si>
    <t>C2EXT-0323</t>
  </si>
  <si>
    <t>SUMINISTRO E INSTALACIÓN EN PATIO DE PREFABRICADOS DE TEE REDUCCIÓN ASME B16.9, DE ACERO AL CARBONO ASTM A234 GR. WPB, EXTREMOS BISELADOS, DE 10”Ø NPS X 6” DE DIAMETRO NPS (250 DN X 150 DN), CED. 80 X CED. 80, INCLUYE: ACARREO, CARGA, DESCARGA, MANIOBRAS.</t>
  </si>
  <si>
    <t>C2EXT-0324</t>
  </si>
  <si>
    <t>SUMINISTRO E INSTALACIÓN EN PATIO DE PREFABRICADOS DE NIPOLET DE ACERO AL CARBONO ASTM A105, MSS SP-97. GALVANIZADO ASTM A123, LOS MATERIALES DEBEN CUMPLIR CON EL ESTÁNDAR PEMEX-EST-TD-032-P2-2019, DE 3/4” DE DIAMETRO NPS (19 DN) X 3.5” DE LONGITUD, EXTREMOS BISELADO/ROSCADO, CLASE 6000# PARA TUBO DE 6” DE DIAMETRO, INCLUYE: ACARREO, CARGA, DESCARGA, MANIOBRAS.</t>
  </si>
  <si>
    <t>C2EXT-0325</t>
  </si>
  <si>
    <t>SUMINISTRO E INSTALACIÓN EN PATIO DE PREFABRICADOS DE SOCKOLET DE ACERO AL CARBONO ASTM A105, MSS SP-97. GALVANIZADO ASTM A123, LOS MATERIALES DEBEN CUMPLIR CON EL ESTÁNDAR PEMEX-EST-TD-032-P2-2019, DE 3/4” DE DIAMETRO (19 DN).,EXTREMOS BISELADO/ROSCADO, CLASE 3000# PARA TUBO DE 6” DE DIAMETRO. INCLUYE: ACARREO, CARGA, DESCARGA, MANIOBRAS.</t>
  </si>
  <si>
    <t>C2EXT-0326</t>
  </si>
  <si>
    <t>SUMINISTRO E INSTALACIÓN EN PATIO DE PREFABRICADOS DE THREADOLET DE ACERO AL CARBONO ASTM A105, MSS SP-97. GALVANIZADO ASTM A123, LOS MATERIALES DEBEN CUMPLIR CON EL ESTÁNDAR PEMEX-EST-TD-032-P2-2019, DE 3/4” DE DIAMETRO, EXTREMOS BISELADO/ROSCADO, CLASE 3000# PARA TUBO DE 6” DE DIAMETRO, INCLUYE: ACARREO, CARGA, DESCARGA, MANIOBRAS.</t>
  </si>
  <si>
    <t>C2EXT-0327</t>
  </si>
  <si>
    <t>SUMINISTRO E INSTALACIÓN EN PATIO DE PREFABRICADOS DE THREADOLET DE ACERO AL CARBONO ASTM A105, MSS SP-97. GALVANIZADO ASTM A123, LOS MATERIALES DEBEN CUMPLIR CON EL ESTÁNDAR PEMEX-EST-TD-032-P2-2019, DE 1 1/2” DE DIAMETRO, EXTREMOS BISELADO/ROSCADO, CLASE 3000# PARA TUBO DE 4” DE DIAMETRO. INCLUYE: ACARREO, CARGA, DESCARGA, MANIOBRAS.</t>
  </si>
  <si>
    <t>C2EXT-0328</t>
  </si>
  <si>
    <t>SUMINISTRO, HABILITADO E INSTALACIÓN EN PATIO DE PREFABRICADOS DE TUBO CIRCULAR (OC) 1067 mm x 31.75 mm (42 in. x 1.250" in.) 810.40 KG/m, DE ACERO AL CARBON ASTM A-36, INCLUYE: ACARREO, CARGA, DESCARGA, MANIOBRAS.</t>
  </si>
  <si>
    <t>C2EXT-0329</t>
  </si>
  <si>
    <t>SUMINISTRO, HABILITADO E INSTALACIÓN EN PATIO DE PREFABRICADOS DE TUBO CIRCULAR (OC) 1067 mm x 38.10 mm (42 in. x 1.500" in.) 966.51 KG/M, DE ACERO AL CARBON ASTM A-36, INCLUYE: ACARREO, CARGA, DESCARGA, MANIOBRAS.</t>
  </si>
  <si>
    <t>C2EXT-0330</t>
  </si>
  <si>
    <t>SUMINISTRO, HABILITADO E INSTALACIÓN EN PATIO DE PREFABRICADOS DE PERFIL ANGULO LI 1 1/4 X 1/4  DE ESPESOR (2.86 KG/M)DE ACERO AL CARBÓN ASTM-A36. INCLUYE: ACARREO, CARGA, DESCARGA, MANIOBRAS.</t>
  </si>
  <si>
    <t>C2EXT-0331</t>
  </si>
  <si>
    <t>SUMINISTRO, HABILITADO E INSTALACIÓN EN PATIO DE PREFABRICADOS DE PERFIL ANGULO LI-102 MM X 8 MM DE ESPESOR (12.20 KG/M) DE ACERO AL CARBON ASTM A-36, INCLUYE: ACARREO, CARGA, DESCARGA, MANIOBRAS.</t>
  </si>
  <si>
    <t>C2EXT-0332</t>
  </si>
  <si>
    <t>SUMINISTRO, HABILITADO E INSTALACIÓN EN PATIO DE PREFABRICADOS DE CANAL CE-152 MM X 15.63 KG/M  DE ACERO AL CARBON ASTM A-572 GR. 50, INCLUYE: ACARREO, CARGA, DESCARGA, MANIOBRAS.</t>
  </si>
  <si>
    <t>C2EXT-0333</t>
  </si>
  <si>
    <t>SUMINISTRO, HABILITADO E INSTALACIÓN EN PATIO DE PREFABRICADOS DE SOLERA DE 64 MM X 6 MM (2 1/2” X 1/4") DE ESPESOR (3.17 KG/M) DE ACERO AL CARBON ASTM A-36, INCLUYE: ACARREO, CARGA, DESCARGA, MANIOBRAS.</t>
  </si>
  <si>
    <t>C2EXT-0334</t>
  </si>
  <si>
    <t>SUMINISTRO, HABILITADO E INSTALACIÓN EN PATIO DE PREFABRICADOS DE VIGA IR-152 MM X 13.4 KG/M (6” X 9 LB/FT) DE ACERO AL CARBON ASTM A-36. INCLUYE: ACARREO, CARGA, DESCARGA, MANIOBRAS.</t>
  </si>
  <si>
    <t>C2EXT-0335</t>
  </si>
  <si>
    <t>SUMINISTRO, HABILITADO E INSTALACIÓN EN PATIO DE PREFABRICADOS DE VIGA IS-406 mm x 19 mm / 851 mm x 32mm, DE ACERO AL CARBON ESPECIFICACION ASTM A36, INCLUYE: ACARREO, CARGA, DESCARGA, MANIOBRAS.</t>
  </si>
  <si>
    <t>C2EXT-0336</t>
  </si>
  <si>
    <t>SUMINISTRO, HABILITADO E INSTALACIÓN EN PATIO DE PREFABRICADOS DE CUADRADO SÓLIDO DE 1/2" x 1/2" x 1/2" DE ESPESOR DE ACERO AL CARBON ESPECIFICACION ASTM A36, INCLUYE: ACARREO, CARGA, DESCARGA, MANIOBRAS.</t>
  </si>
  <si>
    <t>C2EXT-0337</t>
  </si>
  <si>
    <t>SUMINISTRO, HABILITADO E INSTALACIÓN EN PATIO DE PREFABRICADOS DE TUBO OC-60 mm x 5.54, DE ACERO AL CARBON ESPECIFICACION ASTM A36, INCLUYE: ACARREO, CARGA, DESCARGA, MANIOBRAS.</t>
  </si>
  <si>
    <t>C2EXT-0338</t>
  </si>
  <si>
    <t>SUMINISTRO, HABILITADO E INSTALACIÓN EN PATIO DE PREFABRICADOS DE TUBO OC-89 mm x 5.49, DE ACERO AL CARBON ESPECIFICACION ASTM A36, INCLUYE: ACARREO, CARGA, DESCARGA, MANIOBRAS.</t>
  </si>
  <si>
    <t>C2EXT-0339</t>
  </si>
  <si>
    <t>SUMINISTRO, HABILITADO E INSTALACIÓN EN PATIO DE PREFABRICADOS DE TUBO OC-356 mm x 19.05 mm, DE ACERO AL CARBON ESPECIFICACION ASTM A36, INCLUYE: ACARREO, CARGA, DESCARGA, MANIOBRAS.</t>
  </si>
  <si>
    <t>C2EXT-0340</t>
  </si>
  <si>
    <t>SUMINISTRO, HABILITADO E INSTALACIÓN EN PATIO DE PREFABRICADOS DE TUBO OC-508 mm x 25.4 mm  A BASE DE PLACA ROLADA DE (1" DE ESPESOR), DE ACERO AL CARBON ESPECIFICACION ASTM A36, INCLUYE: ACARREO, CARGA, DESCARGA, MANIOBRAS.</t>
  </si>
  <si>
    <t>C2EXT-0341</t>
  </si>
  <si>
    <t>SUMINISTRO, HABILITADO E INSTALACIÓN EN PATIO DE PREFABRICADOS DE TUBO OC-1067 mm x 31.75 mm, DE ACERO AL CARBON ESPECIFICACION ASTM A36, INCLUYE: ACARREO, CARGA, DESCARGA, MANIOBRAS.</t>
  </si>
  <si>
    <t>C2EXT-0342</t>
  </si>
  <si>
    <t>SUMINISTRO, HABILITADO E INSTALACIÓN EN PATIO DE PREFABRICADOS DE TUBO OC-1067 mm x 38.10 mm, DE ACERO AL CARBON ESPECIFICACION ASTM A36, INCLUYE: ACARREO, CARGA, DESCARGA, MANIOBRAS.</t>
  </si>
  <si>
    <t>C2EXT-0343</t>
  </si>
  <si>
    <t>SUMINISTRO, HABILITADO E INSTALACIÓN EN PATIO DE PREFABRICADOS DE TUBO OC-1067 mm x 44.45 mm (42" DIAM.x 1.750"), DE ACERO AL CARBON ESPECIFICACION ASTM A36, INCLUYE: ACARREO, CARGA, DESCARGA, MANIOBRAS.</t>
  </si>
  <si>
    <t>C2EXT-0344</t>
  </si>
  <si>
    <t>SUMINISTRO, HABILITADO E INSTALACIÓN EN PATIO DE PREFABRICADOS DE TUBO OC-457 mm x 19.05 mm, DE ACERO AL CARBON ESPECIFICACION ASTM A-572 Gr. 50, INCLUYE: ACARREO, CARGA, DESCARGA, MANIOBRAS.</t>
  </si>
  <si>
    <t>C2EXT-0345</t>
  </si>
  <si>
    <t>SUMINISTRO, HABILITADO E INSTALACIÓN EN PATIO DE PREFABRICADOS DE TUBO OC-508 mm x 15.88 mm., DE ACERO AL CARBON ESPECIFICACION ASTM A-572 Gr. 50, INCLUYE: ACARREO, CARGA, DESCARGA, MANIOBRAS.</t>
  </si>
  <si>
    <t>C2EXT-0346</t>
  </si>
  <si>
    <t>SUMINISTRO, HABILITADO E INSTALACIÓN EN PATIO DE PREFABRICADOS DE TUBO OC-508 mm x 19.05 mm., DE ACERO AL CARBON ESPECIFICACION ASTM A-572 Gr. 50, INCLUYE: ACARREO, CARGA, DESCARGA, MANIOBRAS.</t>
  </si>
  <si>
    <t>C2EXT-0347</t>
  </si>
  <si>
    <t>SUMINISTRO, HABILITADO E INSTALACIÓN EN PATIO DE PREFABRICADOS DE TUBO OC-610 mm x 19.05 mm. DE ACERO AL CARBON ESPECIFICACION ASTM A-572 Gr. 50, INCLUYE: ACARREO, CARGA, DESCARGA, MANIOBRAS.</t>
  </si>
  <si>
    <t>C2EXT-0348</t>
  </si>
  <si>
    <t>SUMINISTRO, HABILITADO E INSTALACIÓN EN PATIO DE PREFABRICADOS DE TUBO OC-610 mm x 25.4 mm., DE ACERO AL CARBON ESPECIFICACION ASTM A-572 Gr. 50, INCLUYE: ACARREO, CARGA, DESCARGA, MANIOBRAS.</t>
  </si>
  <si>
    <t>C2EXT-0349</t>
  </si>
  <si>
    <t>SUMINISTRO, HABILITADO E INSTALACIÓN EN PATIO DE PREFABRICADOS DE TUBO OC-813 mm x 38.1 mm., DE ACERO AL CARBON ESPECIFICACION ASTM A-572 Gr. 50, INCLUYE: ACARREO, CARGA, DESCARGA, MANIOBRAS.</t>
  </si>
  <si>
    <t>C2EXT-0350</t>
  </si>
  <si>
    <t>SUMINISTRO, HABILITADO E INSTALACIÓN EN PATIO DE PREFABRICADOS DE TUBO OC-813 mm x DE 38.1 mm. A BASE DE PLACA ROLADA (1 1/2" DE ESPESOR) CON SUPLEMENTOS: S-1, S-3, S-4 Y S-5.  DE ACERO AL CARBON ESPECIFICACION API 2H Gr. 50, INCLUYE: ACARREO, CARGA, DESCARGA, MANIOBRAS.</t>
  </si>
  <si>
    <t>C2EXT-0351</t>
  </si>
  <si>
    <t>SUMINISTRO, HABILITADO E INSTALACIÓN EN PATIO DE PREFABRICADOS DE TUBO OC-1067 mm x 44.45 mm (42" DIAMETRO x 1.750" DE ESPESOR)  A BASE DE PLACA ROLADA DE (1 3/4" DE ESPESOR) CON SUPLEMENTOS: S-1, S-3, S-4 Y S-5. DE ACERO AL CARBON ESPECIFICACION API 2H Gr. 50, INCLUYE: ACARREO, CARGA, DESCARGA, MANIOBRAS.</t>
  </si>
  <si>
    <t>C2EXT-0352</t>
  </si>
  <si>
    <t>SUMINISTRO, HABILITADO E INSTALACIÓN EN PATIO DE PREFABRICADOS DE TUBO OC-1067 mm x 50.8 mm  (42" DIAMETRO x 2.000" DE ESPESOR) A BASE DE PLACA ROLADA DE (2" DE ESPESOR) CON SUPLEMENTOS: S-1, S-3, S-4 Y S-5. DE ACERO AL CARBON ESPECIFICACION API 2H Gr. 50, INCLUYE: ACARREO, CARGA, DESCARGA, MANIOBRAS.</t>
  </si>
  <si>
    <t>C2EXT-0353</t>
  </si>
  <si>
    <t>SUMINISTRO E INSTALACIÓN EN PATIO DE PREFABRICADOS DE PLACA DE NEOPRENO 15.9 mm DE ESPESOR. INCLUYE: ACARREO, CARGA, DESCARGA, MANIOBRAS.</t>
  </si>
  <si>
    <t>C2EXT-0354</t>
  </si>
  <si>
    <t>SUMINISTRO E INSTALACIÓN EN PATIO DE PREFABRICADOS DE VÁLVULA DE GLOBO DE 2" DE DIAMETRO CLASE 300# R.F. EXTREMOS ROSCADOS, INCLUYE: ACARREO, CARGA, DESCARGA, MANIOBRAS.</t>
  </si>
  <si>
    <t>C2EXT-0355</t>
  </si>
  <si>
    <t>SUMINISTRO E INSTALACIÓN EN PATIO DE PREFABRICADOS DE CONCRETO HIDRAULICO  PREMEZCLADO CON RESISTENCIA A LA COMPRESION DE f´c=350 kg/cm2,  INCLUYE: ACARREO, CARGA, DESCARGA, MANIOBRAS.</t>
  </si>
  <si>
    <t>C2EXT-0356</t>
  </si>
  <si>
    <t>APLICACIÓN EN PATIO DE PREFABRICADOS DE PRIMÁRIO EPÓXICO RICO EN ZINC DE 3 COMPONENTES, RESINA, ENDURECEDOR Y POLVO, RECUBRIMIENTO ZR-70, EN BASE A LA NRF-295. INCLUYE MATERIALES DE CONSUMO, PINTURA, SOLVENTES, LIMPIEZA DEL ÁREA DE TRABAJO, PARA APLICARLO EN TUBERÍA, CODOS, TEES, REDUCCIONES ETC. DE DIFERENTES DIÁMETROS, ASI COMO EN VIGAS, ANGULOS, SOLERAS, ETC.</t>
  </si>
  <si>
    <t>C2EXT-0357</t>
  </si>
  <si>
    <t>APLICACIÓN EN PATIO DE PREFABRICADOS DE ENLACE EPOXICO O MULTIFUNCIONAL AUTOIMPRIMANTE DE ALTO ESPESOR E-3J , DE 2 COMPONENTE RESINA, ENDURECEDOR EN COLOR BLANCO RAL 904 , EN BASE A LA NRF-295. INCLUYE MATERIALES DE CONSUMO, PINTURA, SOLVENTES, LIMPIEZA DEL ÁREA DE TRABAJO, PARA APLICARLO EN TUBERÍA, CODOS, TEES, REDUCCIONES ETC. DE DIFERENTES DIÁMETROS, ASI COMO EN VIGAS, ANGULOS, SOLERAS, ETC.</t>
  </si>
  <si>
    <t>C2EXT-0358</t>
  </si>
  <si>
    <t>SERVICIO DE AGENCIAMIENTO MARITIMO DE PAREJA CHALAN-REMOLCADOR DURANTE LA SALIDA AL MUELLE  DE LA TERMINAL MARITIMA ARBOL GRANDE EN CD MADERO TAMAULIPAS CON DESTINO HACIA LA PLATAFORMA YAXCHE C TRANSPORTANDO LA ESTRUCTURA YACKET ADOSADO CON PESO APROXIMADO DE  450 TON  INCLUYE: REMOLQUES, DERECHOS DE PUERTO, CAPITANIA, PILOTOS DE APOYO, LANCHAJE, GASTOS ADMINISTRATIVOS, (NO INCLUYE TIEMPO DE OPERACION O EN ESPERA DE LA PAREJA CHALAN-REMOLCADOR)</t>
  </si>
  <si>
    <t>C2EXT-0359</t>
  </si>
  <si>
    <t>SERVICIO DE AGENCIAMIENTO MARITIMO DE PAREJA CHALAN-REMOLCADOR DURANTE LA ENTRADA AL MUELLE DE LA TERMINAL MARITIMA ARBOL GRANDE EN CD MADERO TAMAULIPAS INCLUYE: REMOLQUES, DERECHOS DE PUERTO, CAPITANIA, PILOTOS DE APOYO, LANCHAJE, GASTOS ADMINISTRATIVOS, (NO INCLUYE TIEMPO DE OPERACION O EN ESPERA DE LA PAREJA CHALAN-REMOLCADOR)</t>
  </si>
  <si>
    <t>C2EXT-0360</t>
  </si>
  <si>
    <t>SERVICIO DE TOPOGRAFIA PARA ADECUACION DE ELEMENTOS ESTRUCTURALES DE LA SUBESTRUCTURA ONEL-B, QUE SE COMPLEMENTA CON MARCOS PARA GUIAS DE CONDUCTORES A BASE TUBERIA DE 32", 24",20", Y 18" DE DIAM. PARA LA PLATAFORMA YACHE. INCLUYE EQUIPOS DE NIVELACION Y ACCESORIOS.,ACOMPAÑAMIENTO DURANTE EL PROCESO CONSTRUCTIVO EN LA TERMINAL MARITIMA ARBOL GRANDE EN CIUDAD MADERO TAMAULIPAS</t>
  </si>
  <si>
    <t>C2EXT-0361</t>
  </si>
  <si>
    <t>SERVICIO DE AGENCIAMIENTO MARÍTIMO DE PAREJA CHALAN-REMOLCADOR DURANTE LA SALIDA DEL MUELLE DEL ARMADOR SIN CARGA Y CON DESTINO AL MUELLE DE LA TERMINAL MARITIMA DE ARBOL GRANDE, CIUDAD MADERO TAMAULIPAS, PARA LA CARGA DE SUBESTRUCTURA Y PILOTES. INCLUYE: REMOLQUES, DERECHOS DE PUERTO, CAPITANIA, PILOTOS DE APOYO, LANCHAJE, GASTOS ADMINISTRATIVOS, (NO INCLUYE TIEMPO DE OPERACION O EN ESPERA DE LA PAREJA CHALAN-REMOLCADOR)</t>
  </si>
  <si>
    <t>C2EXT-0362</t>
  </si>
  <si>
    <t>SERVICIO DE AGENCIAMIENTO MARÍTIMO DE PAREJA CHALAN-REMOLCADOR DURANTE LA ENTRADA AL MUELLE DE LA TERMINAL MARITIMA DE ARBOL GRANDE, EN CD MADERO TAMAULIPAS, PARA LA CARGA DE LA SUBESTRUCTURA ONEL-B Y PILOTES. INCLUYE: REMOLQUES, DERECHOS DE PUERTO, CAPITANIA, PILOTOS DE APOYO, LANCHAJE, GASTOS ADMINISTRATIVOS, (NO INCLUYE TIEMPO DE OPERACION O EN ESPERA DE LA PAREJA CHALAN-REMOLCADOR)</t>
  </si>
  <si>
    <t>C2EXT-0363</t>
  </si>
  <si>
    <t>SERVICIO DE AGENCIAMIENTO MARÍTIMO DE PAREJA CHALAN-REMOLCADOR DURANTE LOS MOVIMIENTOS DENTRO DEL MUELLE DE LA TERMINAL MARITIMA DE ARBOL GRANDE EN CD MADERO TAUMALIPAS PARA EL ACOMODO DE LA EMBARCACIÓN PARA REALIZAR LA CARGA DE LA SUBESTRUCTURA ONEL-B Y PILOTES. INCLUYE: REMOLQUES, DERECHOS DE PUERTO, CAPITANIA, PILOTOS DE APOYO, LANCHAJE, GASTOS ADMINISTRATIVOS, (NO INCLUYE TIEMPO DE OPERACION O EN ESPERA DE LA PAREJA CHALAN-REMOLCADOR)</t>
  </si>
  <si>
    <t>C2EXT-0364</t>
  </si>
  <si>
    <t>SERVICIO DE AGENCIAMIENTO MARÍTIMO DE PAREJA CHALAN-REMOLCADOR DURANTE LA SALIDA DEL MUELLE DE LA TERMINAL MARITIMA DE ARBOL GRANDE EN CD MADERO TAMAULIPAS CON DESTINO A LA PLATAFORMA YAXCHE-C, CON SUBESTRUCTURAS Y PILOTES. INCLUYE: REMOLQUES, DERECHOS DE PUERTO, CAPITANIA, PILOTOS DE APOYO, LANCHAJE, GASTOS ADMINISTRATIVOS, (NO INCLUYE TIEMPO DE OPERACION O EN ESPERA DE LA PAREJA CHALAN-REMOLCADOR)</t>
  </si>
  <si>
    <t>C2EXT-0365</t>
  </si>
  <si>
    <t>SERVICIO DE AGENCIAMIENTO MARÍTIMO DE PAREJA CHALAN-REMOLCADOR DURANTE LA ENTRADA AL MUELLE DEL ARMADOR SIN CARGA, DESPUÉS DE LA DESCARGA DE LA SUBESTRUCTURA EN LA PLATAFORMA YAXCHE-C, INCLUYE: REMOLQUES, DERECHOS DE PUERTO, CAPITANIA, PILOTOS DE APOYO, LANCHAJE, GASTOS ADMINISTRATIVOS, (NO INCLUYE TIEMPO DE OPERACION O EN ESPERA DE LA PAREJA CHALAN-REMOLCADOR)</t>
  </si>
  <si>
    <t>C2EXT-0366</t>
  </si>
  <si>
    <t>SERVICIO DE MODELADO DE ESTRUCTURA,  INCLUYE VIDEO EN 3D DE LA ADECUACIONES Y SU INSTALACION EN YAXCHE</t>
  </si>
  <si>
    <t>C2EXT-0367</t>
  </si>
  <si>
    <t>SERVICIO DE INSPECCIÓN VISUAL DETALLADA, CON RANGO DE ELEVACIÓN DE +0.00 HASTA +2.00 M, INCLUYE TECNICO NIVEL II, CERTIFICADO.</t>
  </si>
  <si>
    <t>C2EXT-0368</t>
  </si>
  <si>
    <t>SERVICIO DE INSPECCIÓN VISUAL DETALLADA, CON RANGO DE ELEVACIÓN DE +2.00 HASTA +35.00 M, INCLUYE TECNICO NIVEL II, CERTIFICADO.</t>
  </si>
  <si>
    <t>C2EXT-0369</t>
  </si>
  <si>
    <t>SERVICIO DE INSPECCIÓN CON PARTICULAS MAGNETICAS, CON RANGO DE ELEVACIÓN DE +0.00 HASTA +2.00 M, INCLUYE TECNICO NIVEL II, CERTIFICADO.</t>
  </si>
  <si>
    <t>C2EXT-0370</t>
  </si>
  <si>
    <t>SERVICIO DE INSPECION CON PARTICULAS MAGNETICAS, CON RANGO DE ELEVACIÓN DE +2.00 HASTA +35.00 M, INCLUYE TECNICO NIVEL II, CERTIFICADO.</t>
  </si>
  <si>
    <t>C2EXT-0371</t>
  </si>
  <si>
    <t>SERVICIO DE INSPECCIÓN CON ULTRASONIDO INDUSTRIAL EN DETECCIÓN DE FALLAS CON HAZ RECTO, CON RANGO DE ELEVACIÓN DE +0.00 HASTA +2.00 M, INCLUYE TECNICO NIVEL II, CERTIFICADO.</t>
  </si>
  <si>
    <t>C2EXT-0372</t>
  </si>
  <si>
    <t>SERVICIO DE INSPECCIÓN CON ULTRASONIDO INDUSTRIAL EN DETECCIÓN DE FALLAS CON HAZ RECTO, CON RANGO DE ELEVACIÓN DE +2.00 HASTA +35.00 M, INCLUYE TECNICO NIVEL II, CERTIFICADO.</t>
  </si>
  <si>
    <t>C2EXT-0373</t>
  </si>
  <si>
    <t>SERVICIO DE INSPECCIÓN CON ULTRASONIDO INDUSTRIAL EN DETECCIÓN DE FALLAS CON HAZ ANGULAR, CON RANGO DE ELEVACIÓN DE +0.00 HASTA +2.00 M, INCLUYE TECNICO NIVEL II, CERTIFICADO.</t>
  </si>
  <si>
    <t>C2EXT-0374</t>
  </si>
  <si>
    <t>SERVICIO DE INSPECCIÓN CON ULTRASONIDO INDUSTRIAL EN DETECCIÓN DE FALLAS CON HAZ ANGULAR, CON RANGO DE ELEVACIÓN DE +2.00 HASTA +35.00 M, INCLUYE TECNICO NIVEL II, CERTIFICADO.</t>
  </si>
  <si>
    <t>C2EXT-0375</t>
  </si>
  <si>
    <t>SERVICIO DE INSPECCIÓN CON LÍQUIDOS PENETRANTES, CON RANGO DE ELEVACIÓN DE +0.00 HASTA +2.00 M, INCLUYE TECNICO NIVEL II, CERTIFICADO.</t>
  </si>
  <si>
    <t>C2EXT-0376</t>
  </si>
  <si>
    <t>SERVICIO DE INSPECION CON LÍQUIDOS PENETRANTES, CON RANGO DE ELEVACIÓN DE +2.00 HASTA +35.00 M, INCLUYE TECNICO NIVEL II, CERTIFICADO.</t>
  </si>
  <si>
    <t>C2EXT-0377</t>
  </si>
  <si>
    <t>SERVICIO DE DICTAMEN TÉCNICO BASADO EN LA RECOPILACIÓN Y ANÁLISIS DE LA INFORMACIÓN OBTENIDA DE LAS PRUEBAS NO DESTRUCTIVAS, ESTABLECIENDO RECOMENDACIONES AVALADO POR INSPECTOR AWS</t>
  </si>
  <si>
    <t>C2EXT-0378</t>
  </si>
  <si>
    <t>SERVICIO DE INSPECCIÓN VISUAL DETALLADA, CON RANGO DE ELEVACIÓN DE +2.00 HASTA +35.00 M. INCLUYE PERSONAL CALIFICADO EN ROPE ACCESS N-II</t>
  </si>
  <si>
    <t>C2EXT-0379</t>
  </si>
  <si>
    <t>SERVICIO DE INSPECCIÓN CON PARTICULAS MAGNETICAS, CON RANGO DE ELEVACIÓN DE +2.00 HASTA +35.00 M. INCLUYE PERSONAL CALIFICADO EN ROPE ACCESS N-II</t>
  </si>
  <si>
    <t>C2EXT-0380</t>
  </si>
  <si>
    <t>SERVICIO DE INSPECCIÓN CON ULTRASONIDO INDUSTRIAL EN DETECCIÓN DE FALLAS CON HAZ RECTO, CON RANGO DE ELEVACIÓN DE +2.00 HASTA +35.00 M. INCLUYE PERSONAL CALIFICADO EN ROPE ACCESS N-II</t>
  </si>
  <si>
    <t>C2EXT-0381</t>
  </si>
  <si>
    <t>SERVICIO DE INSPECCIÓN CON ULTRASONIDO INDUSTRIAL EN DETECCIÓN DE FALLAS CON HAZ ANGULAR, CON RANGO DE ELEVACIÓN DE +2.00 HASTA +35.00 M. INCLUYE PERSONAL CALIFICADO EN ROPE ACCESS N-II</t>
  </si>
  <si>
    <t>C2EXT-0382</t>
  </si>
  <si>
    <t>SERVICIO DE INSPECCIÓN CON LÍQUIDOS PENETRANTES, CON RANGO DE ELEVACIÓN DE +2.00 HASTA +35.00 M. INCLUYE PERSONAL CALIFICADO EN ROPE ACCESS N-II</t>
  </si>
  <si>
    <t>C2EXT-0383</t>
  </si>
  <si>
    <t>SUMINISTRO, HABILITADO E INSTALACIÓN EN PATIO DE PREFABRICADOS DE TUBO OC-1321 mm x 44.45 mm  52" A BASE DE PLACA ROLADA DE (1 3/4" DE ESPESOR) CON SUPLEMENTOS: S-1, S-3, S-4 Y S-5. DE ACERO AL CARBON ESPECIFICACION API 2H  Gr. 50. INCLUYE: ACARREO, CARGA, DESCARGA, MANIOBRAS.</t>
  </si>
  <si>
    <t>C2EXT-0384</t>
  </si>
  <si>
    <t>SUMINISTRO, HABILITADO E INSTALACIÓN EN PATIO DE PREFABRICADOS DE PLACA 5/8" ESPESOR, ROLADA DE ACERO AL CARBON ESPECIFICACION ASTM A-572 Gr. 50,  INCLUYE: ACARREO, CARGA, DESCARGA, MANIOBRAS.</t>
  </si>
  <si>
    <t>C2EXT-0385</t>
  </si>
  <si>
    <t>SUMINISTRO, HABILITADO E INSTALACIÓN EN PATIO DE PREFABRICADOS DE PLACA 2" ESPESOR ROLADA DE ACERO AL CARBON ESPECIFICACION ASTM A-572 Gr. 50, INCLUYE: ACARREO, CARGA, DESCARGA, MANIOBRAS.</t>
  </si>
  <si>
    <t>C2EXT-0386</t>
  </si>
  <si>
    <t>SUMINISTRO, HABILITADO E INSTALACIÓN EN PATIO DE PREFABRICADOS DE PLACA 2" ESPESOR ROLADA DE ACERO AL CARBON ESPECIFICACION API 2H Gr. 50, INCLUYE: ACARREO, CARGA, DESCARGA, MANIOBRAS.</t>
  </si>
  <si>
    <t>C2EXT-0387</t>
  </si>
  <si>
    <t>SUMINISTRO, HABILITADO E INSTALACIÓN EN PATIO DE PREFABRICADOS DE PLACA LISA  DE 5/8" ESPESOR DE ACERO AL CARBON ESPECIFICACION ASTM A-572 Gr. 50, INCLUYE: ACARREO, CARGA, DESCARGA, MANIOBRAS.</t>
  </si>
  <si>
    <t>C2EXT-0388</t>
  </si>
  <si>
    <t>SUMINISTRO, HABILITADO E INSTALACIÓN EN PATIO DE PREFABRICADOS DE PLACA LISA DE 3/4" ESPESOR DE ACERO AL CARBON ESPECIFICACION ASTM A-572 Gr. 50, INCLUYE: ACARREO, CARGA, DESCARGA, MANIOBRAS.</t>
  </si>
  <si>
    <t>C2EXT-0389</t>
  </si>
  <si>
    <t>SUMINISTRO, HABILITADO E INSTALACIÓN EN PATIO DE PREFABRICADOS DE PLACA LISA DE  2" ESPESOR DE ACERO AL CARBON ESPECIFICACION ASTM A-572 Gr. 50, INCLUYE: ACARREO, CARGA, DESCARGA, MANIOBRAS.</t>
  </si>
  <si>
    <t>C2EXT-0390</t>
  </si>
  <si>
    <t>SUMINISTRO, HABILITADO E INSTALACIÓN EN PATIO DE PREFABRICADOS DE PLACA LISA DE 2" ESPESOR DE ACERO AL CARBON ESPECIFICACION API 2H Gr. 50, INCLUYE: ACARREO, CARGA, DESCARGA, MANIOBRAS.</t>
  </si>
  <si>
    <t>C2EXT-0391</t>
  </si>
  <si>
    <t>SUMINISTRO, HABILITADO E INSTALACIÓN EN PATIO DE PREFABRICADOS DE PLACA DE NEOPRENO 12.7 mm (1/2") DE ESPESOR, INCLUYE: ACARREO, CARGA, DESCARGA, MANIOBRAS.</t>
  </si>
  <si>
    <t>C2EXT-0392</t>
  </si>
  <si>
    <t>SUMINISTRO, HABILITADO E INSTALACIÓN EN PATIO DE PREFABRICADOS DE PLACA DE NEOPRENO 6.4 mm (1/4") DE ESPESOR., INCLUYE: ACARREO, CARGA, DESCARGA, MANIOBRAS.</t>
  </si>
  <si>
    <t>C2EXT-0393</t>
  </si>
  <si>
    <t>SUMINISTRO E INSTALACIÓN EN PATIO DE PREFABRICADOS DE TAPON CAPA ASME B16.9, DE ACERO AL CARBONO ASTM A234 GR. WPB, GALVANIZADO ASTM A153 Y ASTM A385, EXTREMOS BISELADOS, DE 4” DE DIAMETRO NPS (100 D), CED. 80., INCLUYE: ACARREO, CARGA, DESCARGA, MANIOBRAS.</t>
  </si>
  <si>
    <t>C2EXT-0394</t>
  </si>
  <si>
    <t>SUMINISTRO, HABILITADO E INSTALACIÓN EN PATIO DE PREFABRICADOS DE PLACA 1" ESPESOR ROLADA DE ACERO AL CARBON ESPECIFICACION API 2H Gr. 50, INCLUYE: ACARREO, CARGA, DESCARGA, MANIOBRAS.</t>
  </si>
  <si>
    <t>C2EXT-0395</t>
  </si>
  <si>
    <t>PTE-040-24</t>
  </si>
  <si>
    <t>SUMINISTRO, HABILITADO E INSTALACIÓN EN PATIO DE PREFABRICADOS DE TUBO OC-1067 mm x 31.75 mm (42" DIAMETRO x 1.250" DE ESPESOR)  A BASE DE PLACA ROLADA DE (1 1/4" DE ESPESOR) CON SUPLEMENTOS: S-1, S-3, S-4 Y S-5. DE ACERO AL CARBON ESPECIFICACION API 2H Gr. 50, INCLUYE: ACARREO, CARGA, DESCARGA, MANIOBRAS.</t>
  </si>
  <si>
    <t>C2EXT-0396</t>
  </si>
  <si>
    <t>SUMINISTRO, HABILITADO E INSTALACIÓN EN PATIO DE PREFABRICADOS DE DE PLACA LISA DE 3/8" ESPESOR DE ACERO AL CARBON ESPECIFICACION ASTM-A572 GR.50. INCLUYE: ACARREO, CARGA, DESCARGA, MANIOBRAS</t>
  </si>
  <si>
    <t>C2EXT-0397</t>
  </si>
  <si>
    <t>AKAL-TE</t>
  </si>
  <si>
    <t>SUMINISTRO, HABILITADO E INSTALACIÓN EN PATIO DE PREFABRICADOS DE PLACA LISA DE 1/2" ESPESOR DE ACERO AL CARBON ESPECIFICACION ASTM-A572 GR.50. INCLUYE: ACARREO, CARGA, DESCARGA, MANIOBRAS.</t>
  </si>
  <si>
    <t>C2EXT-0398</t>
  </si>
  <si>
    <t>SUMINISTRO, HABILITADO E INSTALACIÓN EN PATIO DE PREFABRICADOS DE PLACA LISA DE 1" ESPESOR DE ACERO AL CARBON ESPECIFICACION ASTM-A572 GR.50. INCLUYE: ACARREO, CARGA, DESCARGA, MANIOBRAS</t>
  </si>
  <si>
    <t>C2EXT-0399</t>
  </si>
  <si>
    <t>SUMINISTRO, HABILITADO E INSTALACIÓN EN PATIO DE PREFABRICADOS DE PLACA LISA DE 1 1/2" ESPESOR DE ACERO AL CARBON ESPECIFICACION ASTM-A572 GR.50. INCLUYE: ACARREO, CARGA, DESCARGA, MANIOBRAS.</t>
  </si>
  <si>
    <t>C2EXT-0400</t>
  </si>
  <si>
    <t>SUMINISTRO E INSTALACIÓN EN PATIO DE PREFABRICADOS DE NEOPRENO DE 1/4" DE ESPESOR.</t>
  </si>
  <si>
    <t>C2EXT-0401</t>
  </si>
  <si>
    <t>AYATSIL-B</t>
  </si>
  <si>
    <t>SUMINISTRO E INSTALACIÓN EN PATIO DE PREFABRICADOS DE NEOPRENO DE 1/2" DE ESPESOR.</t>
  </si>
  <si>
    <t>C2EXT-0402</t>
  </si>
  <si>
    <t>SUMINISTRO, HABILITADO E INSTALACIÓN EN PATIO DE PREFABRICADOS DE VIGA IR-305 mm x 44.5 kg/m DE ACERO AL CARBON ASTM A-572, INCLUYE: ACARREO, CARGA, DESCARGA, MANIOBRAS.</t>
  </si>
  <si>
    <t>C2EXT-0403</t>
  </si>
  <si>
    <t>SUMINISTRO, HABILITADO E INSTALACIÓN EN PATIO DE PREFABRICADOS DE VIGA IR-457 mm x 59.8 kg/m DE ACERO AL CARBON ASTM A-572, INCLUYE: ACARREO, CARGA, DESCARGA, MANIOBRAS.</t>
  </si>
  <si>
    <t>C2EXT-0404</t>
  </si>
  <si>
    <t>SUMINISTRO, HABILITADO E INSTALACIÓN EN PATIO DE PREFABRICADOS DE PLACA DE 5/16" DE ESPESOR ACERO AL CARBON ASTM-A-36 , INCLUYE: ACARREO, CARGA, DESCARGA, MANIOBRAS.</t>
  </si>
  <si>
    <t>C2EXT-0405</t>
  </si>
  <si>
    <t>SUMINISTRO E INSTALACION EN PATIO DE PREFABRICADOS DE TORNILLO DE CABEZA HEXAGONAL DE ALTA RESISTENCIA ASTM A-307 DE 6.35 mm DE DIAMETRO x 102 mm DE LONGITUD (1/4" DE DIAMETRO x 4" LONGITUD.),CON 2 TUERCAS HEXAGONALES ASTM A 194 Gr. 2H Y ROLDANAS PLANAS ASTM F 436.</t>
  </si>
  <si>
    <t>C2EXT-0406</t>
  </si>
  <si>
    <t>SUMINISTRO E INSTALACION EN PATIO DE PREFABRICADOS DE ESPÁRRAGO DE ∅=19.05 mm (3/4'') DIAMETRO x 100 mm (3.93") DE LONGITUD DE ACERO ASTM A 193 Gr. B7 CON 2 TUERCAS HEXAGONALES ASTM A 194 Gr. 2H DE 18.5 mm DE ESPESOR  Y ROLDANAS PLANAS ASTM F 436.</t>
  </si>
  <si>
    <t>C2EXT-0407</t>
  </si>
  <si>
    <t>SUMINISTRO E INSTALACION EN PATIO DE PREFABRICADOS DE ESPÁRRAGO DE ∅=19.05 mm (3/4'') DIAMETRO x 127 mm (5") DE LONGITUD DE ACERO ASTM A 193 Gr. B7 CON 2 TUERCAS HEXAGONALES ASTM A 194 Gr. 2H DE 17.3 mm DE ESPESOR  Y ROLDANAS PLANAS ASTM F 436.</t>
  </si>
  <si>
    <t>C2EXT-0408</t>
  </si>
  <si>
    <t>SUMINISTRO E INSTALACION EN PATIO DE PREFABRICADOS DE ESPÁRRAGO DE ∅=25.4 mm (1'') DIAMETRO x 120 mm (4.72") DE LONGITUD DE ACERO ASTM A 193 Gr. B7 CON 2 TUERCAS HEXAGONALES ASTM A 194 Gr. 2H DE 24.9 mm DE ESPESOR  Y ROLDANAS PLANAS ASTM F 436.</t>
  </si>
  <si>
    <t>C2EXT-0409</t>
  </si>
  <si>
    <t>SUMINISTRO E INSTALACION EN PATIO DE PREFABRICADOS DE ESPÁRRAGOS DE ∅=38 mm (1.5'') DIAMETRO x 575 mm (22.64") DE LONGITUD DE ACERO ASTM A 193 Gr. B7 CON 2 TUERCAS HEXAGONALES ASTM A 194 Gr. 2H. DE 38.1 mm DE ESPESOR.</t>
  </si>
  <si>
    <t>C2EXT-0410</t>
  </si>
  <si>
    <t>SUMINISTRO E INSTALACIÓN EN PATIO DE PREFABRICADOS DE NIPOFLANGE DE ACERO AL CARBONO ASTM A105, DE ACUERDO AL ASME B31.3 Y ASME B 16.5. LOS MATERIALES DEBEN CUMPLIR CON ANSI/NACE MR-0175, ISO 15156-1 Y 2, Y EL ESTÁNDAR PEMEX-EST-TD-032-P2-2019, DE 1 1/2” DE DIAMETRO x 6’’ DE LONGITUD, CLASE 600, CED. 160, EXTREMO BISELADOS x BRIDADO (R.F.). INCLUYE: ACARREO, CARGA, DESCARGA, MANIOBRAS.</t>
  </si>
  <si>
    <t>C2EXT-0411</t>
  </si>
  <si>
    <t>SUMINISTRO E INSTALACIÓN EN PATIO DE PREFABRICADOS DE NIPLE DE ACERO AL CARBÓN 3/4” DE DIAMETRO NOMINAL CÉDULA XXS, ASTM A106 GR. B SIN COSTURA, LONGITUD: 102 MM (4 IN), EXTREMOS PLANOS, ASME B36.19M, NACE MR0175/ISO 15156, INCLUYE: ACARREO, CARGA, DESCARGA, MANIOBRAS.</t>
  </si>
  <si>
    <t>C2EXT-0412</t>
  </si>
  <si>
    <t>SUMINISTRO, HABILITADO E INSTALACIÓN EN PATIO DE PREFABRICADOS DE TUBO DE ACERO AL CARBÓN DE 2" DE DIAMETRO DE ACERO AL CARBON A-106, CÉDULA 40, ESPESOR DE PARED 0.154, INCLUYE: ACARREO, CARGA, DESCARGA, MANIOBRAS.</t>
  </si>
  <si>
    <t>BME-3801-045-2023</t>
  </si>
  <si>
    <t>OT-GRZ-801-23-018-Mulach-A</t>
  </si>
  <si>
    <t>C2EXT-0413</t>
  </si>
  <si>
    <t>MULACH-A</t>
  </si>
  <si>
    <t>SUMINISTRO, HABILITADO E INSTALACIÓN EN PATIO DE PREFABRICADOS DE VIGA IR-12 X 50 mm (310 X 74.4 kg/m) DE ACERO AL CARBON ASTM A-36, INCLUYE: ACARREO, CARGA, DESCARGA, MANIOBRAS.</t>
  </si>
  <si>
    <t xml:space="preserve">TON </t>
  </si>
  <si>
    <t>C2EXT-0414</t>
  </si>
  <si>
    <t>SUMINISTRO, HABILITADO E INSTALACIÓN EN PATIO DE PREFABRICADOS DE VIGA IR-30 X 108 mm (758 X 160.5 kg/m) DE ACERO AL CARBON ASTM A-36, INCLUYE: ACARREO, CARGA, DESCARGA, MANIOBRAS.</t>
  </si>
  <si>
    <t>C2EXT-0415</t>
  </si>
  <si>
    <t>SUMINISTRO, HABILITADO E INSTALACIÓN EN PATIO DE PREFABRICADOS DE VIGA IR-30 X 124 mm (766 X 174.9 kg/m) DE ACERO AL CARBON ASTM A-36, INCLUYE: ACARREO, CARGA, DESCARGA, MANIOBRAS.</t>
  </si>
  <si>
    <t>C2EXT-0416</t>
  </si>
  <si>
    <t>SUMINISTRO, HABILITADO E INSTALACIÓN EN PATIO DE PREFABRICADOS DE TUBO DE 24" DE DIAMETRO, ESPESOR 1.125", EXTREMOS BISELADOS, ESPECIFICACION SME B36.10M / ISO 3183 L245NS (API SPEC. 5L Gr. BNS) PSL2 SAW, NACE MR-0175/ISO 15156.  INCLUYE: ACARREO, CARGA, DESCARGA, MANIOBRAS.</t>
  </si>
  <si>
    <t>C2EXT-0417</t>
  </si>
  <si>
    <t>UDC-NHA2-GBP-031</t>
  </si>
  <si>
    <t>BATIMETRIA DE FONDO MARINO EN PUERTO EL ESPADAÑAL FRONTERA TABASCO DESDE MUELLE A DESEMBOCADURA DEL RIO GRIJALVA PARA TRANSITO DE CHALAN REMOLCADOR CON PAQUETES DE MAQUINAS Y PAQUETE HABITACIONAL</t>
  </si>
  <si>
    <t>BME-3801-070-2025</t>
  </si>
  <si>
    <t>OT-801-25-076-UDC-NHA2-GS-063</t>
  </si>
  <si>
    <t>C2EXT-0418</t>
  </si>
  <si>
    <t>SERVICIO DE REMOLCADOR DE BAJO CALADO PARA REMOLQUE DE CHALAN EN PUERTO EL ESPADAÑAL FRONTERA TABASCO CON PAQUETES DE MAQUINAS Y PAQUETE HABITACIONAL</t>
  </si>
  <si>
    <t>C2EXT-0419</t>
  </si>
  <si>
    <t>SERIVICIO DE DESASOLVE Y DRAGADO DE  PUERTO EL ESPADAÑAL FRONTERA TABASCO PARA EL REMOLQUE DE CHALAN CON CARGA DE PAQUETES HABITACIONAL</t>
  </si>
  <si>
    <t>C2EXT-0420</t>
  </si>
  <si>
    <t>SERVICIO DE GRUA PARA IZAJES DE 02 PAQUETES 01 PAQUETE HABITACIONAL DE PESO : 521 TONS Y 01 PAQUETE DE MAQUINAS DE  562 TON  EN PUERTO ESPADAÑAL DE FRONTERA TABASCO</t>
  </si>
  <si>
    <t>C2EXT-0421</t>
  </si>
  <si>
    <t>SERVICIO DE GRUA PARA IZAJES DE 02 PAQUETES 01 PAQUETE HABITACIONAL DE PESO : 521 TONS Y 01 PAQUETE DE MAQUINAS DE  562 TON EN PUERTO DE LA TERMINAL MARITIMA DOS BOCAS DE CHALAN HACIA SU TRANSPORTE FINAL</t>
  </si>
  <si>
    <t>C2EXT-0422</t>
  </si>
  <si>
    <t>SERVICIO DE AGENCIAMIENTO MARITIMO DE PAREJA CHALAN-REMOLCADOR DURANTE LOS MOVIMIENTOS DENTRO DEL MUELLE PUERTO EL ESPADAÑAL FRONTERA TABASCO  PARA EL ACOMODO DE LA EMBARCACION PARA REALIZAR LA CARGA DE PAQUETES DE MAQUINAS Y PAQUETE HABITACIONAL INCLUYE: REMOLQUES, DERECHOS DE PUERTO, CAPITANIA, PILOTOS DE APOYO, LANCHAJE, GASTOS ADMINISTRATIVOS, (NO INCLUYE TIEMPO DE OPERACION O EN ESPERA DE LA PAREJA CHALAN-REMOLCADOR)</t>
  </si>
  <si>
    <t>C2EXT-0423</t>
  </si>
  <si>
    <t>SERVICIO DE AGENCIAMIENTO MARITIMO DE PAREJA CHALAN-REMOLCADOR CON CARGA DURANTE LA ENTRADA AL PUERTO DE DOS BOCAS TABASCO.CON CARGA PARA DESEMBARQUE DE  PAQUETES DE MAQUINAS Y PAQUETE HABITACIONAL,INCLUYE: REMOLQUES, DERECHOS DE PUERTO, CAPITANIA, PILOTOS DE APOYO, LANCHAJE, GASTOS ADMINISTRATIVOS, (NO INCLUYE TIEMPO DE OPERACION O EN ESPERA DE LA PAREJA CHALAN-REMOLCADOR)</t>
  </si>
  <si>
    <t>C2EXT-0424</t>
  </si>
  <si>
    <t xml:space="preserve">SERVICIO DE INSPECCION DE GARANTIA MARINA (WARRANTY SURVEYOR)  COLOCACION DE SEGUROS MARINOS , DURANCARGA DE PAQUETES HABITACIONAL Y CUARTO DE MAQUINA EN FRONTERA Y TRANSITO A TMDB. </t>
  </si>
  <si>
    <t>C2EXT-0425</t>
  </si>
  <si>
    <t>MOVILIZACION DE 01 PAQUETE HABITACIONAL DE PESO : 521 TONS Y 01 PAQUETE DE MAQUINAS DE  562 TON  DEL PUERTO ESPADAÑAL DE FRONTERA TABASCO HACIA LA TERMINAL MARITIMA DOS BOCAS,, INCLUYE LOS TRABAJOS NECESARIOS PARA SU MOVILIZACION, ASEGURAMIENTO  Y NAVEGACION DESDE EL MUELLE ESPADAÑAL A LA TMDB (BATIMETRIA Y DESASOLVE ), LOS ANÁLISIS NECESARIOS PARA LA RECEPCIÓN DE LOS PAQUETES EN DOS BOCAS, MUELLE SUR 2 (MECÁNICA DE SUELOS, BATIMETRÍA DE LA DÁRSENA, CONDICIÓN DE INFRAESTRUCTURA DE MUELLE) , ASI COMO SISTEMA DE CARGA Y DESCARGA</t>
  </si>
  <si>
    <t>C2EXT-0426</t>
  </si>
  <si>
    <t>SERVICIO DE INSPECCION DE GARANTIA MARINA (WARRANTY SURVEYOR) PARA LAS ACTIVIDADES DE CARGA, AMARRE, TRANSPORTE Y DESCARGA DE CHALAN CON EQUIPOS DE PERFORACION.</t>
  </si>
  <si>
    <t>BME-3801-069-2025</t>
  </si>
  <si>
    <t>OT-801-25-075-UDC-NHA2-DP-064</t>
  </si>
  <si>
    <t>C2EXT-0427</t>
  </si>
  <si>
    <t>SERVICIO DE REMOLQUE DOLLYS PARA REALIZAR LA DESCARGA Y TRANSPORTE A SITIO FINAL DE 04 SECCIONES DE UN PAQUETE DE PERFORACION (SECCION DE LIQUIDOS, PRESAS, SILOS Y MAQUINAS)  EN EL MUELLE SUR 2 DE LA TERMINAL MARITIMA DE DOS BOCAS TAB., CON PESO APROXIMADO TOTAL DE 618 TONELADAS METRICAS, INCLUYE: MOVILIZACION Y DESMOVILIZACION DE EQUIPO DOLLYS Y PERSONAL TECNICO, ASI COMO LAS PLACAS DE TRANSICIÓN, (TAPETES), NECESARIAS PARA TRANSITO DE LOS DOLLYS ENTRE CHALAN Y SITIO DE DISPOSICION FINAL DE LAS SECCIONES.</t>
  </si>
  <si>
    <t>C2EXT-0428</t>
  </si>
  <si>
    <t>SERVICIO DE AGENCIAMIENTO MARITIMO DE PAREJA CHALAN-REMOLCADOR PARA MOVIMIENTOS INTERNOS Y EL ZARPE DEL MUELLE API DE SEYBAPLAYA CAMPECHE, TRANSPORTANDO SECCIONES DE PAQUETE DE PERFORACION, INCLUYE: DERECHOS DE PUERTO, CAPITANIA, PILOTOS DE APOYO, LANCHAJE, GASTOS ADMINISTRATIVOS, (NO INCLUYE TIEMPO DE OPERACION O EN ESPERA DE LA PAREJA CHALAN-REMOLCADOR).</t>
  </si>
  <si>
    <t>C2EXT-0429</t>
  </si>
  <si>
    <t>SERVICIO DE AGENCIAMIENTO MARITIMO DE PAREJA CHALAN-REMOLCADOR PARA EL INGRESO Y MOVIMIENTOS INTERNOS EN EL MUELLE API DE SEYBAPLAYA CAMPECHE  PARA REALIZAR LA CARGA DE 04 SECCIONES DE UN PAQUETE DE PERFORACION, INCLUYE: DERECHOS DE PUERTO, CAPITANIA, PILOTOS DE APOYO, LANCHAJE, GASTOS ADMINISTRATIVOS, (NO INCLUYE TIEMPO DE OPERACION O EN ESPERA DE LA PAREJA CHALAN-REMOLCADOR).</t>
  </si>
  <si>
    <t>C2EXT-0430</t>
  </si>
  <si>
    <t>SERVICIO DE AGENCIAMIENTO MARITIMO DE PAREJA CHALAN-REMOLCADOR PARA MOVIMIENTOS INTERNOS Y EL ZARPE DEL MUELLE SUR 2 EN LA TERMINAL MARITMA DE DOS BOCAS TABASCO, POSTERIOR AL DEEMBARQUE DE LAS SECCIONES DEL PAQUETE DE PERFORACION, INCLUYE: DERECHOS DE PUERTO, CAPITANIA, PILOTOS DE APOYO, LANCHAJE, GASTOS ADMINISTRATIVOS, (NO INCLUYE TIEMPO DE OPERACION O EN ESPERA DE LA PAREJA CHALAN-REMOLCADOR).</t>
  </si>
  <si>
    <t>C2EXT-0431</t>
  </si>
  <si>
    <t>SERVICIO DE AGENCIAMIENTO MARITIMO DE PAREJA CHALAN-REMOLCADOR PARA EL INGRESO Y MOVIMIENTOS INTERNOS EN EL MUELLE SUR 2 EN LA TERMINAL MARITMA DE DOS BOCAS TABASCO PARA REALIZAR LA DESCARGA DE 04 SECCIONES DE UN PAQUETE DE PERFORACION, INCLUYE: DERECHOS DE PUERTO, CAPITANIA, PILOTOS DE APOYO, LANCHAJE, GASTOS ADMINISTRATIVOS, (NO INCLUYE TIEMPO DE OPERACION O EN ESPERA DE LA PAREJA CHALAN-REMOLCADOR).</t>
  </si>
  <si>
    <t>C2EXT-0432</t>
  </si>
  <si>
    <t>SERVICIO DE AGENCIAMIENTO MARITIMO DE PAREJA CHALAN-REMOLCADOR PARA EL ZARPE E INGRESO AL MUELLE DEL ARMADOR, INCLUYE: DERECHOS DE PUERTO, CAPITANIA, PILOTOS DE APOYO, LANCHAJE, GASTOS ADMINISTRATIVOS, (NO INCLUYE TIEMPO DE OPERACION O EN ESPERA DE LA PAREJA CHALAN-REMOLCADOR).</t>
  </si>
  <si>
    <t>C2EXT-0433</t>
  </si>
  <si>
    <t>SERVICIO DE MECANICA DE SUELO EN UNA AREA DE 30 m DE ANCHO POR 80 m, EL ANALISIS SE REQUIERE PARA OBTENER EL DATO DE LA FIRMEZA DEL SUELO Y VER SU COMPORTAMIENTO BAJO LA CARGA QUE ESTARA DURANTE EL PERIODO DE RESGUARDO DE LOS EQUIPOS.</t>
  </si>
  <si>
    <t>C2EXT-0434</t>
  </si>
  <si>
    <t>SERVICIO DE CARGA    01 PAQUETE DE MAQUINAS DE  562 TON  MEDIANTE  CARROS AUTOPROPULSADOS  (SPTS), DESDE DE PIE DE MUELLE DE  DE ESPADAÑAL (fRONTERA TABASCO) HACIA EL CHALAN   APROX 9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</si>
  <si>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C2EXT-0435</t>
  </si>
  <si>
    <t>SERVICIO DE DESCARGA DE   01 PAQUETE DE MAQUINAS DE  562 TON  MEDIANTE  CARROS AUTOPROPULSADOS  (SPTS), DESDE CHALAN  EN EL MUELLE 2 SUR DE LA TERMINAL MARITIMA 02 BOCAS  HACIA SU SITIO FINAL , UNA DISTANCIA APROXIMADA DE   MTS APROX  300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</si>
  <si>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C2EXT-0436</t>
  </si>
  <si>
    <t>MOVILIZACIÓN DE EQUIPOS DE LEVANTE Y TRANSPORTE AUTOPROPULSADOS DOLLYES</t>
  </si>
  <si>
    <t>C2EXT-0437</t>
  </si>
  <si>
    <t>DESMOVILIZACIÓN DE EQUIPOS DE LEVANTE Y TRANSPORTE AUTOPROPULSADOS DOLLYES</t>
  </si>
  <si>
    <t>C2EXT-0438</t>
  </si>
  <si>
    <t>SERVICIO DE CHALAN Y REMOLCADOR PARA MOVILIZACION 02 PAQUETES 01 PAQUETE HABITACIONAL DE PESO : 521 TONS Y 01 PAQUETE DE MAQUINAS DE  562 TON , DESDE EL MUELLE DEL PUERTO ESPADAÑAL EN FRONTERA TABASCO, HASTA LA TERMINAL MARITIMA DE DOS BOCAS MUELLE SUR</t>
  </si>
  <si>
    <t>C2EXT-0439</t>
  </si>
  <si>
    <t>INGENIERIA NAVAL PARA DISTRIBUCIÓN DE CARGA Y LASTRADO</t>
  </si>
  <si>
    <t>C2EXT-0440</t>
  </si>
  <si>
    <t>BATIMETRIA DE FONDO MARINO EN PUERTO DE LA TERMINAL MARITIMA DOS BOCAS  , EN EL MUELLE SUR 2</t>
  </si>
  <si>
    <t>C2EXT-0441</t>
  </si>
  <si>
    <t>ESTUDIO GEOTECNICO MECANICA DE SUELO EN UNA AREA DE 30 m DE ANCHO POR 80 m, EL ANALISIS SE REQUIERE PARA OBTENER EL DATO DE LA FIRMEZA DEL SUELO Y VER SU COMPORTAMIENTO BAJO LA CARGA QUE ESTARA DURANTE EL PERIODO DE RESGUARDO DE LOS EQUIPOS. EN LA TEMRINAL MARITIMA DOS BOCAS MUELLE SUR 2</t>
  </si>
  <si>
    <t>C2EXT-0442</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</si>
  <si>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</si>
  <si>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C2EXT-0443</t>
  </si>
  <si>
    <t>MANIOBRAS CON EL USO DE 03 GRUAS PARA LA CARGA, MOVILIZACION Y EMBARQUE DE ESTRUCTURA ADOSADA PARA CONDUTORES DE POZOS DE LA PLATAFORMA TARATUNICH-301, CON UNA LONGITUD DE 57 MTS. DE LARGO, 22 DE ANCHO Y UN PESO APROXIMADO DE 179 TM,  DEL PATIO DE PREFABRICADOS DEL GARZPROM-2 A LA CUBIERTA DE CHALAN CON UNA DISTANCIA DE RECORRIDO DE 80 MTS APROX. INCLUYE: PAGO DEL PERMISO PARA EL USO DE INFRAESTRCUTURA DEL RECINTO PORTUARIO Y ACCESO AL AREA FEDERAL, ACCESO DEL PERSONAL Y EQUIPO DURANTE REALIZACION DE LOS ACTIVIDADES, ENTREGA DE REPORTES Y EVIDENCIA FOTOGRAFICA.(NO INCLUYE LOS SIGUIENTES SERVICIOS: INGENIERIA DE SEGUROS MARINOS, SUMINISTRO E INSTALACION DE SEGUROS MARINOS, GARANTIA MARINA DE LA CARGA, ESTANCIAS, AGENCIAMIENTOS Y TIEMPOS DE ESPERA DE LA PAREJA CHALAN-REMOLCADOR)</t>
  </si>
  <si>
    <t>C2EXT-0444</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</si>
  <si>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</si>
  <si>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C2EXT-0445</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</si>
  <si>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</si>
  <si>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C2EXT-0446</t>
  </si>
  <si>
    <t>SERVICIO DE RETIRO Y REUBICACIÓN DE MATERIALES MISCELÁNEOS LOCALIZADOS EN ÁREA ASIGNADA PARA LA DISPOSICIÓN FINAL DE LOS PAQUETES DE PERFORACIÓN EN UN ÁREA MÍNIMA DE 2400 M2 Y MÁXIMA DE 2600 M2 EN EL PATIO ALEDAÑO AL MUELLE SUR 2 DE LA TERMINAL MARÍTIMA DE DOS BOCAS, PARAÍSO TAB., INCLUYE EQUIPOS PARA CARGA Y MOVILIZACIÓN DE LOS MATERIALES A UNA DISTANCIA MÁXIMA DE 250 MTS. A LA REDONDA DEL SITIO ACTUAL DE LOS MATERIALES Y EQUIPO PARA LA NIVELACIÓN DEL ÁREA PARA COLOCACIÓN DE LOS PAQUETES, ENTREGA DE REPORTE FINAL Y EVIDENCIAS DE LAS ACTIVIDADES.</t>
  </si>
  <si>
    <t>C2EXT-0447</t>
  </si>
  <si>
    <t>SERVICIO DE LEVANTAMIENTO TOPOGRÁFICO, (ESTUDIOS BATIMÉTRICOS), EN CANAL DE NAVEGACIÓN HACIA EL MUELLE 2 SUR EN LA TERMINAL MARÍTIMA DE DOS BOCAS PARA VERIFICAR EL TIRANTE DE AGUA Y RELIEVE DE LECHO MARINO EN LINEA DE NAVEGACIÓN PARA EL INGRESO DE PAREJA CHALAN-REMOLCADOR CON PAQUETES DE PERFORACIÓN, INCLUYE: MOVILIZACIÓN Y DESMOVILIZACIÓN DE LA EMBARCACIÓN DE APOYO, EQUIPOS Y PERSONAL PARA REALIZAR EL LEVANTAMIENTO TOPOGRÁFICO, CALIBRACIÓN DE EQUIPOS, REPORTE FOTOGRÁFICO Y REPORTE FINAL DE HALLAZGOS.</t>
  </si>
  <si>
    <t>C2EXT-0448</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</si>
  <si>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</si>
  <si>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C2EXT-0449</t>
  </si>
  <si>
    <t>SERVICIO PARA AMADRINAR CON REMOLCADOR A CHALAN DURANTE SU ESTANCIA EN POSICIÓN PERPENDICULAR CON EL MUELLE 15 PARA PODER REALIZAR LA CARGA DE LA ESTRUCTURA ADOSADA DE TARATUNICH, INCLUYE: TRÁMITES ADMINISTRATIVOS, SERVICIO DE PILOTOS, GASTOS PORTUARIOS</t>
  </si>
  <si>
    <t>C2EXT-0450</t>
  </si>
  <si>
    <t>REMOLCADOR DE BAJO CALADO PARA EL INGRESO Y RETIRO DE CHALAN A TRAVÉS DEL CANAL DE NAVEGACIÓN DENTRO DEL RECINTO PORTUARIO API CARMEN, INCLUYE: TRÁMITES ADMINISTRATIVOS.</t>
  </si>
  <si>
    <t>C2EXT-0451</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</si>
  <si>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</si>
  <si>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BME-3801-006-2025</t>
  </si>
  <si>
    <t>OT-801-25-05.1-TARATUNICH-301</t>
  </si>
  <si>
    <t>C2EXT-0452</t>
  </si>
  <si>
    <t xml:space="preserve">   PTE-006-2025</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</si>
  <si>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</si>
  <si>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</si>
  <si>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</si>
  <si>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</si>
  <si>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</si>
  <si>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</si>
  <si>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</si>
  <si>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C2EXT-0456</t>
  </si>
  <si>
    <t>SERVICIO DE ESTABILIDAD DE CHALAN PLANO MEDIANTE EQUIPO DE BOMBEO DE ALTO CAUDAL DURANTE MANIOBRA DE CARGA DE ESTRUCTURA ADOSADA, INCLUYE: MANGUERAS, CONEXIONES, COMBUSTIBLE DIESEL, OPERADOR ESPECIALIZADO PARA OPERAR LAS 24 HORAS DEL DÍA</t>
  </si>
  <si>
    <t>C2EXT-0457</t>
  </si>
  <si>
    <t>SERVICIO DE LIMPIEZA DE LOS TANQUES DE LASTRE DEL CHALAN QUE HAYAN SIDO UTILIZADOS PARA LASTRADO DURANTE EL ESTABILIZADO PARA LA CARGA, ZARPE Y NAVEGACION DEL CHALAN CON LA ESTRUCTURA ADOSADA</t>
  </si>
  <si>
    <t>C2EXT-0458</t>
  </si>
  <si>
    <t xml:space="preserve">
SERVICIO DE INGENIERIA NAVAL PARA CALCULO DE LASTRADO, DESLASTRADO Y ESTABILIZADO DE CHALAN PARA LA CARGA, ZARPE, NAVEGACION Y RECUPERACION DE ESTRUCTURA ADOSADA COSTA AFUERA
</t>
  </si>
  <si>
    <t>C2EXT-0459</t>
  </si>
  <si>
    <t xml:space="preserve">
SERVICIO DE ACTUALIZACION DE INGENIERIA DE SEGUROS MARINOS POR EL CAMBIO DE CHALAN
</t>
  </si>
  <si>
    <t>C2EXT-0460</t>
  </si>
  <si>
    <t xml:space="preserve">
SERVICIO DE RENTA DE BOMBAS PARA EL LASTRADO DE CHALAN, DE ACUERDO CON LA INGENIERA
</t>
  </si>
  <si>
    <t>C2EXT-0461</t>
  </si>
  <si>
    <t>SERVICIO DE LIMPIEZA DE TANQUES DE LASTRE DE CHALAN, POSTERIOR AL RETORNO DE CHALAN A MUELLE DE ARMADOR</t>
  </si>
  <si>
    <t>C2EXT-0462</t>
  </si>
  <si>
    <t>SERVICIO DE AGENCIAMIENTO MARITIMO DE REMOLCADOR LIEBE TIDE DURANTE LA ENTRADA AL MUELLE DE TAMPICO, TAMAULIPAS, PARA (QUE ACTIVIDAD REALIZO), INCLUYE:DERECHOS DE PUERTO, CAPITANIA,  LANCHAJE, GASTOS ADMINISTRATIVOS, (NO INCLUYE TIEMPO DE OPERACION O EN ESPERA DE LA PAREJA CHALAN REMOLCADOR)</t>
  </si>
  <si>
    <t>C2EXT-0463</t>
  </si>
  <si>
    <t>OT-5.1</t>
  </si>
  <si>
    <t>SERVICIO DE ESTANCIA MARITIMO DE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</si>
  <si>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C2EXT-0464</t>
  </si>
  <si>
    <t>SERVICIO DE AGENCIAMIENTO MARITIMO DE LA PAREJA CHALAN JMC 2515 -REMOLCADOR LIEBE TIDE DURANTE LA ENTRADA AL MUELLE DE TAMPICO, TAMAULIPAS, PARA (QUE ACTIVIDAD REALIZO), INCLUYE:DERECHOS DE PUERTO, CAPITANIA,  LANCHAJE, GASTOS ADMINISTRATIVOS, (NO INCLUYE TIEMPO DE OPERACION O EN ESPERA DE LA PAREJA CHALAN REMOLCADOR)</t>
  </si>
  <si>
    <t>C2EXT-0465</t>
  </si>
  <si>
    <t>SERVICIO DE AGENCIAMIENTO MARITIMO DE REMOLCADOR LIEBE TIDE DURANTE LA SALIDA DEL MUELLE DE TAMPICO, TAMAULIPAS, CON DESTINO AL MUELLE DE LA TERMINAL MARITIMA DOS BOCAS, TABASCO. PARA (QUE ACTIVIDAD REALIZO), INCLUYE:DERECHOS DE PUERTO, CAPITANIA,  LANCHAJE, GASTOS ADMINISTRATIVOS, (NO INCLUYE TIEMPO DE OPERACION O EN ESPERA DE LA PAREJA CHALAN REMOLCADOR)</t>
  </si>
  <si>
    <t>C2EXT-0466</t>
  </si>
  <si>
    <t>C2EXT-0467</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</si>
  <si>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</si>
  <si>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C2EXT-0468</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</si>
  <si>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</si>
  <si>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C2EXT-0469</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</si>
  <si>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</si>
  <si>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C2EXT-0470</t>
  </si>
  <si>
    <t>DESARROLLO DE IMAGENES RENDERIZADAS EN 3D PARA OBRA EN INSTALACIONES MARINAS DE PEP EN EL GOLFO DE MEXICO</t>
  </si>
  <si>
    <t>C2EXT-0471</t>
  </si>
  <si>
    <t>SIMULACIÓN GRAFICA EN TRES DIMENSIONES (VIDEO) PARA OBRA DE INSTALACIONES MARINAS DE PEP EN EL GOLFO DE MÉXICO.</t>
  </si>
  <si>
    <t>C2EXT-0472</t>
  </si>
  <si>
    <t>SUMINISTRO, HABILITADO E INTALACION DE ELEMENTOS ESTRUCTURALES TIPO IR-457mm x 74.5 Kg/m PARA EL SISTEMA DE PISO EN LA PLANTA ESTRUCTURAL N.T.E. (+) 20.700, ESPECIFICACIÓN ASTM A572 GR.50, INCLUYE: REJILLA ELECTROFORJADA DE 7.8mm x 31.8mm DE ESP; PLACA ANTIDERRAPANTE DE 6.4mm DE ESP; ASI COMO EL ACARREO, CARGA Y DESCARGA DE MATERIAL DESDE EL ALMACÉN DEL CONTRATISTA AL SITIO DE INSTALACIÓN DE LA PLATAFORMA, MANO DE OBRA, EQUIPO, HERRAMIENTA Y CONSUMIBLES, LIMPIEZA DE MATERIAL SOBRANTE DEL ÁREA DE TRABAJO. ISOMETRICO DE REFERENCIA D-801.061-AYA-C-G-836 Y D-801.061-AYA-C-G-839.</t>
  </si>
  <si>
    <t>C2EXT-0473</t>
  </si>
  <si>
    <t>CANTILIVER DE AYATSIL-C E-II</t>
  </si>
  <si>
    <t>SUMINISTRO Y HABILITADO DE ELEMENTOS ESTRUCTURALES PARA EL REFORZAMIENTO DEL SISTEMA DE PISO EN LA PLANTA ESTRUCTURAL N.T.E. (+) 20.243, A BASE DE PERFILESTRUCTURAL TIPO IS-457 mm x 51 mm / 889 mm x 42 mm.  ESPECIFICACIÓN ASTM A-36, ASI COMO EL PREABRICADO DE ELEMENTOS ESTRUCTURALES A BASE DE OC-610 mm x 31.8 mm, OC-406 mm x 9.5 mm, OC-508 mm x 25.4 mm, ASI COMO PLACA DE SACRIFICIO PLACA LISA ROLADA DE 25.4 mm, , INCLUYE: ACARREO, CARGA Y DESCARGA DE MATERIAL DESDE EL ALMACÉN DEL CONTRATISTA AL SITIO DE PREFABRICADO, MANO DE OBRA, EQUIPO, HERRAMIENTA Y CONSUMIBLES, LIMPIEZA DE MATERIAL SOBRANTE DEL ÁREA DE TRABAJO. ISOMETRICO DE REFERENCIA D-801.061-AYA-C-G-836 Y D-801.061-AYA-C-G-838.</t>
  </si>
  <si>
    <t>C2EXT-0474</t>
  </si>
  <si>
    <t>SUMINISTRO, HABILITADO E INTALACION DE BARANDAL DE 1 1/2" DE DIÁMETRO CÉDULA 80 DE ACERO AL CARBONO ASTM A-53 GR. B, BAJO LA NORMA ASTM A-124, DE 1.10 METROS DE ALTO X 3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</si>
  <si>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C2EXT-0475</t>
  </si>
  <si>
    <t>SUMINISTRO, HABILITADO E INTALACION DE BARANDAL DE 1 1/2" DE DIÁMETRO CÉDULA 80 DE ACERO AL CARBONO ASTM A-53 GR. B, BAJO LA NORMA ASTM A-124, DE 1.10 METROS DE ALTO X 2.300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</si>
  <si>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C2EXT-0476</t>
  </si>
  <si>
    <t>SUMINISTRO, HABILITADO E INTALACION DE BARANDAL DE 1 1/2" DE DIÁMETRO CÉDULA 80 DE ACERO AL CARBONO ASTM A-53 GR. B, BAJO LA NORMA ASTM A-124, DE 1.10 METROS DE ALTO X 2.150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</si>
  <si>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C2EXT-0477</t>
  </si>
  <si>
    <t>SUMINISTRO, HABILITADO E INTALACION DE BARANDAL DE 1 1/2" DE DIÁMETRO CÉDULA 80 DE ACERO AL CARBONO ASTM A-53 GR. B, BAJO LA NORMA ASTM A-124, DE 1.10 METROS DE ALTO X 1.850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</si>
  <si>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C2EXT-0478</t>
  </si>
  <si>
    <t>SUMINISTRO, HABILITADO E INTALACION DE BARANDAL DE 1 1/2" DE DIÁMETRO CÉDULA 80 DE ACERO AL CARBONO ASTM A-53 GR. B, BAJO LA NORMA ASTM A-124, DE 1.10 METROS DE ALTO X 1.800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</si>
  <si>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C2EXT-0479</t>
  </si>
  <si>
    <t>SUMINISTRO, HABILITADO E INTALACION DE BARANDAL DE 1 1/2" DE DIÁMETRO CÉDULA 80 DE ACERO AL CARBONO ASTM A-53 GR. B, BAJO LA NORMA ASTM A-124, DE 1.10 METROS DE ALTO X 1.650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</si>
  <si>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C2EXT-0480</t>
  </si>
  <si>
    <t>SUMINISTRO, HABILITADO E INTALACION DE BARANDAL DE 1 1/2" DE DIÁMETRO CÉDULA 80 DE ACERO AL CARBONO ASTM A-53 GR. B, BAJO LA NORMA ASTM A-124, DE 1.10 METROS DE ALTO X 1.000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</si>
  <si>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C2EXT-0481</t>
  </si>
  <si>
    <t>SERVICIO DE MANTENIMIENTO GENERAL DE VÁLVULA DE CONTROL DE 6”Ø CLASE 150#RF.  Y SUSTITUCIÓN DE ACTUADOR.</t>
  </si>
  <si>
    <t>C2EXT-0482</t>
  </si>
  <si>
    <t>SUMINISTRO, HABILITADO, CORTE Y ARMADO DE SOPORTE PARA CAJA DE INTERCONEXIONES CON PERFIL DE ACERO AL CARBON ASTM A572 GR. 50, PARA LA PLATAFORMA EK-TA, EN PATIO DE FABRICACION DE LA CONTRATISTA, INCLUYE: MATERIALES DE INSTALACION PERMANENTE, CONSUMIBLES, MANO DE OBRA Y EQUIPO. DE ACUERDO CON EL PLANO D-PP-EK-TA-G-820, REV. D.</t>
  </si>
  <si>
    <t>C2EXT-0483</t>
  </si>
  <si>
    <t xml:space="preserve">SUMINISTRO, HABILITADO, CORTE Y ARMADO DE TUBO "J" ACERO AL CARBÓN ASTM API 5L GR.B, PARA LA PLATAFORMA EK-TA, EN PATIO DE FABRICACION DE LA CONTRATISTA, INCLUYE: MATERIALES DE INSTALACION PERMANENTE, CONSUMIBLES, MANO DE OBRA Y EQUIPO. DE ACUERDO CON LOS PLANOS: D-PP-EK-TA-G-820, REV. D. Y D-PP-EK-TA-G-821, REV. D. </t>
  </si>
  <si>
    <t>C2EXT-0484</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</si>
  <si>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</si>
  <si>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BME-3801-036-2024</t>
  </si>
  <si>
    <t>OT-GRZ-801-24-016.7-J-NHA</t>
  </si>
  <si>
    <t>C2EXT-0485</t>
  </si>
  <si>
    <t>PTE-036-2024</t>
  </si>
  <si>
    <t>SERVICIO DE DESARROLLO DE DESPLEGADOS GRAFICOS DINAMICOS DEL SISTEMAS  CONTROL DISTRIBUIDO (SDC) MARCA HONEYWELL PARA EL SEPARADOR SLUG CATCHER FA-1102H DE NOHOCH-A, INCLUYE PERSONAL ESPECIALISTA CON LICENCIA Y SOFTWARE CERTIFICADO VIGENTE.</t>
  </si>
  <si>
    <t>BME-3801-036-2025</t>
  </si>
  <si>
    <t>C2EXT-0486</t>
  </si>
  <si>
    <t>SERVICIO DE DESARROLLO DE DESPLEGADOS GRAFICOS DINAMICOS DEL SISTEMAS  PARO POR EMERGENCIA (SPPE) MARCA FOXBORO BY SCHNEIDER ELECTRIC / TRICONEX SIS PARA EL SEPARADOR SLUG CATCHER FA-1102H DE NOHOCH-A, INCLUYE PERSONAL ESPECIALISTA CON LICENCIA Y SOFTWARE CERTIFICADO VIGENTE.</t>
  </si>
  <si>
    <t>C2EXT-0487</t>
  </si>
  <si>
    <t>SERVICIO DE DESARROLLO DE DESPLEGADOS GRAFICOS DINAMICOS DEL SISTEMAS GAS Y FUEGO (G&amp;F) MARCA TRICONEX SIS Y DET-TRONICS PARA EL SEPARADOR SLUG CATCHER FA-1102H DE NOHOCH-A, INCLUYE PERSONAL ESPECIALISTA CON LICENCIA Y SOFTWARE CERTIFICADO VIGENTE.</t>
  </si>
  <si>
    <t>C2EXT-0488</t>
  </si>
  <si>
    <t>SERVICIO DE AGENCIAMIENTO MARÍTIMO DE BARCO ABASTECEDOR PARA INGRESO Y/O ZARPE DE MUELLES DEL PUERTO INDUSTRIAL DE CD. DEL CARMEN CAMPECHE PARA CARGAR Y/O DESCARGAR MATERIALES Y EQUIPOS DIVERSOS; INCLUYE: TRÁMITES ADMINISTRATIVOS, AMARRE, DESAMARRE, SERVICIO DE PILOTOS, GASTOS PORTUARIOS, (NO INCLUYE TIEMPO DE OPERACIÓN O EN ESPERA DE LA EMBARCACIÓN).</t>
  </si>
  <si>
    <t>BME-3801-021-2025</t>
  </si>
  <si>
    <t>C2EXT-0489</t>
  </si>
  <si>
    <t>SUMINISTRO, HABILITADO E INSTALACIÓN EN PATIO DE PREFABRICADOS DE ENVOLVENTE METÁLICA PARA LÍNEA TIPO "J" DE 12" DE DIÁMETRO A BASE DE TUBERÍA DE 14" DE DIÁMETRO 0.375" ESP. API 5L GR.B EXTREMOS BISELADOS; INCLUYE: ACARREO, CARGA, DESCARGA, MANIOBRAS.</t>
  </si>
  <si>
    <t>BME-3801-032-2025</t>
  </si>
  <si>
    <t>C2EXT-0490</t>
  </si>
  <si>
    <t>SUMINISTRO, HABILITADO E INSTALACIÓN EN PATIO DE PREFABRICADOS DE ABRAZADERAS TIPO GUIAS (SOPORTES) PARA LÍNEA TIPO "J" de 12" DE DIÁMETRO A BASE DE TUBERÍA DE 14" DE DIÁMETRO 0.375" ESP. API 5L GR.B EXTREMOS BISELADOS; INCLUYE: ACARREO, CARGA, DESCARGA, MANIOBRAS.</t>
  </si>
  <si>
    <t>C2EXT-0491</t>
  </si>
  <si>
    <t>SUMINISTRO, HABILITADO E INSTALACIÓN EN PATIO DE PREFABRICADOS DE BASE SOPORTE PARA CAJA DE CONEXIONES A BASE DE PERFIL ESTRUCTURAL ANGULAR TIPO LI-76 MM x 6 MM ESP. X 6.72 Kg/M, ACERO AL CARBONO ASTM A572 GR. 50; INCLUYE: ACARREO, CARGA, DESCARGA, MANIOBRAS.</t>
  </si>
  <si>
    <t>C2EXT-0492</t>
  </si>
  <si>
    <t>SERVICIO DE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</si>
  <si>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BME-3801-025-2025</t>
  </si>
  <si>
    <t>OT-801-25-086-HVAC-POL-A</t>
  </si>
  <si>
    <t>C2EXT-0493</t>
  </si>
  <si>
    <t>HVAC</t>
  </si>
  <si>
    <t>ACERO DE REFUERZO A BASE DE VARILLA CORRUGADA DE ACERO DE REFUERZO ESTRUCTURAL F´Y= 4200 KG/CM2, DIÁMETRO DE VARILLA # 3 (3/8" DIÁMETRO); INCLUYE: SUMINISTRO DE MATERIALES, DESPERDICIOS, ACARREO DENTRO DE LA OBRA, CORTES, TRASLAPE DE VARILLAS, ALAMBRE RECOCIDO, MANO DE OBRA, HERRAMIENTA, EQUIPO Y TODO LO NECESARIO PARA LA CORRECTA EJECUCIÓN, EN LA TERMINAL MARITIMA DOS BOCAS.</t>
  </si>
  <si>
    <t>KG</t>
  </si>
  <si>
    <t>BME-3801-079-2025</t>
  </si>
  <si>
    <t>OT-801-25-095-DBECO3-CB-010</t>
  </si>
  <si>
    <t>C2EXT-0494</t>
  </si>
  <si>
    <t>ACERO DE REFUERZO A BASE DE VARILLA CORRUGADA DE ACERO DE REFUERZO ESTRUCTURAL F´Y= 4200 KG/CM2, DIÁMETRO DE VARILLA # 4 (1/2" DIÁMETRO). INCLUYE: SUMINISTRO DE MATERIALES, DESPERDICIOS, ACARREO DENTRO DE LA OBRA, CORTES, TRASLAPE DE VARILLAS, ALAMBRE RECOCIDO, MANO DE OBRA, HERRAMIENTA, EQUIPO Y TODO LO NECESARIO PARA LA CORRECTA EJECUCIÓN, EN LA TERMINAL MARITIMA DOS BOCAS.</t>
  </si>
  <si>
    <t>C2EXT-0495</t>
  </si>
  <si>
    <t>CONCRETO PREMEZCLADO,RESISTENCIA A 28 DÍAS F´C= 250 KG/CM2, TMA 19 MM. BOMBEABLE, PARA COLADO EN LA TERMINAL MARÍTIMA DOS BOCAS; INCLUYE: SUMINISTRO DE MATERIALES, DESPERDICIOS, BOMBEO, VACIADO EN SITIO, VIBRADO, PULIDO INTEGRADO, CURADO, PRUEBAS DE LABORATORIO DE ACUERDO A LA NORMATIVIDAD, MANO DE OBRA, HERRAMIENTA, EQUIPO Y TODO LO NECESARIO PARA LA CORRECTA EJECUCIÓN.</t>
  </si>
  <si>
    <t>C2EXT-0496</t>
  </si>
  <si>
    <t>ELABORACIÓN Y COLOCACIÓN DE PLANTILLA DE CONCRETO F´C=100 KG/CM², TMA 19 MM, RESISTENCIA NORMAL; INCLUYE SUMINISTRO DE MATERIALES, DESPERDICIOS, ACARREOS DENTRO DE LA OBRA, INCLUYE: MANO DE OBRA, HERRAMIENTA, EQUIPO Y TODO LO NECESARIO PARA SU CORRECTA EJECUCIÓN; EN LA TERMINAL MARÍTIMA DOS BOCAS.</t>
  </si>
  <si>
    <t>C2EXT-0497</t>
  </si>
  <si>
    <t>ADITIVO ACELERANTE PARA 1.00 M3 DE CONCRETO PREMEZCLADO, RESISTENCIA A 07 DÍAS F´C= 250 KG/CM2VIGA METÁLICA PERFIL I RECTANGULAR (IR) 686 MM X 169.70 KG/M (27 IN. X 114 LB./FT.), DE ACERO AL CARBÓN ASTM A-36; INCLUYE SUMINISTRO, INSPECCIÓN, EMBALAJE, CARGA, ASEGURAMIENTO, TRANSPORTE DEL ALMACÉN DE LA CONTRATISTA, UBICADO EN EL KM. 13.8 AL PATIO DE PREFABRICADOS EN EL RECINTO PORTUARIO DE CIUDAD DEL CARMEN DE ACUERDO CON EL ANEXO DE ESPECIFICACIONES PARTICULARES.</t>
  </si>
  <si>
    <t>C2EXT-0498</t>
  </si>
  <si>
    <t>BRIDA TIPO CUELLO SOLDABLE 18" 600# CARA REALZADA (R.F.) ACERO AL CARBONO, ESPECIFICACIÓN ASTM A-105, ASME B16.5 BORE: 16.50"; INCLUYE SUMINISTRO, INSPECCIÓN, EMBALAJE, CARGA, ASEGURAMIENTO, TRANSPORTE DEL ALMACÉN DE LA CONTRATISTA, UBICADO EN EL KM. 13.8 AL PATIO DE PREFABRICADOS EN EL RECINTO PORTUARIO DE CIUDAD DEL CARMEN DE ACUERDO CON EL ANEXO DE ESPECIFICACIONES PARTICULARES.</t>
  </si>
  <si>
    <t>C2EXT-0499</t>
  </si>
  <si>
    <t>CODO 90° DE 18" CÉDULA 60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</si>
  <si>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C2EXT-0500</t>
  </si>
  <si>
    <t>CODO 90° DE 36"Ø CÉDULA 0.812"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</si>
  <si>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C2EXT-0501</t>
  </si>
  <si>
    <t>REDUCCIÓN CONCÉNTRICA BISELADA 36" DIÁMETRO X 24" DIÁMETRO, CÉDULA ESTÁNDAR,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</si>
  <si>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C2EXT-0502</t>
  </si>
  <si>
    <t>REDUCCIÓN CONCÉNTRICA EXTREMOS BISELADOS DE 24" CÉDULA 40 X 18" CÉDULA 60, DE ACERO AL CARBONO ASTM A234, Gr. WPB, C/C, ASME B16.9; INCLUYE SUMINISTRO, INSPECCIÓN, EMBALAJE, CARGA, ASEGURAMIENTO, TRANSPORTE DEL ALMACÉN DE LA CONTRATISTA, UBICADO EN EL KM. 13.8 AL PATIO DE PREFABRICADOS EN EL RECINTO PORTUARIO DE CIUDAD DEL CARMEN DE ACUERDO CON EL ANEXO DE ESPECIFICACIONES PARTICULARES.</t>
  </si>
  <si>
    <t>C2EXT-0503</t>
  </si>
  <si>
    <t>WELDOLET DE ACERO AL CARBONO 36" X 4" CÉDULA STD,. EXTREMOS BESELADOS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</si>
  <si>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C2EXT-0504</t>
  </si>
  <si>
    <t>ROLLO DE NEOPRENO DE CAUCHO DE SILICÓN DE ALTA TEMPERATURA, ESPESOR DE 1/4" X 1 METRO DE ANCHO X 1 METRO DE LARGO; INCLUYE SUMINISTRO, INSPECCIÓN, EMBALAJE, CARGA, ASEGURAMIENTO, TRANSPORTE DEL ALMACÉN DE LA CONTRATISTA, UBICADO EN EL KM. 13.8 AL PATIO DE PREFABRICADOS EN EL RECINTO PORTUARIO DE CIUDAD DEL CARMEN DE ACUERDO CON EL ANEXO DE ESPECIFICACIONES PARTICULARES.</t>
  </si>
  <si>
    <t>C2EXT-0505</t>
  </si>
  <si>
    <t>LÁMINA COMPRIMIDA A BASE DE FIBRA SINTÉTICA (NO ASBESTO), CON AGLOMERANTE DE NITRILO, MARCA GARLOCK O EQUIVALENTE DE 1/8" DE ESPESOR PARA ELABORACIÓN DE SELLOS Y EMPAQUES (HOJA DE 1.5 X 1.5); INCLUYE SUMINISTRO, INSPECCIÓN, EMBALAJE, CARGA, ASEGURAMIENTO, TRANSPORTE DEL ALMACÉN DE LA CONTRATISTA, UBICADO EN EL KM. 13.8 AL PATIO DE PREFABRICADOS EN EL RECINTO PORTUARIO DE CIUDAD DEL CARMEN DE ACUERDO CON EL ANEXO DE ESPECIFICACIONES PARTICULARES.</t>
  </si>
  <si>
    <t>C2EXT-0506</t>
  </si>
  <si>
    <t>TUBO DE ACERO AL CARBONO DE 16" CÉDULA 40 EXTREMOS BISELADOS ASTM A106 Gr. B ASME B36.0M SIN COSTURA; INCLUYE SUMINISTRO, INSPECCIÓN, EMBALAJE, CARGA, ASEGURAMIENTO, TRANSPORTE DEL ALMACÉN DE LA CONTRATISTA, UBICADO EN EL KM. 13.8 AL PATIO DE PREFABRICADOS EN EL RECINTO PORTUARIO DE CIUDAD DEL CARMEN DE ACUERDO CON EL ANEXO DE ESPECIFICACIONES PARTICULARES.</t>
  </si>
  <si>
    <t>C2EXT-0507</t>
  </si>
  <si>
    <t>VÁLVULA DE BOLA 1 1/2" DIÁMETRO 600#, CAJA SOLDABLE, CUERPO ASTM A350 Gr. PASO COMPLETO, BOLA Y VÁSTAGO DE ACERO INOXIDABLE UNS S31600, SELLOS Y ASIENTOS DE PTFE REFORZADO, BOLA FLOTANTE, DISEÑO A PRUEBA DE FUEGO API STD 607/ISO 10497. API STD 608/ASME B16.34; INCLUYE SUMINISTRO, INSPECCIÓN, EMBALAJE, CARGA, ASEGURAMIENTO, TRANSPORTE DEL ALMACÉN DE LA CONTRATISTA, UBICADO EN EL KM. 13.8 AL PATIO DE PREFABRICADOS EN EL RECINTO PORTUARIO DE CIUDAD DEL CARMEN DE ACUERDO CON EL ANEXO DE ESPECIFICACIONES PARTICULARES.</t>
  </si>
  <si>
    <t>C2EXT-0508</t>
  </si>
  <si>
    <t>BRIDA TIPO CUELLO SOLDABLE 16" 150# CARA REALZADA (R.F) ACERO AL CARBONO ESPECIFICACIÓN ASTM A-105, ASME B16.5 (BORE: 15.000"); INCLUYE SUMINISTRO, INSPECCIÓN, EMBALAJE, CARGA, ASEGURAMIENTO, TRANSPORTE DEL ALMACÉN DE LA CONTRATISTA, UBICADO EN EL KM. 13.8 AL PATIO DE PREFABRICADOS EN EL RECINTO PORTUARIO DE CIUDAD DEL CARMEN DE ACUERDO CON EL ANEXO DE ESPECIFICACIONES PARTICULARES.</t>
  </si>
  <si>
    <t>C2EXT-0509</t>
  </si>
  <si>
    <t>SOCKOLET DE ACERO AL CARBONO FORJADO 1 1/2"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</si>
  <si>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C2EXT-0510</t>
  </si>
  <si>
    <t>TAPÓN CACHUCHA DE ACERO AL CARBONO DE 3/4" CLASE 3000,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</si>
  <si>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C2EXT-0511</t>
  </si>
  <si>
    <t>TAPÓN CACHUCHA DE ACERO AL CARBONO DE 3/4"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</si>
  <si>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C2EXT-0512</t>
  </si>
  <si>
    <t>NIPLE ACERO AL CARBONO, SIN COSTURA DE 3/4"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</si>
  <si>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C2EXT-0513</t>
  </si>
  <si>
    <t>EMPAQUE 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</si>
  <si>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C2EXT-0514</t>
  </si>
  <si>
    <t>EMPAQUE 6" CLASE 300,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</si>
  <si>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C2EXT-0515</t>
  </si>
  <si>
    <t>EMPAQUE TIPO ANILLO OCTAGONAL R-45 (R.T.J) DE ACERO INOXIDABLE UNS 31600, CON DUREZA BRINELL MÁXIMA DE 160, DE ACUERDO AL ASME 816.20, PARA BRIDAS ASME 816.5 (BRIDA DE 6" DIÁMETRO CLASE 900#); INCLUYE SUMINISTRO, INSPECCIÓN, EMBALAJE, CARGA, ASEGURAMIENTO, TRANSPORTE DEL ALMACÉN DE LA CONTRATISTA, UBICADO EN EL KM. 13.8 AL PATIO DE PREFABRICADOS EN EL RECINTO PORTUARIO DE CIUDAD DEL CARMEN DE ACUERDO CON EL ANEXO DE ESPECIFICACIONES PARTICULARES.</t>
  </si>
  <si>
    <t>C2EXT-0516</t>
  </si>
  <si>
    <t>EMPAQUE 10"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</si>
  <si>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C2EXT-0517</t>
  </si>
  <si>
    <t>EMPAQUE 16"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</si>
  <si>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C2EXT-0518</t>
  </si>
  <si>
    <t>EMPAQUE 24"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</si>
  <si>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C2EXT-0519</t>
  </si>
  <si>
    <t>ESPÁRRAGO DE 3/4" X 4" LONGITUD, ASTM A193 Gr. B7M, ROSCAS ASME B1.1 CLASE 2A, CON DOS TUERCAS HEXAGONALES ASTM A194 Gr. 2HM, ROSCAS ASME B1.1 CLASE 2A, CADMINIZADOS 25 MICRAS DE ESP. ASTM-B766 (PARA JUNTAS BRIDADA DE 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</si>
  <si>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C2EXT-0520</t>
  </si>
  <si>
    <t>ESPÁRRAGO DE 3/4" X 5" LONGITUD, ASTM A193 Gr. B7M, ROSCAS ASME B1.1 CLASE 2A, CON DOS TUERCAS HEXAGONALES ASTM A194 Gr. 2HM, ROSCAS ASME B1.1 CLASE 2A, CADMINIZADOS 25 MICRAS DE ESP. ASTM-B766 (PARA JUNTAS BRIDADA DE 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</si>
  <si>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C2EXT-0521</t>
  </si>
  <si>
    <t>ESPÁRRAGO DE 1 1/8" X 8 1/2" LONGITUD, ASTM A193 Gr. B7M, ROSCAS ASME B1.1 CLASE 2A, CON DOS TUERCAS HEXAGONALES ASTM A194 Gr. 2HM, ROSCAS ASME B1.1 CLASE 2A, CADMINIZADOS 25 MICRAS DE ESP. ASTM-B766 (PARA JUNTAS BRIDADA DE 6" 900#)(CUERDA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</si>
  <si>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C2EXT-0522</t>
  </si>
  <si>
    <t>ESPÁRRAGO DE 3/4" X 4 1/4" LONGITUD, ASTM A193 Gr. B7M, ROSCAS ASME B1.1 CLASE 2A, CON DOS TUERCAS HEXAGONALES ASTM A194 Gr. 2HM, ROSCAS ASME B1.1 CLASE 2A, CADMINIZADOS 25 MICRAS DE ESP. ASTM-B766 (PARA JUNTAS BRIDADA DE 8"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</si>
  <si>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C2EXT-0523</t>
  </si>
  <si>
    <t>ESPÁRRAGO DE 7/8" X 4 3/4" LONGITUD, ASTM A193 Gr. B7M, ROSCAS ASME B1.1 CLASE 2A, CON DOS TUERCAS HEXAGONALES ASTM A194 Gr. 2HM, ROSCAS ASME B1.1 CLASE 2A, CADMINIZADOS 25 MICRAS DE ESP. ASTM-B766 (PARA JUNTAS BRIDADA DE 10"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</si>
  <si>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C2EXT-0524</t>
  </si>
  <si>
    <t>ESPÁRRAGO DE 1" X 6 1/2" LONGITUD, ASTM A193 Gr. B7M, ROSCAS ASME B1.1 CLASE 2A, CON DOS TUERCAS HEXAGONALES ASTM A194 Gr. 2HM, ROSCAS ASME B1.1 CLASE 2A, CADMINIZADOS 25 MICRAS DE ESP. ASTM-B766 (PARA JUNTAS BRIDADA DE 10"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</si>
  <si>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C2EXT-0525</t>
  </si>
  <si>
    <t>ESPÁRRAGO DE ROSCA ESTANDAR ALEACION CONFORME A ESPECIFICACION ASTM-193 GR B7M, CON DOS TUERCAS HEXAGONALES DE ACERO AL CARBONO CONFORME A ESPECIFICACION ASTM A-194 GRADO 2H, QUE CUMPLA CON LA NORMA APLICABLE VIGENTE CADMINIZADOS CONFORME A ESPECIFICACION ASTM-B766 CLASE 25 TIPO PARA JUNTA DE 12" 150 LIBRAS (7/8" X 4 3/4"). INCLUYE: SUMINISTRO, INSPECCIÓN, EMBALAJE, CARGA, ASEGURAMIENTO, TRANSPORTE DEL ALMACÉN DE LA CONTRATISTA, UBICADO EN EL KM. 13.8 AL PATIO DE PREFABRICADOS EN EL RECINTO PORTUARIO DE CIUDAD DEL CARMEN DE ACUERDO CON EL ANEXO DE ESPECIFICACIONES PARTICULARES.</t>
  </si>
  <si>
    <t>BME-3801-139-2025</t>
  </si>
  <si>
    <t>C2EXT-0526</t>
  </si>
  <si>
    <t>TMDB</t>
  </si>
  <si>
    <t>ESPÁRRAGO DE 1" X 5 1/2" LONGITUD, ASTM A193 Gr. B7M, ROSCAS ASME B1.1 CLASE 2A, CON DOS TUERCAS HEXAGONALES ASTM A194 Gr. 2HM, ROSCAS ASME B1.1 CLASE 2A, CADMINIZADOS 25 MICRAS DE ESP. ASTM-B766 (PARA JUNTAS BRIDADA DE 16"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</si>
  <si>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C2EXT-0527</t>
  </si>
  <si>
    <t>ESPÁRRAGO DE 1 1/4" X 7 1/2" LONGITUD, ASTM A193 Gr. B7M, ROSCAS ASME B1.1 CLASE 2A, CON DOS TUERCAS HEXAGONALES ASTM A194 Gr. 2HM, ROSCAS ASME B1.1 CLASE 2A, CADMINIZADOS 25 MICRAS DE ESP. ASTM-B766 (PARA JUNTAS BRIDADA DE 16"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</si>
  <si>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C2EXT-0528</t>
  </si>
  <si>
    <t>ESPÁRRAGO DE 1 1/4" X 7" LONGITUD, ASTM A193 Gr. B7M, ROSCAS ASME B1.1 CLASE 2A, CON DOS TUERCAS HEXAGONALES ASTM A194 Gr. 2HM, ROSCAS ASME B1.1 CLASE 2A, CADMINIZADOS 25 MICRAS DE ESP. ASTM-B766 (PARA JUNTAS BRIDADA DE 24" 150#)(CUERDA ÚTIL); INCLUYE SUMINISTRO, INSPECCIÓN, EMBALAJE, CARGA, ASEGURAMIENTO, TRANSPORTE DEL ALMACÉN DE LA CONTRATISTA, UBICADO EN EL KM. 13.8 AL PATIO DE PREFABRICADOS EN EL RECINTO PORTUARIO DE CIUDAD DEL CARMEN DE ACUERDO CON EL ANEXO DE ESPECIFICACIONES PARTICULARES.</t>
  </si>
  <si>
    <t>C2EXT-0529</t>
  </si>
  <si>
    <t>TUBO 2" CÉDULA STD, EXTREMOS PLANOS ACERO AL CARBONO ASTM A106 Gr. B ASTME B36.10M; INCLUYE SUMINISTRO, INSPECCIÓN, EMBALAJE, CARGA, ASEGURAMIENTO, TRANSPORTE DEL ALMACÉN DE LA CONTRATISTA, UBICADO EN EL KM. 13.8 AL PATIO DE PREFABRICADOS EN EL RECINTO PORTUARIO DE CIUDAD DEL CARMEN DE ACUERDO CON EL ANEXO DE ESPECIFICACIONES PARTICULARES.</t>
  </si>
  <si>
    <t>C2EXT-0530</t>
  </si>
  <si>
    <t>VÁLVULA DE COMPUERTA INSERTO SOLDALE (S.W) DE 2" DIÁMETRO CLASE 800, CUERPO ASTM A105, TRIM-16, CUERDA EXTERIOR Y YUGO, BONETE ATORNILLADO, CUÑA SOLIDA, ASIENTOS RECAMBIABLES OPERADO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</si>
  <si>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C2EXT-0531</t>
  </si>
  <si>
    <t>VÁLVULA DE COMPUERTA ROSCADA DE 1 1/2"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</si>
  <si>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C2EXT-0532</t>
  </si>
  <si>
    <t>VÁLVULA DE COMPUERTA ROSCADA DE 3/4"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</si>
  <si>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C2EXT-0533</t>
  </si>
  <si>
    <t>NIPLE ACERO AL CARBONO, SIN COSTURA DE 1 1/2" DIÁMETRO X 4" DE LONGITUD CÉDULA 160., ESPECIFICACIÓN ASTM A106 Gr.B EXTREMOS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</si>
  <si>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C2EXT-0534</t>
  </si>
  <si>
    <t>NIPLE ACERO AL CARBONO, SIN COSTURA DE 1 1/2"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</si>
  <si>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C2EXT-0535</t>
  </si>
  <si>
    <t>NIPLE ACERO AL CARBONO, SIN COSTURA DE 3/4" DIÁMETRO X 6"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</si>
  <si>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C2EXT-0536</t>
  </si>
  <si>
    <t>C2EXT-0537</t>
  </si>
  <si>
    <t>TAPÓN CACHUCHA DE ACERO AL CARBONO DE 2"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</si>
  <si>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C2EXT-0538</t>
  </si>
  <si>
    <t>LAMINA DE ASBESTO COMPRIMIDO GRAFITADO PARA ELABORACIÓN DE SELLOS Y EMPAQUES (GARLOCK) O EQUIVALENTE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</si>
  <si>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C2EXT-0539</t>
  </si>
  <si>
    <t>TUBERÍA RECTA DE ACERO AL CARBONO, ESPECIFICACION ASTM -A106 GR "B" SIN COSTURA PARA SERVICIO AMARGO, CÉDULA 40 DE 16" DIÁMETRO. INCLUYE: SUMINISTRO, INSPECCIÓN, EMBALAJE, CARGA, ASEGURAMIENTO, TRANSPORTE DEL ALMACÉN DE LA CONTRATISTA, UBICADO EN EL KM. 13.8 AL PATIO DE PREFABRICADOS EN EL RECINTO PORTUARIO DE CIUDAD DEL CARMEN DE ACUERDO CON EL ANEXO DE ESPECIFICACIONES PARTICULARES.</t>
  </si>
  <si>
    <t>M</t>
  </si>
  <si>
    <t>C2EXT-0540</t>
  </si>
  <si>
    <t>TORNILLO DE ACERO AL CARBONO CADMINIZADO DE 1/4" X 2" CABEZA HEXAGONAL CON TUERCA CON 2 ARANDELAS PLANAS; INCLUYE SUMINISTRO, INSPECCIÓN, EMBALAJE, CARGA, ASEGURAMIENTO, TRANSPORTE DEL ALMACÉN DE LA CONTRATISTA, UBICADO EN EL KM. 13.8 AL PATIO DE PREFABRICADOS EN EL RECINTO PORTUARIO DE CIUDAD DEL CARMEN DE ACUERDO CON EL ANEXO DE ESPECIFICACIONES PARTICULARES.</t>
  </si>
  <si>
    <t>C2EXT-0541</t>
  </si>
  <si>
    <t>ABRAZADERA TIPO "U" BOLTS ACERO GALVANIZADO DE 1 1/2" DIÁMETRO CON RECUBRIMIENTO DE PVC CON 02 TUERCAS ENCAPSULADAS; INCLUYE SUMINISTRO, INSPECCIÓN, EMBALAJE, CARGA, ASEGURAMIENTO, TRANSPORTE DEL ALMACÉN DE LA CONTRATISTA, UBICADO EN EL KM. 13.8 AL PATIO DE PREFABRICADOS EN EL RECINTO PORTUARIO DE CIUDAD DEL CARMEN DE ACUERDO CON EL ANEXO DE ESPECIFICACIONES PARTICULARES.</t>
  </si>
  <si>
    <t>C2EXT-0542</t>
  </si>
  <si>
    <t>MEDIA CAÑA DE ELASTOMERO DE 3/8" DE ESPESOR X 250 MM LONGITUD PARA TUBO DE 1 1/2" DIÁMETRO, CON JUEGO DE PEGAMENTO; INCLUYE SUMINISTRO, INSPECCIÓN, EMBALAJE, CARGA, ASEGURAMIENTO, TRANSPORTE DEL ALMACÉN DE LA CONTRATISTA, UBICADO EN EL KM. 13.8 AL PATIO DE PREFABRICADOS EN EL RECINTO PORTUARIO DE CIUDAD DEL CARMEN DE ACUERDO CON EL ANEXO DE ESPECIFICACIONES PARTICULARES.</t>
  </si>
  <si>
    <t>C2EXT-0543</t>
  </si>
  <si>
    <t>SUMINISTRO DE REDONDO SOLIDO LISO (OS) (3/4" DE DIÁMETRO) 22.2 MM X 2.235 KG/ML ACERO AL CARBONO ASTM A-36; INCLUYE: MANEJO, EMBALAJE, CARGA, ASEGURAMIENTO Y TRASLADO DEL ALMACÉN DEL CONTRATISTA A LAS INSTALACIONES DE PEMEX EN LA TERMINAL MARÍTIMA DOS BOCAS.</t>
  </si>
  <si>
    <t>C2EXT-0544</t>
  </si>
  <si>
    <t>SUMINISTRO DE TUBO CIRCULAR OC (4" DIÁMETRO X 0.337" ESPESOR CÉDULA 80) 114 X 8.56 MM X 22.32 KG/ML DE ACERO AL CARBONO ASTM A-53 Gr. B; INCLUYE: MANEJO, EMBALAJE, CARGA, ASEGURAMIENTO Y TRASLADO DEL ALMACÉN DEL CONTRATISTA A LAS INSTALACIONES DE PEMEX EN LA TERMINAL MARÍTIMA DOS BOCAS.</t>
  </si>
  <si>
    <t>C2EXT-0545</t>
  </si>
  <si>
    <t>TUBO CIRCULAR OC (3" DIÁMETRO X 0.300" ESPESOR CÉDULA 80) 89 X 7.52 MM X 15.27 KG/ML DE ACERO AL CARBONO ASTM A-53 Gr. B; INCLUYE SUMINISTRO, INSPECCIÓN, EMBALAJE, CARGA, ASEGURAMIENTO, TRANSPORTE DEL ALMACÉN DE LA CONTRATISTA, UBICADO EN EL KM. 13.8 AL PATIO DE PREFABRICADOS EN EL RECINTO PORTUARIO DE CIUDAD DEL CARMEN DE ACUERDO CON EL ANEXO DE ESPECIFICACIONES PARTICULARES.</t>
  </si>
  <si>
    <t>C2EXT-0546</t>
  </si>
  <si>
    <t>CANAL ESTRUCTURAL (CE) (6" X 2") 152 MM X 15.63 KG/ML ASTM A-36; INCLUYE SUMINISTRO, INSPECCIÓN, EMBALAJE, CARGA, ASEGURAMIENTO, TRANSPORTE DEL ALMACÉN DE LA CONTRATISTA, UBICADO EN EL KM. 13.8 AL PATIO DE PREFABRICADOS EN EL RECINTO PORTUARIO DE CIUDAD DEL CARMEN DE ACUERDO CON EL ANEXO DE ESPECIFICACIONES PARTICULARES.</t>
  </si>
  <si>
    <t>C2EXT-0547</t>
  </si>
  <si>
    <t>SUMINISTRO DE SOLERA ESTRUCTURAL 4" ANCHO X 1/4" ESPESOR X 5.064 KG/ML ACERO AL CARBONO ASTM A-36; INCLUYE: MANEJO, EMBALAJE, CARGA, ASEGURAMIENTO Y TRASLADO DEL ALMACÉN DEL CONTRATISTA A LAS INSTALACIONES DE PEMEX EN LA TERMINAL MARÍTIMA DOS BOCAS.</t>
  </si>
  <si>
    <t>C2EXT-0548</t>
  </si>
  <si>
    <t>C2EXT-0549</t>
  </si>
  <si>
    <t>SUMINISTRO, CARGA, ACARREO, DESCARGA Y PUESTA EN SITIO DE LOTE DE MATERIALES</t>
  </si>
  <si>
    <t>C2EXT-0550</t>
  </si>
  <si>
    <t>SUMINISTRO, EMBALAJE, CARGA, ASEGURAMIENTO Y PUESTA EN PATIO DE PREFABRICADOS DE NIPLE, DE 1" (25.40MM) DE DIÁMETRO NOMINAL, 0.250" (06.350MM) DE ESPESOR, CÉDULA 160, SIN COSTURA, 6" (152.40MM) DE LONGITUD, EXTREMOS PLANO X ROSCADO, DE ACERO AL CARBONO, SIN RECUBRIMIENTO, ESPECIFICACION ASTM A106, GRADO B, ASME B16.11.</t>
  </si>
  <si>
    <t>BME-3801-093-2025</t>
  </si>
  <si>
    <t>C2EXT-0551</t>
  </si>
  <si>
    <t>SUMINISTRO, EMBALAJE, CARGA, ASEGURAMIENTO Y PUESTA EN PATIO DE PREFABRICADOS DE NIPLE DE 1" Ø X 4" DE LONGITUD ROSC. AMBOS EXTREMOS CED. 160 ASTM A-106 GR. B;</t>
  </si>
  <si>
    <t>C2EXT-0552</t>
  </si>
  <si>
    <t>SUMINISTRO, EMBALAJE, CARGA, ASEGURAMIENTO Y PUESTA EN PATIO DE PREFABRICADOS DE NIPLE, DE 3/4" (19.05MM) DE DIAMETRO NOMINAL, 0.219" (05.563MM) DE ESPESOR, CEDULA 160, SIN COSTURA, 6" (152.40MM) DE LONGITUD, EXTREMOS PLANO X ROSCADO, DE ACERO AL CARBONO, SIN RECUBRIMIENTO, ESPECIFICACION ASTM A106, GRADO B, ASME B16.11.</t>
  </si>
  <si>
    <t>C2EXT-0553</t>
  </si>
  <si>
    <t>SUMINISTRO, EMBALAJE, CARGA, ASEGURAMIENTO Y PUESTA EN PATIO DE PREFABRICADOS DE NIPLE DE 3/4" Ø X 3 1/2" DE LONGITUD ROSC. AMBOS EXT. CED. 160 ASTM-106 GR. B.</t>
  </si>
  <si>
    <t>C2EXT-0554</t>
  </si>
  <si>
    <t>SUMINISTRO, EMBALAJE, CARGA, ASEGURAMIENTO Y PUESTA EN PATIO DE PREFABRICADOS DE NIPLE, DE 3/4" (19.05MM) DE DIAMETRO NOMINAL, 0.154" (03.912MM) DE ESPESOR, CEDULA 080, SIN COSTURA, 4" (101.60MM) DE LONGITUD, EXTREMOS ROSCADOS, DE ACERO AL CARBONOO, SIN RECUBRIMIENTO, ESPECIFICACION ASTM A106, GRADO B, ASME B16.11.</t>
  </si>
  <si>
    <t>C2EXT-0555</t>
  </si>
  <si>
    <t>SUMINISTRO, EMBALAJE, CARGA, ASEGURAMIENTO Y PUESTA EN PATIO DE PREFABRICADOS DE NIPLE, DE 1 1/2" (38.10MM) DE DIÁMETRO NOMINAL, 0.200" (05.080MM) DE ESPESOR, CÉDULA (XS, 080), SIN COSTURA, 6" (152.40MM) DE LONGITUD, EXTREMOS PLANO X ROSCADO, DE ACERO AL CARBONO, SIN RECUBRIMIENTO, ESPECIFICACIÓN ASTM A106, GRADO B, ASME B16.11.</t>
  </si>
  <si>
    <t>C2EXT-0556</t>
  </si>
  <si>
    <t xml:space="preserve">
SUMINISTRO, EMBALAJE, CARGA, ASEGURAMIENTO Y PUESTA EN PATIO DE PREFABRICADOS DE NIPLE, DE 1-1/2" (38.10MM) DE DIAMETRO NOMINAL, 0.200" (05.080MM) DE ESPESOR, CEDULA (XS, 080), SIN COSTURA, 4" (101.60MM) DE LONGITUD, EXTREMOS ROSCADOS, DE ACERO AL CARBONO, SIN RECUBRIMIENTO, ESPECIFICACION ASTM A106, GRADO B, ASME B16.11.
</t>
  </si>
  <si>
    <t>C2EXT-0557</t>
  </si>
  <si>
    <t xml:space="preserve">
SUMINISTRO, EMBALAJE, CARGA, ASEGURAMIENTO Y PUESTA EN PATIO DE PREFABRICADOS DE PERFIL I RECTANGULAR, DE 8" (203 MM) DE PERALTE X 35.00 LB/FT (52.20 KG/M), DE ACERO AL CARBONO, SIN RECUBRIMIENTO, ESPECIFICACION ASTM A572 GRADO 50.
</t>
  </si>
  <si>
    <t>C2EXT-0558</t>
  </si>
  <si>
    <t xml:space="preserve">
SUMINISTRO, EMBALAJE, CARGA, ASEGURAMIENTO Y PUESTA EN PATIO DE PREFABRICADOS DE PERFIL IR DE 8" X 5" X 3/8" ESP. ASTM A-572 (203mm x 31.20 kg/m)
</t>
  </si>
  <si>
    <t>C2EXT-0559</t>
  </si>
  <si>
    <t xml:space="preserve">
SUMINISTRO, EMBALAJE, CARGA, ASEGURAMIENTO Y PUESTA EN PATIO DE PREFABRICADOS DE PERFIL IR DE 6" X 4" X 3/8" DE ESP. ASTM A-572 (152mm x 24.0 kg/m)
</t>
  </si>
  <si>
    <t>C2EXT-0560</t>
  </si>
  <si>
    <t xml:space="preserve">
SUMINISTRO, EMBALAJE, CARGA, ASEGURAMIENTO Y PUESTA EN PATIO DE PREFABRICADOS DE PERFIL I RECTANGULAR, DE 8" (203 MM) DE PERALTE X 13.00 LB/FT (19.40 KG/M), DE ACERO AL CARBONO, SIN RECUBRIMIENTO, ESPECIFICACION ASTM A572 GRADO 50.
</t>
  </si>
  <si>
    <t>C2EXT-0561</t>
  </si>
  <si>
    <t xml:space="preserve">
SUMINISTRO, EMBALAJE, CARGA, ASEGURAMIENTO Y PUESTA EN PATIO DE PREFABRICADOS DE REDUCCION CONCENTRICA DE 8" A 4" Ø DE ACERO AL CARBONO, EXTREMOS BISELADOS PARA SOLDAR, ESPECIFICACION ASTM-A-234, GRADO WPB, DE CEDULA 80.
</t>
  </si>
  <si>
    <t>C2EXT-0562</t>
  </si>
  <si>
    <t xml:space="preserve">
SUMINISTRO, EMBALAJE, CARGA, ASEGURAMIENTO Y PUESTA EN PATIO DE PREFABRICADOS DE WELDOLET DE ACERO AL CARBONO, SIN RECUBRIMIENTO, RANGO DE 16", DE 6.00" DE DIAMETRO NOMINAL, CEDULA 080, ESPECIFICACION ASTM A105, MSS SP-97.
</t>
  </si>
  <si>
    <t>C2EXT-0563</t>
  </si>
  <si>
    <t xml:space="preserve">
SUMINISTRO, EMBALAJE, CARGA, ASEGURAMIENTO Y PUESTA EN PATIO DE PREFABRICADOS DE WELDOLET DE ACERO AL CARBONO, SIN RECUBRIMIENTO, RANGO DE 20", DE 6.00" DE DIAMETRO NOMINAL, CEDULA 080, ESPECIFICACION ASTM A105, MSS SP-97.
</t>
  </si>
  <si>
    <t>C2EXT-0564</t>
  </si>
  <si>
    <t xml:space="preserve">
SUMINISTRO, EMBALAJE, CARGA, ASEGURAMIENTO Y PUESTA EN PATIO DE PREFABRICADOS DE BRIDA CUELLO SOLDABLE DE 4"Ø. ASTM A-105, CLASE 300 W.N.R.F., DE CEDULA 80 ASME B16.5
</t>
  </si>
  <si>
    <t>C2EXT-0565</t>
  </si>
  <si>
    <t xml:space="preserve">
SUMINISTRO, EMBALAJE, CARGA, ASEGURAMIENTO Y PUESTA EN PATIO DE PREFABRICADOS DE BRIDA CUELLO SOLDABLE (-WN), DE 20" (508.00MM) DE DIAMETRO NOMINAL, 1.031" (26.187MM) DE ESPESOR, CEDULA 080, 300 LIBRAS, CARA REALZADA (-RF), DE ACERO AL CARBONO, SIN RECUBRIMIENTO, ESPECIFICACION ASTM A105, ASME B16.5, ANSI/NACE MR0175/ISO 15156-2.
</t>
  </si>
  <si>
    <t>C2EXT-0566</t>
  </si>
  <si>
    <t xml:space="preserve">
SUMINISTRO, EMBALAJE, CARGA, ASEGURAMIENTO Y PUESTA EN PATIO DE PREFABRICADOS DE BRIDA CUELLO SOLDABLE (-WN), DE 20"(508.00MM) DE DIAMETRO NOMINAL, 1.031" (26.187MM) DE ESPESOR, CEDULA 080, 600 LIBRAS, CARA REALZADA (-RF), DE ACERO AL CARBONO, SIN RECUBRIMIENTO, ESPECIFICACION ASTM A105, ASME B16.5, ANSI/NACE MR0175/ISO 15156-2.
</t>
  </si>
  <si>
    <t>C2EXT-0567</t>
  </si>
  <si>
    <t xml:space="preserve">
SUMINISTRO, EMBALAJE, CARGA, ASEGURAMIENTO Y PUESTA EN PATIO DE PREFABRICADOS DE TUBO ACERO AL CARBONO DE 20" Ø (0.375" ESP.) ASTM A.106 Gr.B CEDULA - STD
</t>
  </si>
  <si>
    <t>C2EXT-0568</t>
  </si>
  <si>
    <t xml:space="preserve">
SUMINISTRO, EMBALAJE, CARGA, ASEGURAMIENTO Y PUESTA EN PATIO DE PREFABRICADOS DE TUBO ACERO AL CARBONO DE 16" Ø S/COSTURA, ASTM-A-106, GRADO “B" TRAMO DOBLE NOMINAL SIN PROTECCION DE BARNIZ, (RANGO DE 10.67 A 13.72 MTS. DE LONGITUD). DE CEDULA 40.
</t>
  </si>
  <si>
    <t>C2EXT-0569</t>
  </si>
  <si>
    <t xml:space="preserve">
SUMINISTRO, EMBALAJE, CARGA, ASEGURAMIENTO Y PUESTA EN PATIO DE PREFABRICADOS DE CODO DE 45 GRADOS, R.L. ACERO AL CARBONO S/COSTURA, EXTREMOS BISELADOS PARA SOLDAR, ESPECIFICACION ASTM-A-234, GRADO WPB, DE CEDULA 80 DE 8"Ø. ASME/ANSI B16.9
</t>
  </si>
  <si>
    <t>C2EXT-0570</t>
  </si>
  <si>
    <t xml:space="preserve">
SUMINISTRO, EMBALAJE, CARGA, ASEGURAMIENTO Y PUESTA EN PATIO DE PREFABRICADOS DE ABRAZADERA TIPO "U", PARA TUBO CON DIAMETRO NOMINAL DE 8" (203.20MM), DIAMETRO NOMINAL DE LA VARILLA 5/8" (15.875MM), DE ACERO AL CARBONO, ESPECIFICACION ASTM A307, CON RECUBRIMIENTO GALVANIZADO Y RECUBRIMIENTO DE PVC, INCLUYE 2 TUERCAS HEXAGONALES DE ACERO AL CARBONO GALVANIZADO, ESPECIFICACION ASTM A563, GRADO A Y 02 ARANDELAS PLANAS, DE ACERO AL CARBONO GALVANIZADO.
</t>
  </si>
  <si>
    <t>C2EXT-0571</t>
  </si>
  <si>
    <t xml:space="preserve">
SUMINISTRO, EMBALAJE, CARGA, ASEGURAMIENTO Y PUESTA EN PATIO DE PREFABRICADOS DE ABRAZADERA TIPO "U", PARA TUBO CON DIAMETRO NOMINAL DE 6" (152.40 MM), DIAMETRO DE LA VARILLA 3/8" (9.12 MM), DE ACERO AL CARBONO, ESPECIFICACION: ASTM A307, CON RECUBRIMIENTO GALVANIZADO Y RECUBRIMIENTO DE PVC, INCLUYE: 2 TUERCAS HEXAGONALES DE ACERO AL CARBONO CON RECUBRIMIENTO GALVANIZADO, ESPECIFICACION: ASTM: A563, GRADO: A Y 2 ARANDELAS PLANAS DE ACERO AL CARBONO CON RECUBRIMIENTO GALVANIZADO.
</t>
  </si>
  <si>
    <t>C2EXT-0572</t>
  </si>
  <si>
    <t xml:space="preserve">
SUMINISTRO, EMBALAJE, CARGA, ASEGURAMIENTO Y PUESTA EN PATIO DE PREFABRICADOS DE BRIDA CIEGA DE 16"Ø 600 LBS. R.F. ASTM A-105, ASME B16.5.
</t>
  </si>
  <si>
    <t>C2EXT-0573</t>
  </si>
  <si>
    <t xml:space="preserve">
SUMINISTRO, EMBALAJE, CARGA, ASEGURAMIENTO Y PUESTA EN PATIO DE PREFABRICADOS DE BRIDA CIEGA DE 20"Ø 600 LBS. R.F. ASTM A-105, ASME B16.5
</t>
  </si>
  <si>
    <t>C2EXT-0574</t>
  </si>
  <si>
    <t xml:space="preserve">
SUMINISTRO, EMBALAJE, CARGA, ASEGURAMIENTO Y PUESTA EN PATIO DE PREFABRICADOS DE VALVULA RETENCION TIPO OBLEA (WAFER), DE 4" DE DIAMETRO NOMINAL, CLASE 300 LIBRAS, CARA REALZADA (R.F), CUERPO DE ACERO AL CARBONO, ESPECIFICACION ASTM A216, GRADO WCB, INTERIOR DE ACERO INOXIDABLE (TRIM 12), DISCO BIPARTIDO (DUO-PLATE), RESORTE DE INCONEL X750, SELLO METAL-METAL, ASME B16.5, API STD 594 TIPO A, API STD 598, ANSI/NACE MR0175/ISO 15156-2.
</t>
  </si>
  <si>
    <t>C2EXT-0575</t>
  </si>
  <si>
    <t xml:space="preserve">
SUMINISTRO, EMBALAJE, CARGA, ASEGURAMIENTO Y PUESTA EN PATIO DE PREFABRICADOS DE VALVULA RETENCION TIPO OBLEA (WAFER), DE 6" DE DIAMETRO NOMINAL, CLASE 600 LIBRAS, CARA REALZADA (RF), CUERPO DE ACERO AL CARBONO, ESPECIFICACION ASTM A216, GRADO WCB, INTERIORES DE ACERO INOXIDABLE (TRIM 10), DISCO BIPARTIDO (DUO-PLATE), RESORTE DE INCONEL X750, SELLO METAL-METAL, ASME B16.5, API STD 594 TIPO A, API STD 598, ANSI/NACE MR0175/ISO 15156-2.
</t>
  </si>
  <si>
    <t>C2EXT-0576</t>
  </si>
  <si>
    <t xml:space="preserve">
SUMINISTRO, EMBALAJE, CARGA, ASEGURAMIENTO Y PUESTA EN PATIO DE PREFABRICADOS DE VALVULA ESFERICA TIPO: TRUNNION, DE PASO COMPLETO Y CONTINUADO, DE 16" (16.00")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NYLON, SELLOS Y EMPAQUETADURA DE TEFLON (PTFE), OPERADO CON CAJA DE ENGRANES Y VOLANTE, DISEÑO DE ASIENTOS BIDIRECCIONALES, DOBLE BLOQUEO Y PURGA (DOUBLE BLOCK AND BLEED), INCLUYE: PUERTOS DE INYECCION DE ACERO INOXIDABLE GRADO: 316, DEBE CUMPLIR CON API 6D, API 607 O API 6FA, ANSI/NACE MR0175/ISO 15156-2. INCLUYE PRUEBA HIDROSTATICA.
</t>
  </si>
  <si>
    <t>C2EXT-0577</t>
  </si>
  <si>
    <t xml:space="preserve">
SUMINISTRO, EMBALAJE, CARGA, ASEGURAMIENTO Y PUESTA EN PATIO DE PREFABRICADOS DE VALVULA RETENCION TIPO OBLEA (WAFER), DE 16"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</si>
  <si>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C2EXT-0578</t>
  </si>
  <si>
    <t xml:space="preserve">
SUMINISTRO, EMBALAJE, CARGA, ASEGURAMIENTO Y PUESTA EN PATIO DE PREFABRICADOS DE VALVULA RETENCION TIPO OBLEA (WAFER), DE 20"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</si>
  <si>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C2EXT-0579</t>
  </si>
  <si>
    <t xml:space="preserve">
SUMINISTRO, EMBALAJE, CARGA, ASEGURAMIENTO Y PUESTA EN PATIO DE PREFABRICADOS DE VALVULA ESFERICA TIPO: TRUNNION, DE PASO COMPLETO Y CONTINUADO, DE 20" (20.00")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TEFLON (PTFE), SELLOS Y EMPAQUETADURA DE TEFLON (PTFE), OPERADO CON CAJA DE ENGRANES YVOLANTE, DISEÑO DE ASIENTOS BIDIRECCIONALES, DOBLE BLOQUEO Y PURGA (DOUBLE BLOCK AND BLEED), INCLUYE: PUERTOS DE INYECCION DE ACERO INOXIDABLE GRADO: 316, DEBE CUMPLIR CON API 6D, API 607 O API 6FA, ANSI/NACEMR0175/ISO 15156-2.
</t>
  </si>
  <si>
    <t>C2EXT-0580</t>
  </si>
  <si>
    <t xml:space="preserve">
SUMINISTRO, EMBALAJE, CARGA, ASEGURAMIENTO Y PUESTA EN PATIO DE PREFABRICADOS DE VALVULA COMPUERTA DE 1" DE DIAMETRO NOMINAL, EXTREMOS ROSCADOS, CLASE 800, CUERPO DE ACERO AL CARBONO, ESPECIFICACION ASTM A105, TRIM 16, TORNILLO EXTERIOR Y YUGO, BONETE ATORNILLADO, CUÑA SOLIDA, ASIENTOS RECAMBIABLES, OPERADA CON VOLANTE, DEBE CUMPLIR CON API 602/ISO 15761, API 598, ASME B16.34.
</t>
  </si>
  <si>
    <t>C2EXT-0581</t>
  </si>
  <si>
    <t xml:space="preserve">
SUMINISTRO, EMBALAJE, CARGA, ASEGURAMIENTO Y PUESTA EN PATIO DE PREFABRICADOS DE EMPAQUE, TIPO CGI, CON ANILLO CENTRADO, CON CINTA EN ESPIRAL DE ACERO INOXIDABLE TIPO 316, CON RELLENO DE ASBESTO DE 1/8" DE ESPESOR DE 16" CLASE 600
</t>
  </si>
  <si>
    <t>C2EXT-0582</t>
  </si>
  <si>
    <t xml:space="preserve">
SUMINISTRO, EMBALAJE, CARGA, ASEGURAMIENTO Y PUESTA EN PATIO DE PREFABRICADOS DE EMPAQUE, TIPO CGI, CON ANILLO CENTRADO, CON CINTA EN ESPIRAL DE ACERO INOXIDABLE TIPO 316, CON RELLENO DE ASBESTO DE 1/8" DE ESPESOR DE 20" CLASE 300
</t>
  </si>
  <si>
    <t>C2EXT-0583</t>
  </si>
  <si>
    <t xml:space="preserve">
SUMINISTRO, EMBALAJE, CARGA, ASEGURAMIENTO Y PUESTA EN PATIO DE PREFABRICADOS DE EMPAQUE DE ANILLO METALICO DE ACERO INOXIDABLE, GRADO 316, DUREZA MAXIMA BRINELL 160, OVAL DE 20" DE DIAMETRO, NUMERO R-73, CLASE 300/600 LIBRAS, RTJ, FABRICADO DE ACUERDO A ASME B16.20 Y ASME B16.5.
</t>
  </si>
  <si>
    <t>C2EXT-0584</t>
  </si>
  <si>
    <t xml:space="preserve">
SUMINISTRO, EMBALAJE, CARGA, ASEGURAMIENTO Y PUESTA EN PATIO DE PREFABRICADOS DE ESPARRAGO DE ACERO DE ALEACION ASTM A 193 GR. B7M, DE 3/4" X 7 1/2" DIAMETRO POR LONGITUD, ROSCA ASME/ANSI B1.1, CON DOS TUERCAS HEXAGONALES DE ACERO AL CARBONO, ASTM A-194 GR. 2H, ESPECIFICACION DE RECUBRIMIENTO, CADMIO ASTM B 766.
</t>
  </si>
  <si>
    <t>C2EXT-0585</t>
  </si>
  <si>
    <t xml:space="preserve">
SUMINISTRO, EMBALAJE, CARGA, ASEGURAMIENTO Y PUESTA EN PATIO DE PREFABRICADOS DE ESPARRAGO, DE 7/8" (22.225MM) DE DIAMETRO NOMINAL, 9-1/4" (234.950MM) DE LONGITUD, DE ACERO AL CARBONO, CON RECUBRIMIENTO CADMINIZADO, DE 25 MICRAS DE ESPESOR, TIPO II, ESPECIFICACION ASTM A193, GRADO B7M, CON 2 TUERCAS HEXAGONALES, EN ASTM A194, GRADO 2HM.
</t>
  </si>
  <si>
    <t>C2EXT-0586</t>
  </si>
  <si>
    <t xml:space="preserve">
SUMINISTRO, EMBALAJE, CARGA, ASEGURAMIENTO Y PUESTA EN PATIO DE PREFABRICADOS DE ESPARRAGO, DE 1-1/2" (38.100MM) DE DIAMETRO NOMINAL, 10-1/2" (266.700MM) DE LONGITUD, DE ACERO AL CARBONO, CON RECUBRIMIENTO CADMINIZADO, DE 25 MICRAS DE ESPESOR, TIPO II, ESPECIFICACION ASTM A193, GRADO B7M, CON 2 TUERCAS HEXAGONALES, EN ASTM A194, GRADO 2HM.
</t>
  </si>
  <si>
    <t>C2EXT-0587</t>
  </si>
  <si>
    <t xml:space="preserve">
SUMINISTRO, EMBALAJE, CARGA, ASEGURAMIENTO Y PUESTA EN PATIO DE PREFABRICADOS DE ESPARRAGO, DE 1-1/2" (38.100MM) DE DIAMETRO NOMINAL, 22-1/4" (565.150MM) DE LONGITUD, DE ACERO AL CARBONO, CON RECUBRIMIENTO CADMINIZADO, DE 25 MICRAS DE ESPESOR, TIPO II, ESPECIFICACION ASTM A193, GRADO B7M, CON 2 TUERCAS HEXAGONALES, EN ASTM A194, GRADO 2HM.
</t>
  </si>
  <si>
    <t>C2EXT-0588</t>
  </si>
  <si>
    <t xml:space="preserve">
SUMINISTRO, EMBALAJE, CARGA, ASEGURAMIENTO Y PUESTA EN PATIO DE PREFABRICADOS DE ESPARRAGO, DE 1-5/8" (41.275MM) DE DIAMETRO NOMINAL, 11-1/2" (292.100MM) DE LONGITUD, DE ACERO AL CARBONO, CON RECUBRIMIENTO CADMINIZADO, DE 25 MICRAS DE ESPESOR, TIPO II, ESPECIFICACION ASTM A193, GRADO B7M, CON 2 TUERCAS HEXAGONALES, EN ASTM A194, GRADO 2HM.
</t>
  </si>
  <si>
    <t>C2EXT-0589</t>
  </si>
  <si>
    <t xml:space="preserve">
SUMINISTRO, EMBALAJE, CARGA, ASEGURAMIENTO Y PUESTA EN PATIO DE PREFABRICADOS DE ESPARRAGO, DE 1-5/8" (41.275MM) DE DIAMETRO NOMINAL, 11-3/4" (298.450MM) DE LONGITUD, DE ACERO AL CARBONO, CON RECUBRIMIENTO CADMINIZADO, DE 25 MICRAS DE ESPESOR, TIPO II, ESPECIFICACION ASTM A193, GRADO B7M, CON 2 TUERCAS HEXAGONALES, EN ASTM A194, GRADO 2HM.
</t>
  </si>
  <si>
    <t>C2EXT-0590</t>
  </si>
  <si>
    <t xml:space="preserve">
SUMINISTRO, EMBALAJE, CARGA, ASEGURAMIENTO Y PUESTA EN PATIO DE PREFABRICADOS DE ESPARRAGO, DE 1-5/8" (41.275MM) DE DIAMETRO NOMINAL, 26" (660.400MM) DE LONGITUD, DE ACERO AL CARBONO, CON RECUBRIMIENTO CADMINIZADO, DE 25 MICRAS DE ESPESOR, TIPO II, ESPECIFICACION ASTM A193, GRADO B7M, CON 2 TUERCAS HEXAGONALES, EN ASTM A194, GRADO 2HM.
</t>
  </si>
  <si>
    <t>C2EXT-0591</t>
  </si>
  <si>
    <t xml:space="preserve">
SUMINISTRO, EMBALAJE, CARGA, ASEGURAMIENTO Y PUESTA EN PATIO DE PREFABRICADOS DE ESPARRAGO, DE 1-1/4" (31.750MM) DE DIAMETRO NOMINAL, 10" (254.000MM) DE LONGITUD, DE ACERO AL CARBONO, CON RECUBRIMIENTO CADMINIZADO, DE 25 MICRAS DE ESPESOR, TIPO II, ESPECIFICACION ASTM A193, GRADO B7M, CON 2 TUERCAS HEXAGONALES, EN ASTM A194, GRADO 2HM.
</t>
  </si>
  <si>
    <t>C2EXT-0592</t>
  </si>
  <si>
    <t xml:space="preserve">
SUMINISTRO, EMBALAJE, CARGA, ASEGURAMIENTO Y PUESTA EN PATIO DE PREFABRICADOS DE ESPARRAGO, DE 3/4" (19.050MM) DE DIAMETRO NOMINAL, 5-1/2" (139.700MM) DE LONGITUD, DE ACERO AL CARBONO, CON RECUBRIMIENTO CADMINIZADO, DE 25 MICRAS DE ESPESOR, TIPO II, ESPECIFICACION ASTM A193, GRADO B7M, CON 2 TUERCAS HEXAGONALES, EN ASTM A194, GRADO 2HM.
</t>
  </si>
  <si>
    <t>C2EXT-0593</t>
  </si>
  <si>
    <t xml:space="preserve">
SUMINISTRO, EMBALAJE, CARGA, ASEGURAMIENTO Y PUESTA EN PATIO DE PREFABRICADOS DE ESPARRAGO, DE 3/4" (19.050MM) DE DIAMETRO NOMINAL, 6" (152.400MM) DE LONGITUD, DE ACERO AL CARBONO, CON RECUBRIMIENTO CADMINIZADO, DE 25 MICRAS DE ESPESOR, TIPO II, ESPECIFICACION ASTM A193, GRADO B7M, CON 2 TUERCAS HEXAGONALES, EN ASTM A194, GRADO 2HM.
</t>
  </si>
  <si>
    <t>C2EXT-0594</t>
  </si>
  <si>
    <t>SUMINISTRO, EMBALAJE, CARGA, ASEGURAMIENTO Y PUESTA EN PATIO DE PREFABRICADOS DE ESPARRAGO, DE 1-1/2" (38.100MM) DE DIAMETRO NOMINAL, 11-1/4" (285.750MM) DE LONGITUD, DE ACERO AL CARBONO, CON RECUBRIMIENTO CADMINIZADO, DE 25 MICRAS DE ESPESOR, TIPO II, ESPECIFICACION ASTM A193, GRADO B7M, CON 2 TUERCAS HEXAGONALES, EN ASTM A194, GRADO 2HM.</t>
  </si>
  <si>
    <t>C2EXT-0595</t>
  </si>
  <si>
    <t>SUMINISTRO, EMBALAJE, CARGA, ASEGURAMIENTO Y PUESTA EN PATIO DE PREFABRICADOS DE ESPARRAGO, DE 1-7/8" (47.625MM) DE DIAMETRO NOMINAL, 14-1/2" (368.300MM) DE LONGITUD, DE ACERO AL CARBONO, CON RECUBRIMIENTO CADMINIZADO, DE 25 MICRAS DE ESPESOR, TIPO II, ESPECIFICACION ASTM A193, GRADO B7M, CON 2 TUERCAS HEXAGONALES, EN ASTM A194, GRADO 2HM.</t>
  </si>
  <si>
    <t>C2EXT-0596</t>
  </si>
  <si>
    <t>SUMINISTRO, EMBALAJE, CARGA, ASEGURAMIENTO Y PUESTA EN PATIO DE PREFABRICADOS DE ESPARRAGO, DE 1-1/8" (28.575MM) DE DIAMETRO NOMINAL, 9" (228.600MM) DE LONGITUD, DE ACERO AL CARBONO, CON RECUBRIMIENTO CADMINIZADO, DE 25 MICRAS DE ESPESOR, TIPO II, ESPECIFICACION ASTM A193, GRADO B7, CON 2 TUERCAS HEXAGONALES, EN ASTM A194, GRADO 2H.</t>
  </si>
  <si>
    <t>C2EXT-0597</t>
  </si>
  <si>
    <t>SUMINISTRO, EMBALAJE, CARGA, ASEGURAMIENTO Y PUESTA EN PATIO DE PREFABRICADOS DE 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</si>
  <si>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C2EXT-0598</t>
  </si>
  <si>
    <t>SUMINISTRO, EMBALAJE, CARGA, ASEGURAMIENTO Y PUESTA EN PATIO DE PREFABRICADOS DE VALVULA DE COMPUERTA DE 1 1/2" Ø 800 LBS. ROSC. ASTM A-105</t>
  </si>
  <si>
    <t>C2EXT-0599</t>
  </si>
  <si>
    <t>SUMINISTRO, EMBALAJE, CARGA, ASEGURAMIENTO Y PUESTA EN PATIO DE PREFABRICADOS DE TAPON MACHO, DE 1" (25.40MM) DE DIAMETRO NOMINAL, CABEZA HEXAGONAL, EXTREMO ROSCADO, DE ACERO AL CARBONO, SIN RECUBRIMIENTO, ESPECIFICACION ASTM A105, ASME B16.11, ANSI/NACE MR0175/ISO 15156-2.</t>
  </si>
  <si>
    <t>C2EXT-0600</t>
  </si>
  <si>
    <t>SERVICIO DE ESTUDIO DE TRANSFERENCIA DE CALOR PARA SOLDADURA EN LÍNEA VIVA, PARA LA INSTALACIÓN TEE ENVOLVENTE DE 20" X 20" CLASE 600, CÉDULA 80, INCLUYE DETERMINAR LAS CONDICIONES OPERATIVAS Y PARÁMETROS DE SOLDADURA SEGUROS QUE PREVENGAN LA DEGRADACIÓN TÉRMICA DE LA PARED INTERNA DE LA TUBERÍA, MEDIANTE MODELADO TÉRMICO ESPECIALIZADO.</t>
  </si>
  <si>
    <t>BME-3801-105-2025</t>
  </si>
  <si>
    <t>OT-801-25-085-CABEZAL-NHA</t>
  </si>
  <si>
    <t>C2EXT-0601</t>
  </si>
  <si>
    <t>CABEZAL ALTERNO NOHOCH A1</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</si>
  <si>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</si>
  <si>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C2EXT-0602</t>
  </si>
  <si>
    <t>CODO DE 45 GRADOS DE 12" DE DIÁMETRO, R.L. DE ACERO AL CARBONO SIN COSTURA, EXTREMOS BISELADOS PARA SOLDAR, ESPECIFICACIÓN ASTM-A-234, GRADO WPB, CÉDULA 80; INCLUYE SUMINISTRO, INSPECCIÓN, EMBALAJE, CARGA, ASEGURAMIENTO, TRANSPORTE DEL ALMACÉN DE LA CONTRATISTA, UBICADO EN EL KM. 13.8 AL PATIO DE PREFABRICADOS EN EL RECINTO PORTUARIO DE CIUDAD DEL CARMEN DE ACUERDO CON EL ANEXO DE ESPECIFICACIONES PARTICULARES.</t>
  </si>
  <si>
    <t>C2EXT-0603</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</si>
  <si>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</si>
  <si>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C2EXT-0604</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</si>
  <si>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</si>
  <si>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</si>
  <si>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</si>
  <si>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</si>
  <si>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</si>
  <si>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</si>
  <si>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</si>
  <si>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C2EXT-0608</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</si>
  <si>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</si>
  <si>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C2EXT-0609</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</si>
  <si>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</si>
  <si>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</si>
  <si>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</si>
  <si>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</si>
  <si>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</si>
  <si>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C2EXT-0612</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</si>
  <si>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</si>
  <si>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C2EXT-0613</t>
  </si>
  <si>
    <t>REDUCCIÓN CAMPANA DE 12" (304.80MM) DE DIÁMETRO NOMINAL, 0.688" (17.475MM) DE ESPESOR, CÉDULA (80), A 6" (152.40MM) DE DIÁMETRO NOMINAL, 0.432" (10.973MM) DE ESPESOR, CÉDULA (XS, 080), SIN COSTURA, EXCENTRICA, EXTREMOS BISELADOS, DE ACERO AL CARBONO, SIN RECUBRIMIENTO, ESPECIFICACIÓN ASTM A234, GRADO WPB, ASME B16.9,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</si>
  <si>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C2EXT-0614</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</si>
  <si>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</si>
  <si>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</si>
  <si>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DE ACERO AL CARBONO, CÉDULA 80, DE 8" X 3"DE DIÁMETRO,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</si>
  <si>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C2EXT-0616</t>
  </si>
  <si>
    <t>REDUCCIÓN CONCÉNTRICA DE 4" A 2"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</si>
  <si>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C2EXT-0617</t>
  </si>
  <si>
    <t>SOCKOLET DE 1" (25.40 MM) DE DIÁMETRO NOMINAL, RANGO DE 2.00",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</si>
  <si>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C2EXT-0618</t>
  </si>
  <si>
    <t>SOCKOLET DE 3/4" DE DIÁMETRO NOMINAL, RANGO DE 2.50 - 2.00", CLASE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</si>
  <si>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C2EXT-0619</t>
  </si>
  <si>
    <t>TUBO, DE 3/4" (19.05MM) DE DIAMETRO NOMINAL, 0.308" (07.823MM) DE ESPESOR, CÉDULA (XXS), SIN COSTURA, EXTREMOS PLANOS,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</si>
  <si>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C2EXT-0620</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</si>
  <si>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</si>
  <si>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C2EXT-0621</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</si>
  <si>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</si>
  <si>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C2EXT-0622</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</si>
  <si>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</si>
  <si>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C2EXT-0623</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</si>
  <si>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</si>
  <si>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</si>
  <si>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</si>
  <si>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C2EXT-0625</t>
  </si>
  <si>
    <t>SERVICIO DE HOT-TAPPING DE 12" - 600#, SOBRE CABEZAL DE SALIDA DE 20” EN LA PLATAFORMA NOHOCH-A1; INCLUYE: EQUIPOS, PERSONAL ESPECIALIZADO, HERRAMIENTAS Y TODO LO NECESARIO PARA LA CORRECTA EJECUCIÓN DE LOS TRABAJOS.</t>
  </si>
  <si>
    <t>C2EXT-0626</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</si>
  <si>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</si>
  <si>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C2EXT-0627</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</si>
  <si>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</si>
  <si>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C2EXT-0628</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</si>
  <si>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</si>
  <si>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C2EXT-0629</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</si>
  <si>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</si>
  <si>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</si>
  <si>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</si>
  <si>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C2EXT-0631</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</si>
  <si>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</si>
  <si>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</si>
  <si>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</si>
  <si>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C2EXT-0633</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</si>
  <si>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</si>
  <si>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C2EXT-0634</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</si>
  <si>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</si>
  <si>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C2EXT-0635</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</si>
  <si>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</si>
  <si>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</si>
  <si>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</si>
  <si>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</si>
  <si>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</si>
  <si>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</si>
  <si>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</si>
  <si>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</si>
  <si>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</si>
  <si>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C2EXT-0640</t>
  </si>
  <si>
    <t>REDUCCIÓN DE 20" A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</si>
  <si>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C2EXT-0641</t>
  </si>
  <si>
    <t>VÁLVULA DE GLOBO DE 8" DE DIÁMETRO NOMINAL, EXTREMOS BRIDADOS, CARA REALZADA (R.F.), CLASE 600, CUERPO DE ACERO AL CARBONO ASTM A216, GRADO WCB, TRIM 8, TORNILLO EXTERIOR Y YUGO, BONETE ATORNILLADO, DISCO TIPO MACHO, ASIENTO RECAMBIABLE, OPERADA CON VOLANTE, DEBE CUMPLIR CON ASME B16.34/ESPESOR POR ISO 10434, API 600; INCLUYE SUMINISTRO, INSPECCIÓN, EMBALAJE, CARGA, ASEGURAMIENTO, TRANSPORTE DEL ALMACÉN DE LA CONTRATISTA, UBICADO EN EL KM. 13.8 AL PATIO DE PREFABRICADOS EN EL RECINTO PORTUARIO DE CIUDAD DEL CARMEN DE ACUERDO CON EL ANEXO DE ESPECIFICACIONES PARTICULARES.</t>
  </si>
  <si>
    <t>C2EXT-0642</t>
  </si>
  <si>
    <t>VÁLVULA RETENCIÓN, TIPO OBLEA (WAFER) DE 12" DE DIÁMETRO NOMINAL, EXTREMOS BRIDADOS, CARA REALZADA (R.F.), CLASE 600, CUERPO DE ACERO AL CARBONO, ESPECIFICACIÓN ASTM A216, GRADO WCB, TRIM 10, DISCO BIPARTIDO (DUO-PLATE), RESORTE DE ASTM B166 UNS N06600, SELLO METAL-METAL, PARA INSTALARSE ENTRE BRIDAS, ASME B16.5, API ESTÁNDAR 594 TIPO A, API ESTÁNDAR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</si>
  <si>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C2EXT-0643</t>
  </si>
  <si>
    <t>VÁLVULA ESFÉRICA TIPO BOLA FLOTANTE, DE PASO COMPLETO DE 3/4" DE DIÁMETRO NOMINAL, EXTREMOS INSERTO SOLDABLE (S.W.) X ROSCADO, CLASE 1500 LIBRAS, CUERPO DE TRES PIEZAS SOLDADO DE ACERO AL CARBONO, ESPECIFICACIÓN ASTM A105, 01 EXTREMO ROSCADO DE ACERO AL CARBONO, ESPECIFICACIÓN ASTM A105 Y 01 EXTREMO INSERTO SOLDABLE (S.W.)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CONFORME API 607, API 598, ASME B16.34,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</si>
  <si>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C2EXT-0644</t>
  </si>
  <si>
    <t>VÁLVULA COMPUERTA DE 1" DE DIÁMETRO NOMINAL, EXTREMOS ROSCADOS, CLASE 800, CUERPO DE ACERO AL CARBONO, ESPECIFICACIÓN ASTM A105, TRIM 16, TORNILLO EXTERIOR Y YUGO, BONETE ATORNILLADO, CUÑA SOLIDA,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</si>
  <si>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C2EXT-0645</t>
  </si>
  <si>
    <t>VÁLVULA COMPUERTA DE 3/4" DE DIÁMETRO NOMINAL, EXTREMOS ROSCADOS, CLASE 800 LIBRAS, CUERPO DE ACERO AL CARBONO, ESPECIFICACIÓN ASTM A105, INTERIOR DE ACERO INOXIDABLE (TRIM 16), VASTAGO ASCENDENTE, CUERDA EXTERIOR Y YUGO, BONETE ATORNILLADO, CUÑA SOLIDA, ASIENTOS RECAMBIABLES, OPERADA CON VOLANTE, DEBE CUMPLIR CON API ESTÁNDAR, 602/ISO 15761, API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</si>
  <si>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C2EXT-0646</t>
  </si>
  <si>
    <t>SUMINISTRO Y PRUEBA HIDROSTÁTICA DE VÁLVULA ESFÉRICA TIPO “TRUNNION”, DE PASO COMPLETO Y CONTINUADO, DE 2" DE DIÁMETRO NOMINAL, CLASE 300 LIBRAS,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ANILLOS DE LOS ASIENTOS DE ACERO INOXIDABLE, ESPECIFICACIÓN AISI410, INSERTOS DE LOS ASIENTOS DE TEFLÓN (PTFE) OPERADA CON PALANCA ,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</si>
  <si>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C2EXT-0647</t>
  </si>
  <si>
    <t>VÁLVULA ESFÉRICA TIPO: BOLA FLOTANTE DE PASO COMPLETO DE 1"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CONFORMA API 607, API 598, ASME B16.34, ANSI/NACE MR0175/SO 15156-2; INCLUYE SUMINISTRO, INSPECCIÓN, EMBALAJE, CARGA, ASEGURAMIENTO, TRANSPORTE DEL ALMACÉN DE LA CONTRATISTA, UBICADO EN EL KM. 13.8 AL PATIO DE PREFABRICADOS EN EL RECINTO PORTUARIO DE CIUDAD DEL CARMEN DE ACUERDO CON EL ANEXO DE ESPECIFICACIONES PARTICULARES.</t>
  </si>
  <si>
    <t>C2EXT-0648</t>
  </si>
  <si>
    <t>BRIDA CIEGA DE 2" (50.80 MM) DE DIÁMETRO NOMINAL,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</si>
  <si>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C2EXT-0649</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</si>
  <si>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</si>
  <si>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</si>
  <si>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</si>
  <si>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C2EXT-0651</t>
  </si>
  <si>
    <t>NIPLE DE 1" (25.40MM) DE DIÁMETRO NOMINAL, 0.250" (06.350MM)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</si>
  <si>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OT-801-25-093-CABEZAL-EK-A</t>
  </si>
  <si>
    <t>C2EXT-0652</t>
  </si>
  <si>
    <t>CABEZAL EK-A</t>
  </si>
  <si>
    <t>NIPLE DE 1" DIÁMETRO X 4" DE LONGITUD ROSC. AMBOS EXTREMOS CED. 160 ASTM A-106 GR. B; INCLUYE SUMINISTRO, INSPECCIÓN, EMBALAJE, CARGA, ASEGURAMIENTO, TRANSPORTE DEL ALMACÉN DE LA CONTRATISTA, UBICADO EN EL KM. 13.8 AL PATIO DE PREFABRICADOS EN EL RECINTO PORTUARIO DE CIUDAD DEL CARMEN DE ACUERDO CON EL ANEXO DE ESPECIFICACIONES PARTICULARES.</t>
  </si>
  <si>
    <t>C2EXT-0653</t>
  </si>
  <si>
    <t>NIPLE DE 3/4" (19.05MM) DE DIÁMETRO NOMINAL, 0.219" (05.563MM)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</si>
  <si>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C2EXT-0654</t>
  </si>
  <si>
    <t>NIPLE DE 3/4" DIÁMETRO X 3 1/2" DE LONGITUD ROSC. AMBOS EXT. CED. 160 ASTM-106 GR. B; INCLUYE SUMINISTRO, INSPECCIÓN, EMBALAJE, CARGA, ASEGURAMIENTO, TRANSPORTE DEL ALMACÉN DE LA CONTRATISTA, UBICADO EN EL KM. 13.8 AL PATIO DE PREFABRICADOS EN EL RECINTO PORTUARIO DE CIUDAD DEL CARMEN DE ACUERDO CON EL ANEXO DE ESPECIFICACIONES PARTICULARES.</t>
  </si>
  <si>
    <t>C2EXT-0655</t>
  </si>
  <si>
    <t>NIPLE DE 3/4" (19.05MM) DE DIÁMETRO NOMINAL, 0.154" (03.912MM) DE ESPESOR, CÉDULA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</si>
  <si>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C2EXT-0656</t>
  </si>
  <si>
    <t>NIPLE DE 1 1/2" (38.10MM) DE DIÁMETRO NOMINAL, 0.200" (05.080MM) DE ESPESOR, CÉDULA (XS, 080),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</si>
  <si>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C2EXT-0657</t>
  </si>
  <si>
    <t>NIPLE DE 1 1/2" (38.10MM) DE DIÁMETRO NOMINAL, 0.200" (05.080MM) DE ESPESOR, CÉDULA (XS,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</si>
  <si>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C2EXT-0658</t>
  </si>
  <si>
    <t>PERFIL I RECTANGULAR DE 8" (203 MM) DE PERALTE X 35.00 LB/FT (52.20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</si>
  <si>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C2EXT-0659</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</si>
  <si>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</si>
  <si>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C2EXT-0660</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</si>
  <si>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</si>
  <si>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C2EXT-0661</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</si>
  <si>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</si>
  <si>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C2EXT-0662</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</si>
  <si>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</si>
  <si>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C2EXT-0663</t>
  </si>
  <si>
    <t>WELDOLET DE ACERO AL CARBONO, SIN RECUBRIMIENTO, RANGO DE 16", DE 6.00" DE DIÁMETRO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</si>
  <si>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C2EXT-0664</t>
  </si>
  <si>
    <t>WELDOLET DE ACERO AL CARBONO, SIN RECUBRIMIENTO, RANGO DE 20", DE 6.00" DE DIAMETRO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</si>
  <si>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C2EXT-0665</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</si>
  <si>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</si>
  <si>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C2EXT-0666</t>
  </si>
  <si>
    <t>BRIDA CUELLO SOLDABLE (-WN), DE 20" (508.00MM) DE DIÁMETRO NOMINAL, 1.031" (26.187MM) DE ESPESOR, CÉDULA 080,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</si>
  <si>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</si>
  <si>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DIÁMETRO NOMINAL, 1.031" (26.187MM) DE ESPESOR, CÉDULA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</si>
  <si>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C2EXT-0668</t>
  </si>
  <si>
    <t>TUBO ACERO AL CARBONO DE 20" DIÁMETRO (0.375" ESPESOR) ASTM A.106 GR.B CÉDULA STD; INCLUYE SUMINISTRO, INSPECCIÓN, EMBALAJE, CARGA, ASEGURAMIENTO, TRANSPORTE DEL ALMACÉN DE LA CONTRATISTA, UBICADO EN EL KM. 13.8 AL PATIO DE PREFABRICADOS EN EL RECINTO PORTUARIO DE CIUDAD DEL CARMEN DE ACUERDO CON EL ANEXO DE ESPECIFICACIONES PARTICULARES.</t>
  </si>
  <si>
    <t>C2EXT-0669</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</si>
  <si>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</si>
  <si>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C2EXT-0670</t>
  </si>
  <si>
    <t>CODO DE 45 GRADOS, R.L. ACERO AL CARBONO S/COSTURA, EXTREMOS BISELADOS PARA SOLDAR, ESPECIFICACIÓN ASTM-A-234, GRADO WPB, DE CÉDULA 80 DE 8"DIÁMETRO.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</si>
  <si>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C2EXT-0671</t>
  </si>
  <si>
    <t>ABRAZADERA TIPO "U", PARA TUBO CON DIÁMETRO NOMINAL DE 8" (203.20MM), DIÁMETRO NOMINAL DE LA VARILLA 5/8" (15.875MM), DE ACERO AL CARBONO, ESPECIFICACIÓN ASTM A307, CON RECUBRIMIENTO GALVANIZADO Y RECUBRIMIENTO DE PVC, INCLUYE 2 TUERCAS HEXAGONALES DE ACERO AL CARBONO GALVANIZADO, ESPECIFICACIÓN ASTM A563, GRADO A Y 02 ARANDELAS PLANAS, DE ACERO AL CARBONO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</si>
  <si>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C2EXT-0672</t>
  </si>
  <si>
    <t>ABRAZADERA TIPO "U", PARA TUBO CON DIÁMETRO NOMINAL DE 6" (152.40 MM), DIÁMETRO DE LA VARILLA 3/8" (9.12 MM), DE ACERO AL CARBONO, ESPECIFICACIÓN: ASTM A307, CON RECUBRIMIENTO GALVANIZADO Y RECUBRIMIENTO DE PVC, INCLUYE: 2 TUERCAS HEXAGONALES DE ACERO AL CARBONO CON RECUBRIMIENTO GALVANIZADO, ESPECIFICACIÓN: ASTM: A563, GRADO: A Y 2 ARANDELAS PLANAS DE ACERO AL CARBONO CON RECUBRIMIENTO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</si>
  <si>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C2EXT-0673</t>
  </si>
  <si>
    <t>BRIDA CIEGA DE 16"DIÁMETRO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</si>
  <si>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</si>
  <si>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20"DIÁMETRO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</si>
  <si>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C2EXT-0675</t>
  </si>
  <si>
    <t>VÁLVULA RETENCIÓN TIPO OBLEA (WAFER), DE 4" DE DIÁMETRO NOMINAL, CLASE 300 LIBRAS, CARA REALZADA (R.F), CUERPO DE ACERO AL CARBONO, ESPECIFICACIÓN ASTM A216, GRADO WCB, INTERIOR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</si>
  <si>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C2EXT-0676</t>
  </si>
  <si>
    <t>VÁLVULA RETENCIÓN TIPO OBLEA (WAFER), DE 6" DE DIÁMETRO NOMINAL, CLASE 600 LIBRAS, CARA REALZADA (RF), CUERPO DE ACERO AL CARBONO, ESPECIFICACIÓN ASTM A216, GRADO WCB, INTERIORES DE ACERO INOXIDABLE (TRIM 10),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</si>
  <si>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C2EXT-0677</t>
  </si>
  <si>
    <t>SUMINISTRO Y PRUEBA HIDROSTÁTICA DE VÁLVULA ESFÉRICA TIPO: TRUNNION, DE PASO COMPLETO Y CONTINUADO, DE 16" (16.00")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NYLON, SELLOS Y EMPAQUETADURA DE TEFLON (PTFE), OPERADO CON CAJA DE ENGRANES Y VOLANTE, DISEÑO DE ASIENTOS BIDIRECCIONALES, DOBLE BLOQUEO Y PURGA (DOUBLE BLOCK AND BLEED), INCLUYE: PUERTOS DE INYECCIÓN DE ACERO INOXIDABLE GRADO: 316, DEBE CUMPLIR CON API 6D, API 607 O API 6FA,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</si>
  <si>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C2EXT-0678</t>
  </si>
  <si>
    <t>VÁLVULA RETENCIÓN TIPO OBLEA (WAFER), DE 16"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</si>
  <si>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C2EXT-0679</t>
  </si>
  <si>
    <t>VÁLVULA RETENCIÓN TIPO OBLEA (WAFER), DE 20"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</si>
  <si>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C2EXT-0680</t>
  </si>
  <si>
    <t>VÁLVULA ESFÉRICA TIPO: TRUNNION, DE PASO COMPLETO Y CONTINUADO, DE 20" (20.00")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CAJA DE ENGRANES Y VOLANTE,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</si>
  <si>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C2EXT-0681</t>
  </si>
  <si>
    <t>VÁLVULA COMPUERTA DE 1" DE DIÁMETRO NOMINAL, EXTREMOS ROSCADOS, CLASE 800, CUERPO DE ACERO AL CARBONO, ESPECIFICACIÓN ASTM A105, TRIM 16, TORNILLO EXTERIOR Y YUGO, BONETE ATORNILLADO, CUÑA SÓLIDA,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</si>
  <si>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C2EXT-0682</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</si>
  <si>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</si>
  <si>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C2EXT-0683</t>
  </si>
  <si>
    <t>EMPAQUE TIPO CGI, CON ANILLO CENTRADO, CON CINTA EN ESPIRAL DE ACERO INOXIDABLE TIPO 316, CON RELLENO DE ASBESTO DE 1/8" DE ESPESOR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</si>
  <si>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</si>
  <si>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</si>
  <si>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C2EXT-0685</t>
  </si>
  <si>
    <t>ESPÁRRAGO DE ACERO DE ALEACIÓN ASTM A 193 GR. B7M, DE 3/4" X 7 1/2" DIÁMETRO POR LONGITUD, ROSCA ASME/ANSI B1.1, CON DOS TUERCAS HEXAGONALES DE ACERO AL CARBONO, ASTM A-194 GR. 2H, ESPECIFICACIÓN DE RECUBRIMIENTO, CADMIO ASTM B 766; INCLUYE SUMINISTRO, INSPECCIÓN, EMBALAJE, CARGA, ASEGURAMIENTO, TRANSPORTE DEL ALMACÉN DE LA CONTRATISTA, UBICADO EN EL KM. 13.8 AL PATIO DE PREFABRICADOS EN EL RECINTO PORTUARIO DE CIUDAD DEL CARMEN DE ACUERDO CON EL ANEXO DE ESPECIFICACIONES PARTICULARES.</t>
  </si>
  <si>
    <t>C2EXT-0686</t>
  </si>
  <si>
    <t>ESPÁRRAGO DE 7/8" (22.225MM) DE DIÁMETRO NOMINAL, 9 1/4" (234.950MM)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</si>
  <si>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C2EXT-0687</t>
  </si>
  <si>
    <t>ESPÁRRAGO DE 1 1/2" (38.100MM) DE DIÁMETRO NOMINAL, 10 1/2" (266.700MM)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</si>
  <si>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C2EXT-0688</t>
  </si>
  <si>
    <t>ESPÁRRAGO DE 1 1/2" (38.100MM) DE DIÁMETRO NOMINAL, 22 1/4" (565.150MM)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</si>
  <si>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C2EXT-0689</t>
  </si>
  <si>
    <t>ESPÁRRAGO DE 1 5/8" (41.275MM) DE DIÁMETRO NOMINAL, 11 1/2" (292.100MM)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</si>
  <si>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C2EXT-0690</t>
  </si>
  <si>
    <t>ESPÁRRAGO DE 1 5/8" (41.275MM) DE DIÁMETRO NOMINAL, 11-3/4" (298.450MM)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</si>
  <si>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C2EXT-0691</t>
  </si>
  <si>
    <t>ESPÁRRAGO DE 1 5/8" (41.275MM) DE DIÁMETRO NOMINAL, 26" (660.400MM)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</si>
  <si>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C2EXT-0692</t>
  </si>
  <si>
    <t>ESPÁRRAGO DE 1 1/4" (31.750MM) DE DIÁMETRO NOMINAL, 10" (254.000MM)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</si>
  <si>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C2EXT-0693</t>
  </si>
  <si>
    <t>ESPÁRRAGO DE 3/4" (19.050MM) DE DIÁMETRO NOMINAL, 5 1/2" (139.700MM)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</si>
  <si>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C2EXT-0694</t>
  </si>
  <si>
    <t>ESPÁRRAGO DE 3/4" (19.050MM) DE DIÁMETRO NOMINAL, 6" (152.400MM)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</si>
  <si>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C2EXT-0695</t>
  </si>
  <si>
    <t>ESPÁRRAGO DE 1 1/2" (38.100MM) DE DIÁMETRO NOMINAL, 11 1/4" (285.750MM)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</si>
  <si>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C2EXT-0696</t>
  </si>
  <si>
    <t>ESPÁRRAGO DE 1 7/8" (47.625MM) DE DIÁMETRO NOMINAL, 14 1/2" (368.300MM)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</si>
  <si>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C2EXT-0697</t>
  </si>
  <si>
    <t>ESPÁRRAGO DE 1 1/8" (28.575MM) DE DIÁMETRO NOMINAL, 9" (228.600MM) DE LONGITUD, DE ACERO AL CARBONO, CON RECUBRIMIENTO CADMINIZADO, DE 25 MICRAS DE ESPESOR, TIPO II, ESPECIFICACIÓN ASTM A193, GRADO B7,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</si>
  <si>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C2EXT-0698</t>
  </si>
  <si>
    <t>TEE ENVOLVENTE DE 20" DE DIÁMETRO NOMINAL, PARA TUBERÍA DE 1.031" DE ESPESOR, CÉDULA 080, EXTRUIDA, DE ACERO AL CARBONO, ESPECIFICACIÓN ASTM A234, GRADO WPB, CON DERIVACIÓN BRIDADA DE 20" DE DIÁMETRO NOMINAL, CLASE 600 LIBRAS, CARA REALZADA (-RF), BORE= 17.938",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</si>
  <si>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C2EXT-0699</t>
  </si>
  <si>
    <t>VÁLVULA DE COMPUERTA DE 1 1/2" DIÁMETRO 800 LBS. ROSC. ASTM A-105; INCLUYE SUMINISTRO, INSPECCIÓN, EMBALAJE, CARGA, ASEGURAMIENTO, TRANSPORTE DEL ALMACÉN DE LA CONTRATISTA, UBICADO EN EL KM. 13.8 AL PATIO DE PREFABRICADOS EN EL RECINTO PORTUARIO DE CIUDAD DEL CARMEN DE ACUERDO CON EL ANEXO DE ESPECIFICACIONES PARTICULARES.</t>
  </si>
  <si>
    <t>C2EXT-0700</t>
  </si>
  <si>
    <t>TAPÓN MACHO DE 1" (25.40MM) DE DIÁMETRO NOMINAL, CABEZA HEXAGONAL, EXTREMO ROSCADO, DE ACERO AL CARBONO, SIN RECUBRIMIENTO, ESPECIFICACIÓN ASTM A105, ASME B16.11,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</si>
  <si>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C2EXT-0701</t>
  </si>
  <si>
    <t>TUBO DE ACERO AL CARBONO DE 24" DE DIÁMETRO, 0.438 DE ESPESOR, EXTREMOS BISELADOS, ASME B36.10M/ISO 3183, GRADO L245NCS (API SPEC 5L GRADO B), CON COSTURA, "SAW"; INCLUYE SUMINISTRO, INSPECCIÓN, EMBALAJE, CARGA, ASEGURAMIENTO, TRANSPORTE DEL ALMACÉN DE LA CONTRATISTA, UBICADO EN EL KM. 13.8 AL PATIO DE PREFABRICADOS EN EL RECINTO PORTUARIO DE CIUDAD DEL CARMEN DE ACUERDO CON EL ANEXO DE ESPECIFICACIONES PARTICULARES.</t>
  </si>
  <si>
    <t>BME-3801-082-2025</t>
  </si>
  <si>
    <t>C2EXT-0702</t>
  </si>
  <si>
    <t>SEPARADOR FA-100 TMDB</t>
  </si>
  <si>
    <t>ESPÁRRAGOS DE ACERO AL CARBONO DE 1 1/4 DE DIÁMETRO X 8 1/4" DE LONGITUD, ROSCA ESTÁNDAR, ASTM A19,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</si>
  <si>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C2EXT-0703</t>
  </si>
  <si>
    <t>ESPÁRRAGOS DE ACERO AL CARBONO DE 1 1/4 DE DIÁMETRO X 17 3/4" DE LONGITUD, ROSCA ESTÁNDAR, ASTM A193,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</si>
  <si>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C2EXT-0704</t>
  </si>
  <si>
    <t>REJILLA DENTADA METÁLICA ELECTROFORJADA CON SOLERA DE CARGA DE 3/16” DE ESPESOR X 1”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</si>
  <si>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C2EXT-0705</t>
  </si>
  <si>
    <t>REJILLAS</t>
  </si>
  <si>
    <t>REJILLA DENTADA METÁLICA ELECTROFORJADA CON SOLERA DE CARGA DE 3/16” DE ESPESOR X 1 1/4”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</si>
  <si>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C2EXT-0706</t>
  </si>
  <si>
    <t>SERVICIO DE SELLADO DE VÁLVULA TIPO COMPUERTA, ESFÉRICA, GLOBO O DE MARIPOSA DE 48" DE DIÁMETRO CON RANGO DE PRESIÓN DESDE 150# HASTA 1500#, INCLUYE PERSONAL TECNICO ESPECIALIZADO, EQUIPOS, HERRAMIENTAS, MATERIALES E INSUMOS NECESARIOS PARA EL CORRECTO SELLADO DE LA VÁLVULA EN LA TERMINAL MARÍTIMA DOS BOCAS, TABASCO. NO INCLUYE ANDAMIOS.</t>
  </si>
  <si>
    <t>BME-3801-120-2025</t>
  </si>
  <si>
    <t>C2EXT-0707</t>
  </si>
  <si>
    <t>SERVICIO DE RETROLAVADO A VÁLVULA TIPO COMPUERTA, ESFÉRICA, GLOBO O DE MARIPOSA DE 48" DE DIÁMETRO CON RANGO DE PRESIÓN DESDE 150# HASTA 1500#, INCLUYE PERSONAL TECNICO ESPECIALIZADO, EQUIPOS, HERRAMIENTAS, MATERIALES E INSUMOS NECESARIOS PARA EL CORRECTO RETROLAVADO DE LA VÁLVULA EN LA TERMINAL MARÍTIMA DOS BOCAS, TABASCO. NO INCLUYE ANDAMIOS.</t>
  </si>
  <si>
    <t>C2EXT-0708</t>
  </si>
  <si>
    <t>SERVICIO DE MANTENIMIENTO A VÁLVULA TIPO COMPUERTA, ESFÉRICA, GLOBO O DE MARIPOSA DE 48" DE DIÁMETRO CON RANGO DE PRESIÓN DESDE 150# HASTA 1500#, INCLUYE PERSONAL TECNICO ESPECIALIZADO, EQUIPOS, HERRAMIENTAS, MATERIALES E INSUMOS NECESARIOS PARA EL CORRECTO MANTENIMIENTO DE LA VÁLVULA EN LA TERMINAL MARÍTIMA DOS BOCAS, TABASCO. NO INCLUYE ANDAMIOS.</t>
  </si>
  <si>
    <t>C2EXT-0709</t>
  </si>
  <si>
    <t>INSPECCIÓN RADIOGRÁFICA DE JUNTAS SOLDABLES A TOPE EN CONEXIONES Y TUBERÍAS DE 44" A 48" DIÁMETRO. INCLUYE PERSONAL TÉCNICO ESPECIALIZADO, EQUIPOS, HERRAMIENTAS, MATERIALES E INSUMOS NECESARIOS PARA LA CORRECTA INSPECCIÓN RADIOGRÁFICA DE JUNTA EN LA TERMINAL MARÍTIMA DOS BOCAS, TABASCO.</t>
  </si>
  <si>
    <t>JUNTA</t>
  </si>
  <si>
    <t>BME-3801-123-2025</t>
  </si>
  <si>
    <t>C2EXT-0710</t>
  </si>
  <si>
    <t>PERFIL CE-229mm x 19.90 Kg/m (9 IN x 13.40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</si>
  <si>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BME-3801-119-2025</t>
  </si>
  <si>
    <t>C2EXT-0711</t>
  </si>
  <si>
    <t>PERFIL CE-203mm x 17.11 Kg/m (8 IN x 11.50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</si>
  <si>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C2EXT-0712</t>
  </si>
  <si>
    <t>CORTE, HABILITADO, PREFABRICADO DE PLANTA ESTRUCTURAL ADOSADA PARA LA ELEVACIÓN(+) 9.254 M DE LA PLATAFORMA TARATUNICH-301, INCLUYE: PERSONAL, EQUIPOS, INSUMOS, MANIOBRAS DE IZAJE, SEGÚN INGENIERÍA APROBADA PARA SU CONSTRUCCIÓN. PLANO DE REFERENCIA: D-812-TT.301-OS.009-G-013. y D-812-TT.301-OS.009-G-016. NO INCLUYE EL SUMINISTRO DE MATERIAL PERMANENTE.</t>
  </si>
  <si>
    <t>C2EXT-0713</t>
  </si>
  <si>
    <t>CORTE, HABILITADO, PREFABRICADO DE PLANTA ESTRUCTURAL ELEVACIÓN EJE "A" ASÍ COMO LA PLANTA ESTRUCTURALES EN LA SIGUIENTE ELEVACIÓN (-) 13.500, ELEVACIÓN (-) 35.800, ELEVACIÓN (-) 48.000 DE LA PLATAFORMA TARATUNICH-301, INCLUYE: PERSONAL, EQUIPOS, INSUMOS, MANIOBRAS DE IZAJE Y ACARREO, SEGÚN INGENIERÍA APROBADA PARA SU CONSTRUCCIÓN. PLANO DE REFERENCIA: D-812-TT.301-OS.009-G-014, D-812-TT.301-OS.009-G-015, D-812-TT.301-OS.009-G-016, D-812-TT.301-OS.009-G-017. NO INCLUYE SUMINISTRO DE MATERIAL PERMANENTE.</t>
  </si>
  <si>
    <t>C2EXT-0714</t>
  </si>
  <si>
    <t>CORTE, HABILITADO, PREFABRICADO DE ABRAZADERAS GUIAS TIPO-1 PARA SU INSTALACIÓN EN DIFERENTES ELEVACIONES DE DE LA ESTRUCTURA ADOSADA DE LA PLATAFORMA TARATUNICH-301, INCLUYE: PERSONAL, EQUIPOS, INSUMOS, MANIOBRAS DE IZAJE, SEGÚN INGENIERÍA APROBADA PARA SU CONSTRUCCIÓN. PLANO DE REFERENCIA: D-812-TT.301-OS.009-G-015, D-812-TT.301-OS.009-G-016 y D-812-TT.301-OS.009-G-017. NO INCLUYE EL SUMINISTRO DE MATERIAL PERMANENTE.</t>
  </si>
  <si>
    <t>C2EXT-0715</t>
  </si>
  <si>
    <t>CORTE, HABILITADO, PREFABRICADO DE PROTECTOR DE CONDUCTORES, PLANTAS Y ELEVACIONES PARA SU INSTALACIÓN EN LA ESTRUCTURA ADOSADA DE LA PLATAFORMA TARATUNICH-301, INCLUYE: PERSONAL, EQUIPOS, INSUMOS, MANIOBRAS DE IZAJE, SEGÚN INGENIERÍA APROBADA PARA SU CONSTRUCCIÓN. PLANO DE REFERENCIA: D-812-TT.301-OS.009-G-015 Y D-812-TT.301-OS.009-G-018. NO INCLUYE EL SUMINISTRO DE MATERIAL PERMANENTE.</t>
  </si>
  <si>
    <t>C2EXT-0716</t>
  </si>
  <si>
    <t>CORTE, HABILITADO, PREFABRICADO DE ISOMETRICO DE TUBERIAS CABEZAL DE PRODUCCION NUEVO PARA SU INSTALACIÓN EN LA PLATAFORMA TARATUNICH-301, INCLUYE: PERSONAL, EQUIPOS, INSUMOS, MANIOBRAS DE IZAJE, SEGÚN INGENIERÍA APROBADA PARA SU CONSTRUCCIÓN. PLANO DE REFERENCIA: B-812-TT.301-OS.009-K-001. NO INCLUYE EL SUMINISTRO DE MATERIAL PERMANENTE.</t>
  </si>
  <si>
    <t>C2EXT-0717</t>
  </si>
  <si>
    <t>CORTE, HABILITADO, PREFABRICADO DE ISOMETRICO DE TUBERIAS INTERCONEXION BAJANTE DE POZO 31D A CABEZAL NUEVO PARA SU INSTALACIÓN EN LA PLATAFORMA TARATUNICH-301, INCLUYE: PERSONAL, EQUIPOS, INSUMOS, MANIOBRAS DE IZAJE, SEGÚN INGENIERÍA APROBADA PARA SU CONSTRUCCIÓN. PLANO DE REFERENCIA: B-812-TT.301-OS.009-K-003 Y B-812-TT.301-OS.009-K-007. NO INCLUYE EL SUMINISTRO DE MATERIAL PERMANENTE.</t>
  </si>
  <si>
    <t>C2EXT-0718</t>
  </si>
  <si>
    <t>CORTE, HABILITADO, PREFABRICADO DE ISOMETRICO DE TUBERIAS INTERCONEXION DE CABEZAL DE PRODUCCION EXISTENTE A CABEZAL DE PRODUCCION NUEVO PARA SU INSTALACIÓN EN LA PLATAFORMA TARATUNICH-301, INCLUYE: PERSONAL, EQUIPOS, INSUMOS, MANIOBRAS DE IZAJE, SEGÚN INGENIERÍA APROBADA PARA SU CONSTRUCCIÓN. PLANO DE REFERENCIA: B-812-TT.301-OS.009-K-005. NO INCLUYE EL SUMINISTRO DE MATERIAL PERMANENTE.</t>
  </si>
  <si>
    <t>C2EXT-0719</t>
  </si>
  <si>
    <t>CORTE, HABILITADO, PREFABRICADO DE ISOMETRICO DE TUBERIAS ADECUACION CABEZAL DE PRUEBA PARA SU INSTALACIÓN EN LA PLATAFORMA TARATUNICH-301, INCLUYE: PERSONAL, EQUIPOS, INSUMOS, MANIOBRAS DE IZAJE, SEGÚN INGENIERÍA APROBADA PARA SU CONSTRUCCIÓN. PLANO DE REFERENCIA: B-812-TT.301-OS.009-K-006. NO INCLUYE EL SUMINISTRO DE MATERIAL PERMANENTE.</t>
  </si>
  <si>
    <t>C2EXT-0720</t>
  </si>
  <si>
    <t>CORTE, HABILITADO, PREFABRICADO DE ISOMETRICO DE TUBERIAS ADECUACION BAJANTE DE POZO 31D Y 301 (SIAMESA) A CABEZAL DE PRODUCCIÓN NUEVO PARA SU INSTALACIÓN EN LA PLATAFORMA TARATUNICH-301, INCLUYE: PERSONAL, EQUIPOS, INSUMOS, MANIOBRAS DE IZAJE, SEGÚN INGENIERÍA APROBADA PARA SU CONSTRUCCIÓN. PLANO DE REFERENCIA: B-812-TT.301-OS.009-K-007. NO INCLUYE EL SUMINISTRO DE MATERIAL PERMANENTE.</t>
  </si>
  <si>
    <t>C2EXT-0721</t>
  </si>
  <si>
    <t>CORTE, HABILITADO, PREFABRICADO DE ISOMETRICO DE TUBERIAS BAJANTE DE POZO 301 A CABEZAL DE PRODUCCIÓN NUEVO PARA SU INSTALACIÓN EN LA PLATAFORMA TARATUNICH-301, INCLUYE: PERSONAL, EQUIPOS, INSUMOS, MANIOBRAS DE IZAJE, SEGÚN INGENIERÍA APROBADA PARA SU CONSTRUCCIÓN. PLANO DE REFERENCIA: B-812-TT.301-OS.009-K-010. NO INCLUYE EL SUMINISTRO DE MATERIAL PERMANENTE.</t>
  </si>
  <si>
    <t>C2EXT-0722</t>
  </si>
  <si>
    <t>CORTE, HABILITADO, PREFABRICADO DE ISOMETRICO DE TUBERIAS BAJANTE DE POZO 61D NUEVO LADO ESTE A CABEZAL DE PRODUCCION PARA SU INSTALACIÓN EN LA PLATAFORMA TARATUNICH-301, INCLUYE: PERSONAL, EQUIPOS, INSUMOS, MANIOBRAS DE IZAJE, SEGÚN INGENIERÍA APROBADA PARA SU CONSTRUCCIÓN. PLANO DE REFERENCIA: B-812-TT.301-OS.009-K-010. NO INCLUYE EL SUMINISTRO DE MATERIAL PERMANENTE.</t>
  </si>
  <si>
    <t>C2EXT-0723</t>
  </si>
  <si>
    <t>CORTE, HABILITADO, PREFABRICADO DE ISOMETRICO DE TUBERIAS BAJANTE DE POZO NUEVO LADO ESTE y OESTE (SIAMESA) A CABEZAL DE PRODUCCION PARA SU INSTALACIÓN EN LA PLATAFORMA TARATUNICH-301, INCLUYE: PERSONAL, EQUIPOS, INSUMOS, MANIOBRAS DE IZAJE, SEGÚN INGENIERÍA APROBADA PARA SU CONSTRUCCIÓN. PLANO DE REFERENCIA: B-812-TT.301-OS.009-K-011. NO INCLUYE EL SUMINISTRO DE MATERIAL PERMANENTE.</t>
  </si>
  <si>
    <t>C2EXT-0724</t>
  </si>
  <si>
    <t>CORTE, HABILITADO, PREFABRICADO DE ISOMETRICO DE TUBERIAS BAJANTE DE POZO NUEVO LADO OESTE (FUTURO) A CABEZAL DE PRODUCCION PARA SU INSTALACIÓN EN LA PLATAFORMA TARATUNICH-301, INCLUYE: PERSONAL, EQUIPOS, INSUMOS, MANIOBRAS DE IZAJE, SEGÚN INGENIERÍA APROBADA PARA SU CONSTRUCCIÓN. PLANO DE REFERENCIA: B-812-TT.301-OS.009-K-012. NO INCLUYE EL SUMINISTRO DE MATERIAL PERMANENTE.</t>
  </si>
  <si>
    <t>C2EXT-0725</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</si>
  <si>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B-812-TT.301-OS.009-K-013. NO INCLUYE EL SUMINISTRO DE MATERIAL PERMANENTE.</t>
  </si>
  <si>
    <t>C2EXT-0726</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</si>
  <si>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B-812-TT.301-OS.009-K-014. NO INCLUYE EL SUMINISTRO DE MATERIAL PERMANENTE.</t>
  </si>
  <si>
    <t>C2EXT-0727</t>
  </si>
  <si>
    <t>CORTE, HABILITADO, PREFABRICADO DE ISOMETRICO DE TUBERIA BAJANTE DE POZO NUEVO LADO ESTE Y OESTE (SIAMESA) A CABEZAL DE PRUEBA PARA SU INSTALACIÓN EN LA PLATAFORMA TARATUNICH-301, INCLUYE: PERSONAL, EQUIPOS, INSUMOS, MANIOBRAS DE IZAJE, SEGÚN INGENIERÍA APROBADA PARA SU CONSTRUCCIÓN. PLANO DE REFERENCIA: B-812-TT.301-OS.009-K-015. NO INCLUYE EL SUMINISTRO DE MATERIAL PERMANENTE.</t>
  </si>
  <si>
    <t>C2EXT-0728</t>
  </si>
  <si>
    <t>CODO DE 45° R. L. ACERO AL CARBONO DE 3" DE DIÁMETRO, CEDÚLA 40 (0.216"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</si>
  <si>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BME-3801-089-2025</t>
  </si>
  <si>
    <t>C2EXT-0729</t>
  </si>
  <si>
    <t>CODO DE 45° R. L. ACERO AL CARBONO DE 4" DE DIÁMETRO, CEDÚLA 40 (0.237"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</si>
  <si>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C2EXT-0730</t>
  </si>
  <si>
    <t>TEE REDUCIDA INSERTO SOLDABLE (S.W.) ACERO AL CARBONO 2" X 1" DE DIÁMETRO CLASE 3000, ESPECIFICACIÓN ASTM A-105 Y ASME B16.11; INCLUYE SUMINISTRO, INSPECCIÓN, EMBALAJE, CARGA, ASEGURAMIENTO, TRANSPORTE DEL ALMACÉN DE LA CONTRATISTA, UBICADO EN EL KM. 13.8 AL PATIO DE PREFABRICADOS EN EL RECINTO PORTUARIO DE CIUDAD DEL CARMEN DE ACUERDO CON EL ANEXO DE ESPECIFICACIONES PARTICULARES.</t>
  </si>
  <si>
    <t>C2EXT-0731</t>
  </si>
  <si>
    <t>REDUCCIÓN CONCENTRICA DE ACERO AL CARBONO FORJADO, EXTREMOS BISELADOS PARA SOLDAR, SIN COSTURA, ESPECIFICACIÓN ASTM A 234 GRADO WPB, ASME B16.9 DE 4 X 3" CEDÚLA 40, CUMPLE CON EL ESTANDAR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</si>
  <si>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C2EXT-0732</t>
  </si>
  <si>
    <t>LATROLET SOLDABLE DE 3" DE DIÁMETRO A 45° DE ACERO AL CARBONO, ASTM A-234 WPB CLASE 3000#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</si>
  <si>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C2EXT-0733</t>
  </si>
  <si>
    <t>NIPLE DE ACERO AL CARBONO, SIN COSTURA DE 1" DE DIÁMETRO X 3.5" DE LONGITUD, CEDÚLA 160, ESPECIFICACIÓN ASTM A-106 GRADO B, EXTREMOS PLANO X ROSCADO ASME B1.20.1; INCLUYE SUMINISTRO, INSPECCIÓN, EMBALAJE, CARGA, ASEGURAMIENTO, TRANSPORTE DEL ALMACÉN DE LA CONTRATISTA, UBICADO EN EL KM. 13.8 AL PATIO DE PREFABRICADOS EN EL RECINTO PORTUARIO DE CIUDAD DEL CARMEN DE ACUERDO CON EL ANEXO DE ESPECIFICACIONES PARTICULARES.</t>
  </si>
  <si>
    <t>C2EXT-0734</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</si>
  <si>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</si>
  <si>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BME-3801-033-2025</t>
  </si>
  <si>
    <t>OT-801-25-089-EK-TA</t>
  </si>
  <si>
    <t>C2EXT-0735</t>
  </si>
  <si>
    <t>PTE EK-TA</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</si>
  <si>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</si>
  <si>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C2EXT-0736</t>
  </si>
  <si>
    <t>CORTE, HABILITADO, PREFABRICADO DE SOPORTE Y BASE DE CAJA DE INTERCONEXIONES, A BASE DE PERFILES ESTRUCTURALES VARIOS. INCLUYE: PERSONAL, EQUIPOS, INSUMOS, MANIOBRAS DE IZAJE, SEGÚN INGENIERÍA APROBADA PARA SU CONSTRUCCIÓN. PLANO DE REFERENCIA: D-PP-EK-TA-G-820. NO INCLUYE EL SUMINISTRO DE MATERIAL PERMANENTE.</t>
  </si>
  <si>
    <t>C2EXT-0737</t>
  </si>
  <si>
    <t>SERVICIO DE MANEJO Y TRANSPORTE DE METAL FERROSO CON GÓNDOLA PARA RESIDUOS DE MANEJO ESPECIAL, RESIDUOS PELIGROSOS Y RESIDUOS SÓLIDOS; DEL MUELLE DE ROCAPORT A INSTALACIONES DE PEMEX EN LA TERMINAL MARÍTIMA DOS BOCAS.</t>
  </si>
  <si>
    <t>BME-3801-111-2025</t>
  </si>
  <si>
    <t>C2EXT-0738</t>
  </si>
  <si>
    <t>SERVICIO DE MANEJO Y TRANSPORTE DE BATERÍAS CON PLANA PARA RESIDUOS DE MANEJO ESPECIAL, RESIDUOS PELIGROSOS Y RESIDUOS SÓLIDOS; DEL MUELLE DE ROCAPORT A INSTALACIONES DE PEMEX  EN LA TERMINAL MARÍTIMA DOS BOCAS.</t>
  </si>
  <si>
    <t>C2EXT-0739</t>
  </si>
  <si>
    <t>SERVICIO DE LIMPIEZA DE RESIDUOS DE MANEJO ESPECIAL, RESIDUOS PELIGROSOS Y RESIDUOS SÓLIDOS EN EL MUELLE DE ROCAPORT. INCLUYE: MANO DE OBRA Y MAQUINARIA.</t>
  </si>
  <si>
    <t>C2EXT-0740</t>
  </si>
  <si>
    <t>SERVICIO DE RECOLECCIÓN, TRANSPORTE, ACOPIO, RETIRO Y DISPOSICIÓN FINAL DE RESIDUOS DE MANEJO ESPECIAL, RESIDUOS PELIGROSOS Y RESIDUOS SÓLIDOS URBANOS (RESULTANTES DE LA LIMPIEZA DEL MUELLE DE ROCAPORT, NO INCLUYE CHATARRA).</t>
  </si>
  <si>
    <t>C2EXT-0741</t>
  </si>
  <si>
    <t>ELBOLET DE ACERO AL CARBONO, CÉDULA 80, DE 8" X 3"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</si>
  <si>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C2EXT-0742</t>
  </si>
  <si>
    <t>MASILLA BI-COMPONENTE A BASE DE EPOXI NOVOLAC, CON RELLENO DE ACERO DE ALTO SÍLICIO, DE DOS COMPONENTES BASE Y ACTIVADOR 100% SOLIDOS POR VOLÚMEN, COMPUESTOS ORGÁNICOS VOLÁTILES 0 G/LT (0 LB/GAL), TEMPERATURA DE SERVICIO SECO 149 GRADOS C (300 GRADOS F), RESISTENCIA A LA COMPRESIÓN ASTM C579 DE 770 KG/CM (11,000 PSI), RESISTENCIA A LA TENSIÓN ASTM C307 DE 169 KG/CM (2,400 PSI), ADHESIÓN ASTM D4541 DE 70 KG/CM (1,000 PSI), DUREZA (SHORE-D) ASTM D2246 DE 87, DENSIDAD 2.64 G/CM (165 PCF), RESISTENCIA QUÍMICA A HIDROCARBUROS, COMBUSTIBLES, ÁCIDOS Y ALCALINOS, PRESENTACIÓN EN UNIDAD DE 2 GALONES (22 KG). EMSOL, MRP-1150; INCLUYE SUMINISTRO, INSPECCIÓN, EMBALAJE, CARGA, ASEGURAMIENTO, TRANSPORTE DEL ALMACÉN DE LA CONTRATISTA, UBICADO EN EL KM. 13.8 AL PATIO DE PREFABRICADOS EN EL RECINTO PORTUARIO DE CIUDAD DEL CARMEN DE ACUERDO CON EL ANEXO DE ESPECIFICACIONES PARTICULARES.</t>
  </si>
  <si>
    <t>C2EXT-0743</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</si>
  <si>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</si>
  <si>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C2EXT-0744</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</si>
  <si>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</si>
  <si>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C2EXT-0745</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</si>
  <si>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</si>
  <si>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C2EXT-0746</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</si>
  <si>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</si>
  <si>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C2EXT-0747</t>
  </si>
  <si>
    <t>CORTE, HABILITADO, PREFABRICADO DE SOPORTE Y BASE DE CAJA DE INTERCONEXIONES No.4, A BASE DE PERFILES ESTRUCTURALES VARIOS. INCLUYE: PERSONAL, EQUIPOS, INSUMOS, MANIOBRAS DE IZAJE, SEGÚN INGENIERÍA APROBADA PARA SU CONSTRUCCIÓN. PLANO DE REFERENCIA: D-PP-EK-TA-G-821. NO INCLUYE EL SUMINISTRO DE MATERIAL PERMANENTE.</t>
  </si>
  <si>
    <t>C2EXT-0748</t>
  </si>
  <si>
    <t>TUBO CIRCULAR (OC) 356 mm x 9.53 mm (14 in. x 0.375 in.) 81.33 kg/m DE ACERO AL CARBONO API 5L GR.B, INCLUYE SUMINISTRO, INSPECCIÓN, EMBALAJE, CARGA, ASEGURAMIENTO, TRANSPORTE DEL ALMACÉN DE LA CONTRATISTA, UBICADO EN EL KM. 13.8 AL PATIO DE PREFABRICADOS EN EL RECINTO PORTUARIO DE CIUDAD DEL CARMEN DE ACUERDO CON EL ANEXO DE ESPECIFICACIONES PARTICULARES.</t>
  </si>
  <si>
    <t>C2EXT-0749</t>
  </si>
  <si>
    <t>ESPÁRRAGO DE ACERO ALEADO ASTM A193 GR.B7M DE 1"Ø X 8" LONGITUD, CON 2 TUERCAS HEXAGONALES ASTM A194 GR. 2HM.,ROSCAS ASME B1.1 CLASE 2A, ESPECIFICACIÓN ASME B18.31.2, CADMINIZADOS CONFORME A ESPECIFICACIÓN ASTM-B766, TIPO II CLASE 25 (25 MICRAS DE ESPESOR). INCLUYE SUMINISTRO, INSPECCIÓN, EMBALAJE, CARGA, ASEGURAMIENTO, TRANSPORTE DEL ALMACÉN DE LA CONTRATISTA, UBICADO EN EL KM. 13.8 AL PATIO DE PREFABRICADOS EN EL RECINTO PORTUARIO DE CIUDAD DEL CARMEN DE ACUERDO CON EL ANEXO DE ESPECIFICACIONES PARTICULARES.</t>
  </si>
  <si>
    <t>C2EXT-0750</t>
  </si>
  <si>
    <t>TORNILLO DE CABEZA HEXAGONAL DE ALTA RESISTENCIA ASTM A-307 DE 9.52 mm DE DIÁMETRO x 102 mm DE LONGITUD (3/8" DE DIÁMETRO x 4" LONGITUD.),CON 2 TUERCAS HEXAGONALES ASTM A 194 Gr. 2H Y ROLDANAS PLANAS ASTM F 436. INCLUYE SUMINISTRO, INSPECCIÓN, EMBALAJE, CARGA, ASEGURAMIENTO, TRANSPORTE DEL ALMACÉN DE LA CONTRATISTA, UBICADO EN EL KM. 13.8 AL PATIO DE PREFABRICADOS EN EL RECINTO PORTUARIO DE CIUDAD DEL CARMEN DE ACUERDO CON EL ANEXO DE ESPECIFICACIONES PARTICULARES.</t>
  </si>
  <si>
    <t>C2EXT-0751</t>
  </si>
  <si>
    <t>ESPÁRRAGO DE ACERO AL CARBONO ASTM A193 GR. B7M, CON DOS TUERCAS HEXAGONALES ASTM A194 GRADO 2HM, ROSCAS ASME B1.1 CLASE 2A, CON RECUBRIMIENTO RESISTENTE A LA CORROSIÓN A BASE DE CADMIO (25 MICRAS DE ESPESOR ASTM B766 O EQUIVALENTE), DE DE 1 1/2" DE DIÁMETRO X 8 1/4" LONGITUD. INCLUYE SUMINISTRO, INSPECCIÓN, EMBALAJE, CARGA, ASEGURAMIENTO, TRANSPORTE DEL ALMACÉN DE LA CONTRATISTA, UBICADO EN EL KM. 13.8 AL PATIO DE PREFABRICADOS EN EL RECINTO PORTUARIO DE CIUDAD DEL CARMEN DE ACUERDO CON EL ANEXO DE ESPECIFICACIONES PARTICULARES.</t>
  </si>
  <si>
    <t>C2EXT-0752</t>
  </si>
  <si>
    <t>CORTE, HABILITADO, PREFABRICADO DE PLANTA ESTRUCTURAL ADOSADA PARA LA ELEV.(+) 5.030 M Y ELEV. (-) 3.810 M DE LA PLATAFORMA YAXCHE, INCLUYE: PERSONAL, EQUIPOS, INSUMOS, MANIOBRAS DE IZAJE, SEGÚN INGENIERÍA APROBADA PARA SU CONSTRUCCIÓN. PLANO DE REFERENCIA: D-811.003-YAXCHE-C-G-011, D-811.003-YAXCHE-C-G-012, D-811.003-YAXCHE-C-G-013, D-811.003-YAXCHE-C-G-014, D-811.003-YAXCHE-C-G-015 Y D-811.003-YAXCHE-C-G-016. NO INCLUYE EL SUMINISTRO DE MATERIAL PERMANENTE.</t>
  </si>
  <si>
    <t>OT-GRZ-801-23-004-CONDUCTORES YAXCHE-C</t>
  </si>
  <si>
    <t>C2EXT-0753</t>
  </si>
  <si>
    <t>TUBO OC-508 MM X 25.4 MM ROLADO CON SUPLEMENTOS S-1, S3, S-4 Y S-5. API 2H GR. 50 (302.28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</si>
  <si>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C2EXT-0754</t>
  </si>
  <si>
    <t>TUBO CIRCULAR (OC) 356 MM X 19.05 MM ROLADO CON SUPLEMENTOS S-1, S3, S-4 Y S-5. API 2H GR. 50 (158.11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</si>
  <si>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C2EXT-0755</t>
  </si>
  <si>
    <t>TUBO DE 2" DE DIÁMETRO DE ACERO AL CARBONO A-106, CÉDULA 40, ESPESOR DE PARED 0.154"; INCLUYE SUMINISTRO, INSPECCIÓN, EMBALAJE, CARGA, ASEGURAMIENTO, TRANSPORTE DEL ALMACÉN DE LA CONTRATISTA, UBICADO EN EL KM. 13.8 AL PATIO DE PREFABRICADOS EN EL RECINTO PORTUARIO DE CIUDAD DEL CARMEN DE ACUERDO CON EL ANEXO DE ESPECIFICACIONES PARTICULARES.</t>
  </si>
  <si>
    <t>C2EXT-0756</t>
  </si>
  <si>
    <t>TUBO, DE 20" (508.00MM) DE DIÁMETRO NOMINAL, 1.031" (26.187MM) DE ESPESOR, CÉDULA 80, CON COSTURA SAW, EXTREMOS BISELADOS, DE ACERO AL CARBONO, SIN RECUBRIMIENTO, ESPECIFICACIÓN ISO 3183 L245NS, API 5L, GRADO BNS, PSL2,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</si>
  <si>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ML</t>
  </si>
  <si>
    <t>C2EXT-0757</t>
  </si>
  <si>
    <t>TUBO DE 16" (406.40MM) DE DIÁMETRO NOMINAL, 0.844" (21.438MM) DE ESPESOR, CÉDULA 80,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</si>
  <si>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</si>
  <si>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8" (203.20MM) DE DIÁMETRO NOMINAL, 0.500" (12.700MM) DE ESPESOR, CÉDULA (XS,080),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</si>
  <si>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C2EXT-0759</t>
  </si>
  <si>
    <t>TUBO DE 6" (152.40MM) DE DIÁMETRO NOMINAL, 0.432" (10.973MM) DE ESPESOR, CÉDULA (XS,80),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</si>
  <si>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C2EXT-0760</t>
  </si>
  <si>
    <t>CODO DE 90 GRADOS, R.L., ACERO AL CARBONO S/COSTURA, EXTREMOS BISELADOS PARA SOLDAR, ESPECIFICACIÓN ASTM A-234, GRADO WPB, DE CÉDULA 80 DE 20"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</si>
  <si>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C2EXT-0761</t>
  </si>
  <si>
    <t>CODO 45 GRADOS, DE 20"(508.00MM) DE DIÁMETRO NOMINAL, 1.031" (26.187MM) DE ESPESOR, CÉDULA 80, CON COSTURA, RADIO LARGO,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</si>
  <si>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C2EXT-0762</t>
  </si>
  <si>
    <t>CODO DE 90 GRADOS, R.L., ACERO AL CARBONO S/COSTURA, EXTREMOS BISELADOS PARA SOLDAR, ESPECIFICACIÓN ASTM A-234, GRADO WPB, DE CÉDULA 80 DE 8"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</si>
  <si>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C2EXT-0763</t>
  </si>
  <si>
    <t>CODO DE 90 GRADOS, R.L., ACERO AL CARBONO S/COSTURA, EXTREMOS BISELADOS PARA SOLDAR, ESPECIFICACIÓN ASTM A-234, GRADO WPB, DE CÉDULA 80 DE 6"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</si>
  <si>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C2EXT-0764</t>
  </si>
  <si>
    <t>TEE REDUCCIÓN DE ACERO AL CARBONO, EXTREMOS BISELADOS PARA SOLDAR, ESPECIFICACIÓN ASTM A-234, GRADO WPB DE CÉDULA 80 DE 8"X6"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</si>
  <si>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C2EXT-0765</t>
  </si>
  <si>
    <t>TEE REDUCCIÓN DE ACERO AL CARBONO, EXTREMOS BISELADOS PARA SOLDAR, ESPECIFICACIÓN ASTM A-234, GRADO WPB DE CÉDULA 80 DE 20"X16"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</si>
  <si>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C2EXT-0766</t>
  </si>
  <si>
    <t>TEE RECTA, DE 20" (508.00 MM) DE DIÁMETRO NOMINAL, 1.031" (26.187MM) DE ESPESOR, CÉDULA 080, CON COSTURA,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</si>
  <si>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C2EXT-0767</t>
  </si>
  <si>
    <t>REDUCCIÓN CONCENTRICA DE 6"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</si>
  <si>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C2EXT-0768</t>
  </si>
  <si>
    <t>BRIDA CUELLO SOLDABLE ASTM A-105, CLASE 600 W.N.R.F., DE CÉDULA 80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</si>
  <si>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C2EXT-0769</t>
  </si>
  <si>
    <t>BRIDA CUELLO SOLDABLE (-WN), DE 8"(203.20MM) DE DIÁMETRO NOMINAL, 0.500" (12.700MM) DE ESPESOR, CÉDULA (XS,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</si>
  <si>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C2EXT-0770</t>
  </si>
  <si>
    <t>BRIDA CUELLO SOLDABLE ASTM A-105, CLASE 600 W.N.R.F., DE CÉDULA 80 DE 16"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</si>
  <si>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C2EXT-0771</t>
  </si>
  <si>
    <t>TUBO DE 8" (203.20MM) DE DIÁMETRO NOMINAL, 0.322" (08.179MM) DE ESPESOR, CÉDULA (ESTÁNDAR,040),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</si>
  <si>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C2EXT-0772</t>
  </si>
  <si>
    <t>TUBO DE 6" (152.40MM) DE DIÁMETRO NOMINAL, 0.280" (07.112MM)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</si>
  <si>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C2EXT-0773</t>
  </si>
  <si>
    <t>TUBO DE 4" (101.60MM) DE DIÁMETRO NOMINAL, 0.237" (06.020MM)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</si>
  <si>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C2EXT-0774</t>
  </si>
  <si>
    <t>TUBO, DE 3" (76.20MM) DE DIÁMETRO NOMINAL, 0.216" (05.486MM)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</si>
  <si>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C2EXT-0775</t>
  </si>
  <si>
    <t>PERFIL ÁNGULO LADOS IGUALES, DE 4" (102 MM) DE ALTO X 4" (102 MM) DE ANCHO X 3/8" (9.525MM)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</si>
  <si>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C2EXT-0776</t>
  </si>
  <si>
    <t>PERFIL ÁNGULO LADOS IGUALES, DE 2" (51 MM) DE ALTO X 2" (51 MM) DE ANCHO X 1/4" (6.350MM)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</si>
  <si>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C2EXT-0777</t>
  </si>
  <si>
    <t>SERVICIO DE SELLADO CONVENCIONAL DE VÁLVULA TIPO COMPUERTA, ESFÉRICA, GLOBO O DE MARIPOSA DE 6" DE DIÁMETRO CON RANGO DE PRESIÓN DESDE 150# HASTA 900# EN LA TERMINAL MARITIMA DOS BOCAS. INCLUYE: EQUIPOS, HERRAMIENTAS, MATERIALES E INSUMOS NECESARIOS PARA EL CORRECTO SELLADO DE LA VÁLVULA.</t>
  </si>
  <si>
    <t>BME-3801-136-2025</t>
  </si>
  <si>
    <t>OT-801-25-110-VALVULAS-TMDB</t>
  </si>
  <si>
    <t>C2EXT-0778</t>
  </si>
  <si>
    <t>MANTENIMIENTO A VÁLVULAS PARA LA TMDB</t>
  </si>
  <si>
    <t>SERVICIO DE SELLADO CONVENCIONAL DE VÁLVULA TIPO COMPUERTA, ESFÉRICA, GLOBO O DE MARIPOSA DE 10" DE DIÁMETRO CON RANGO DE PRESIÓN DESDE 150# HASTA 900# EN LA TERMINAL MARITIMA DOS BOCAS. INCLUYE: EQUIPOS, HERRAMIENTAS, MATERIALES E INSUMOS NECESARIOS PARA EL CORRECTO SELLADO DE LA VÁLVULA</t>
  </si>
  <si>
    <t>C2EXT-0779</t>
  </si>
  <si>
    <t>SERVICIO DE SELLADO CONVENCIONAL DE VÁLVULA TIPO COMPUERTA, ESFÉRICA, GLOBO O DE MARIPOSA DE 16" DE DIÁMETRO CON RANGO DE PRESIÓN DESDE 150# HASTA 900# EN LA TERMINAL MARITIMA DOS BOCAS. INCLUYE: EQUIPOS, HERRAMIENTAS, MATERIALES E INSUMOS NECESARIOS PARA EL CORRECTO SELLADO DE LA VÁLVULA</t>
  </si>
  <si>
    <t>C2EXT-0780</t>
  </si>
  <si>
    <t>SERVICIO DE SELLADO CONVENCIONAL DE VÁLVULA TIPO COMPUERTA, ESFÉRICA, GLOBO O DE MARIPOSA DE 18" DIAMETRO CON RANGO DE PRESIÓN DESDE 150# HASTA 900# EN LA TERMINAL MARITIMA DOS BOCAS. INCLUYE: EQUIPOS, HERRAMIENTAS, MATERIALES E INSUMOS NECESARIOS PARA EL CORRECTO SELLADO DE LA VÁLVULA</t>
  </si>
  <si>
    <t>C2EXT-0781</t>
  </si>
  <si>
    <t>SERVICIO TECNICO ESPECIALIZADO DE INSPECCIÓN Y DICTAMEN DE VÁLVULA TIPO COMPUERTA, ESFÉRICA, GLOBO O DE MARIPOSA DE 6" DE DIÁMETRO CON RANGO DE PRESIÓN DESDE 150# HASTA 900# EN LA TERMINAL MARITIMA DOS BOCAS. INCLUYE: EQUIPOS, HERRAMIENTAS, MATERIALES E INSUMOS NECESARIOS PARA LA CORRECTA EJECUCIÓN DE LOS TRABAJOS</t>
  </si>
  <si>
    <t>C2EXT-0782</t>
  </si>
  <si>
    <t>SERVICIO TECNICO ESPECIALIZADO DE INSPECCIÓN Y DICTAMEN DE VÁLVULA TIPO COMPUERTA, ESFÉRICA, GLOBO O DE MARIPOSA DE 8" DE DIÁMETRO CON RANGO DE PRESIÓN DESDE 150# HASTA 900# EN LA TERMINAL MARITIMA DOS BOCAS. INCLUYE: EQUIPOS, HERRAMIENTAS, MATERIALES E INSUMOS NECESARIOS PARA LA CORRECTA EJECUCIÓN DE LOS TRABAJOS</t>
  </si>
  <si>
    <t>C2EXT-0783</t>
  </si>
  <si>
    <t>SERVICIO TECNICO ESPECIALIZADO DE INSPECCIÓN Y DICTAMEN DE VÁLVULA TIPO COMPUERTA, ESFÉRICA, GLOBO O DE MARIPOSA DE 14" DE DIÁMETRO CON RANGO DE PRESIÓN DESDE 150# HASTA 900# EN LA TERMINAL MARITIMA DOS BOCAS. INCLUYE: EQUIPOS, HERRAMIENTAS, MATERIALES E INSUMOS NECESARIOS PARA LA CORRECTA EJECUCIÓN DE LOS TRABAJOS.</t>
  </si>
  <si>
    <t>C2EXT-0784</t>
  </si>
  <si>
    <t>SERVICIO TECNICO ESPECIALIZADO DE INSPECCIÓN Y DICTAMEN DE VÁLVULA TIPO COMPUERTA, ESFÉRICA, GLOBO O DE MARIPOSA DE 16" DE DIÁMETRO CON RANGO DE PRESIÓN DESDE 150# HASTA 900# EN LA TERMINAL MARITIMA DOS BOCAS. INCLUYE: EQUIPOS, HERRAMIENTAS, MATERIALES E INSUMOS NECESARIOS PARA LA CORRECTA EJECUCIÓN DE LOS TRABAJOS.</t>
  </si>
  <si>
    <t>C2EXT-0785</t>
  </si>
  <si>
    <t>SERVICIO DE SELLADO CONVENCIONAL DE VÁLVULA TIPO COMPUERTA, ESFÉRICA, GLOBO O DE MARIPOSA DE 8" DE DIÁMETRO CON RANGO DE PRESIÓN DESDE 150# HASTA 900# EN LA TERMINAL MARITIMA DOS BOCAS. INCLUYE: EQUIPOS, HERRAMIENTAS, MATERIALES E INSUMOS NECESARIOS PARA EL CORRECTO SELLADO DE LA VÁLVULA.</t>
  </si>
  <si>
    <t>C2EXT-0786</t>
  </si>
  <si>
    <t>SERVICIO DE SELLADO CONVENCIONAL DE VÁLVULA TIPO COMPUERTA, ESFÉRICA, GLOBO O DE MARIPOSA DE 14" DE DIÁMETRO CON RANGO DE PRESIÓN DESDE 150# HASTA 900# EN LA TERMINAL MARITIMA DOS BOCAS. INCLUYE: EQUIPOS, HERRAMIENTAS, MATERIALES E INSUMOS NECESARIOS PARA EL CORRECTO SELLADO DE LA VÁLVULA.</t>
  </si>
  <si>
    <t>C2EXT-0787</t>
  </si>
  <si>
    <t>SERVICIO TECNICO ESPECIALIZADO DE INSPECCIÓN Y DICTAMEN DE VÁLVULA TIPO COMPUERTA, ESFÉRICA, GLOBO O DE MARIPOSA DE 4" DE DIÁMETRO CON RANGO DE PRESIÓN DESDE 150# HASTA 900# EN LA TERMINAL MARITIMA DOS BOCAS. INCLUYE: EQUIPOS, HERRAMIENTAS, MATERIALES E INSUMOS NECESARIOS PARA LA CORRECTA EJECUCIÓN DE LOS TRABAJOS</t>
  </si>
  <si>
    <t>C2EXT-0788</t>
  </si>
  <si>
    <t>SERVICIO TECNICO ESPECIALIZADO DE INSPECCIÓN Y DICTAMEN DE VÁLVULA TIPO COMPUERTA, ESFÉRICA, GLOBO O DE MARIPOSA DE 10" DE DIÁMETRO CON RANGO DE PRESIÓN DESDE 150# HASTA 900# EN LA TERMINAL MARITIMA DOS BOCAS. INCLUYE: EQUIPOS, HERRAMIENTAS, MATERIALES E INSUMOS NECESARIOS PARA LA CORRECTA EJECUCIÓN DE LOS TRABAJOS.</t>
  </si>
  <si>
    <t>C2EXT-0789</t>
  </si>
  <si>
    <t>SERVICIO TECNICO ESPECIALIZADO DE INSPECCIÓN Y DICTAMEN DE VÁLVULA TIPO COMPUERTA, ESFÉRICA, GLOBO O DE MARIPOSA DE 18" DE DIÁMETRO CON RANGO DE PRESIÓN DESDE 150# HASTA 900# EN LA TERMINAL MARITIMA DOS BOCAS. INCLUYE: EQUIPOS, HERRAMIENTAS, MATERIALES E INSUMOS NECESARIOS PARA LA CORRECTA EJECUCIÓN DE LOS TRABAJOS.</t>
  </si>
  <si>
    <t>C2EXT-0790</t>
  </si>
  <si>
    <t>SERVICIO TECNICO ESPECIALIZADO DE INSPECCIÓN Y DICTAMEN DE VÁLVULA TIPO COMPUERTA, ESFÉRICA, GLOBO O DE MARIPOSA DE 24" DE DIÁMETRO CON RANGO DE PRESIÓN DESDE 150# HASTA 900# EN LA TERMINAL MARITIMA DOS BOCAS. INCLUYE: EQUIPOS, HERRAMIENTAS, MATERIALES E INSUMOS NECESARIOS PARA LA CORRECTA EJECUCIÓN DE LOS TRABAJOS.</t>
  </si>
  <si>
    <t>C2EXT-0791</t>
  </si>
  <si>
    <t>SERVICIO TECNICO ESPECIALIZADO DE INSPECCIÓN Y DICTAMEN DE VÁLVULA TIPO COMPUERTA, ESFÉRICA, GLOBO O DE MARIPOSA DE 30" DE DIÁMETRO CON RANGO DE PRESIÓN DESDE 150# HASTA 900# EN LA TERMINAL MARITIMA DOS BOCAS. INCLUYE: EQUIPOS, HERRAMIENTAS, MATERIALES E INSUMOS NECESARIOS PARA LA CORRECTA EJECUCIÓN DE LOS TRABAJOS.</t>
  </si>
  <si>
    <t>C2EXT-0792</t>
  </si>
  <si>
    <t>SERVICIO TECNICO ESPECIALIZADO DE INSPECCIÓN Y DICTAMEN DE VÁLVULA TIPO COMPUERTA, ESFÉRICA, GLOBO O DE MARIPOSA DE 36" DE DIÁMETRO CON RANGO DE PRESIÓN DESDE 150# HASTA 900# EN LA TERMINAL MARITIMA DOS BOCAS. INCLUYE: EQUIPOS, HERRAMIENTAS, MATERIALES E INSUMOS NECESARIOS PARA LA CORRECTA EJECUCIÓN DE LOS TRABAJOS.</t>
  </si>
  <si>
    <t>C2EXT-0793</t>
  </si>
  <si>
    <t>SERVICIO TECNICO ESPECIALIZADO DE INSPECCIÓN Y DICTAMEN DE VÁLVULA TIPO COMPUERTA, ESFÉRICA, GLOBO O DE MARIPOSA DE 48" DE DIÁMETRO CON RANGO DE PRESIÓN DESDE 150# HASTA 900# EN LA TERMINAL MARITIMA DOS BOCAS. INCLUYE: EQUIPOS, HERRAMIENTAS, MATERIALES E INSUMOS NECESARIOS PARA LA CORRECTA EJECUCIÓN DE LOS TRABAJOS.</t>
  </si>
  <si>
    <t>C2EXT-0794</t>
  </si>
  <si>
    <t>SERVICIO DE SELLADO DE VÁLVULA TIPO COMPUERTA, ESFÉRICA, GLOBO O DE MARIPOSA DE 4" DE DIÁMETRO CON RANGO DE PRESIÓN DESDE 150# HASTA 900# EN LA TERMINAL MARITIMA DOS BOCAS. INCLUYE: EQUIPOS, HERRAMIENTAS, MATERIALES E INSUMOS NECESARIOS PARA EL CORRECTO SELLADO DE LA VÁLVULA.</t>
  </si>
  <si>
    <t>C2EXT-0795</t>
  </si>
  <si>
    <t>SERVICIO DE SELLADO DE VÁLVULA TIPO COMPUERTA, ESFÉRICA, GLOBO O DE MARIPOSA DE 24" DE DIÁMETRO CON RANGO DE PRESIÓN DESDE 150# HASTA 900# EN LA TERMINAL MARITIMA DOS BOCAS. INCLUYE: EQUIPOS, HERRAMIENTAS, MATERIALES E INSUMOS NECESARIOS PARA EL CORRECTO SELLADO DE LA VÁLVULA.</t>
  </si>
  <si>
    <t>C2EXT-0796</t>
  </si>
  <si>
    <t>SERVICIO DE SELLADO DE VÁLVULA TIPO COMPUERTA, ESFÉRICA, GLOBO O DE MARIPOSA DE 30" DE DIÁMETRO CON RANGO DE PRESIÓN DESDE 150# HASTA 900# EN LA TERMINAL MARITIMA DOS BOCAS. INCLUYE: EQUIPOS, HERRAMIENTAS, MATERIALES E INSUMOS NECESARIOS PARA EL CORRECTO SELLADO DE LA VÁLVULA.</t>
  </si>
  <si>
    <t>C2EXT-0797</t>
  </si>
  <si>
    <t>SERVICIO DE SELLADO DE VÁLVULA TIPO COMPUERTA, ESFÉRICA, GLOBO O DE MARIPOSA DE 36" DE DIÁMETRO CON RANGO DE PRESIÓN DESDE 150# HASTA 900# EN LA TERMINAL MARITIMA DOS BOCAS. INCLUYE: EQUIPOS, HERRAMIENTAS, MATERIALES E INSUMOS NECESARIOS PARA EL CORRECTO SELLADO DE LA VÁLVULA.</t>
  </si>
  <si>
    <t>C2EXT-0798</t>
  </si>
  <si>
    <t>SERVICIO DE SELLADO DE VÁLVULA TIPO COMPUERTA, ESFÉRICA, GLOBO O DE MARIPOSA DE 48" DE DIÁMETRO CON RANGO DE PRESIÓN DESDE 150# HASTA 900# EN LA TERMINAL MARITIMA DOS BOCAS. INCLUYE: EQUIPOS, HERRAMIENTAS, MATERIALES E INSUMOS NECESARIOS PARA EL CORRECTO SELLADO DE LA VÁLVULA.</t>
  </si>
  <si>
    <t>C2EXT-0799</t>
  </si>
  <si>
    <t>REHABILITACIÓN Y MANTENIMIENTO DE ACTUADOR DE VÁLVULA TIPO COMPUERTA, ESFÉRICA, GLOBO O DE MARIPOSA DE 4" DE DIÁMETRO CON RANGO DE PRESIÓN DESDE 150# HASTA 900# EN LA TERMINAL MARITIMA DOS BOCAS. INCLUYE: EQUIPOS, HERRAMIENTAS, MATERIALES E INSUMOS NECESARIOS PARA LA CORRECTA EJECUCIÓN DE LOS TRABAJOS.</t>
  </si>
  <si>
    <t>C2EXT-0800</t>
  </si>
  <si>
    <t>REHABILITACIÓN Y MANTENIMIENTO DE ACTUADOR DE VÁLVULA TIPO COMPUERTA, ESFÉRICA, GLOBO O DE MARIPOSA DE 6" DE DIÁMETRO CON RANGO DE PRESIÓN DESDE 150# HASTA 900# EN LA TERMINAL MARITIMA DOS BOCAS. INCLUYE: EQUIPOS, HERRAMIENTAS, MATERIALES E INSUMOS NECESARIOS PARA LA CORRECTA EJECUCIÓN DE LOS TRABAJOS.</t>
  </si>
  <si>
    <t>C2EXT-0801</t>
  </si>
  <si>
    <t>REHABILITACIÓN Y MANTENIMIENTO DE ACTUADOR DE VÁLVULA TIPO COMPUERTA, ESFÉRICA, GLOBO O DE MARIPOSA DE 8" DE DIÁMETRO CON RANGO DE PRESIÓN DESDE 150# HASTA 900# EN LA TERMINAL MARITIMA DOS BOCAS. INCLUYE: EQUIPOS, HERRAMIENTAS, MATERIALES E INSUMOS NECESARIOS PARA LA CORRECTA EJECUCIÓN DE LOS TRABAJOS.</t>
  </si>
  <si>
    <t>C2EXT-0802</t>
  </si>
  <si>
    <t>REHABILITACIÓN Y MANTENIMIENTO DE ACTUADOR DE VÁLVULA TIPO COMPUERTA, ESFÉRICA, GLOBO O DE MARIPOSA DE 10" DE DIÁMETRO CON RANGO DE PRESIÓN DESDE 150# HASTA 900# EN LA TERMINAL MARITIMA DOS BOCAS. INCLUYE: EQUIPOS, HERRAMIENTAS, MATERIALES E INSUMOS NECESARIOS PARA LA CORRECTA EJECUCIÓN DE LOS TRABAJOS.</t>
  </si>
  <si>
    <t>C2EXT-0803</t>
  </si>
  <si>
    <t>REHABILITACIÓN Y MANTENIMIENTO DE ACTUADOR DE VÁLVULA TIPO COMPUERTA, ESFÉRICA, GLOBO O DE MARIPOSA DE 14" DE DIÁMETRO CON RANGO DE PRESIÓN DESDE 150# HASTA 900# EN LA TERMINAL MARITIMA DOS BOCAS. INCLUYE: EQUIPOS, HERRAMIENTAS, MATERIALES E INSUMOS NECESARIOS PARA LA CORRECTA EJECUCIÓN DE LOS TRABAJOS.</t>
  </si>
  <si>
    <t>C2EXT-0804</t>
  </si>
  <si>
    <t>REHABILITACIÓN Y MANTENIMIENTO DE ACTUADOR DE VÁLVULA TIPO COMPUERTA, ESFÉRICA, GLOBO O DE MARIPOSA DE 16" DE DIÁMETRO CON RANGO DE PRESIÓN DESDE 150# HASTA 900# EN LA TERMINAL MARITIMA DOS BOCAS. INCLUYE: EQUIPOS, HERRAMIENTAS, MATERIALES E INSUMOS NECESARIOS PARA LA CORRECTA EJECUCIÓN DE LOS TRABAJOS.</t>
  </si>
  <si>
    <t>C2EXT-0805</t>
  </si>
  <si>
    <t>REHABILITACIÓN Y MANTENIMIENTO DE ACTUADOR DE VÁLVULA TIPO COMPUERTA, ESFÉRICA, GLOBO O DE MARIPOSA DE 18" DE DIÁMETRO CON RANGO DE PRESIÓN DESDE 150# HASTA 900# EN LA TERMINAL MARITIMA DOS BOCAS. INCLUYE: EQUIPOS, HERRAMIENTAS, MATERIALES E INSUMOS NECESARIOS PARA LA CORRECTA EJECUCIÓN DE LOS TRABAJOS.</t>
  </si>
  <si>
    <t>C2EXT-0806</t>
  </si>
  <si>
    <t>REHABILITACIÓN Y MANTENIMIENTO DE ACTUADOR DE VÁLVULA TIPO COMPUERTA, ESFÉRICA, GLOBO O DE MARIPOSA DE 24" DE DIÁMETRO CON RANGO DE PRESIÓN DESDE 150# HASTA 900# EN LA TERMINAL MARITIMA DOS BOCAS. INCLUYE: EQUIPOS, HERRAMIENTAS, MATERIALES E INSUMOS NECESARIOS PARA LA CORRECTA EJECUCIÓN DE LOS TRABAJOS.</t>
  </si>
  <si>
    <t>C2EXT-0807</t>
  </si>
  <si>
    <t>REHABILITACIÓN Y MANTENIMIENTO DE ACTUADOR DE VÁLVULA TIPO COMPUERTA, ESFÉRICA, GLOBO O DE MARIPOSA DE 30" DE DIÁMETRO CON RANGO DE PRESIÓN DESDE 150# HASTA 900# EN LA TERMINAL MARITIMA DOS BOCAS. INCLUYE: EQUIPOS, HERRAMIENTAS, MATERIALES E INSUMOS NECESARIOS PARA LA CORRECTA EJECUCIÓN DE LOS TRABAJOS.</t>
  </si>
  <si>
    <t>C2EXT-0808</t>
  </si>
  <si>
    <t>REHABILITACIÓN Y MANTENIMIENTO DE ACTUADOR DE VÁLVULA TIPO COMPUERTA, ESFÉRICA, GLOBO O DE MARIPOSA DE 36" DE DIÁMETRO CON RANGO DE PRESIÓN DESDE 150# HASTA 900# EN LA TERMINAL MARITIMA DOS BOCAS. INCLUYE: EQUIPOS, HERRAMIENTAS, MATERIALES E INSUMOS NECESARIOS PARA LA CORRECTA EJECUCIÓN DE LOS TRABAJOS.</t>
  </si>
  <si>
    <t>C2EXT-0809</t>
  </si>
  <si>
    <t>REHABILITACIÓN Y MANTENIMIENTO DE ACTUADOR DE VÁLVULA TIPO COMPUERTA, ESFÉRICA, GLOBO O DE MARIPOSA DE 48" DE DIÁMETRO CON RANGO DE PRESIÓN DESDE 150# HASTA 900# EN LA TERMINAL MARITIMA DOS BOCAS. INCLUYE: EQUIPOS, HERRAMIENTAS, MATERIALES E INSUMOS NECESARIOS PARA LA CORRECTA EJECUCIÓN DE LOS TRABAJOS.</t>
  </si>
  <si>
    <t>C2EXT-0810</t>
  </si>
  <si>
    <t>SELLADO INVERSO DE VÁLVULA TIPO COMPUERTA, ESFÉRICA, GLOBO O DE MARIPOSA DE 4" DE DIÁMETRO CON RANGO DE PRESIÓN DESDE 150# HASTA 900# EN LA TERMINAL MARITIMA DOS BOCAS. INCLUYE: EQUIPOS, HERRAMIENTAS, MATERIALES E INSUMOS NECESARIOS PARA EL CORRECTO SELLADO DE LA VÁLVULA.</t>
  </si>
  <si>
    <t>C2EXT-0811</t>
  </si>
  <si>
    <t>SELLADO INVERSO DE VÁLVULA TIPO COMPUERTA, ESFÉRICA, GLOBO O DE MARIPOSA DE 6" DE DIÁMETRO CON RANGO DE PRESIÓN DESDE 150# HASTA 900# EN LA TERMINAL MARITIMA DOS BOCAS. INCLUYE: EQUIPOS, HERRAMIENTAS, MATERIALES E INSUMOS NECESARIOS PARA EL CORRECTO SELLADO DE LA VÁLVULA.</t>
  </si>
  <si>
    <t>C2EXT-0812</t>
  </si>
  <si>
    <t>SELLADO INVERSO DE VÁLVULA TIPO COMPUERTA, ESFÉRICA, GLOBO O DE MARIPOSA DE 8" DE DIÁMETRO CON RANGO DE PRESIÓN DESDE 150# HASTA 900# EN LA TERMINAL MARITIMA DOS BOCAS. INCLUYE: EQUIPOS, HERRAMIENTAS, MATERIALES E INSUMOS NECESARIOS PARA EL CORRECTO SELLADO DE LA VÁLVULA.</t>
  </si>
  <si>
    <t>C2EXT-0813</t>
  </si>
  <si>
    <t>SELLADO INVERSO DE VÁLVULA TIPO COMPUERTA, ESFÉRICA, GLOBO O DE MARIPOSA DE 10" DE DIÁMETRO CON RANGO DE PRESIÓN DESDE 150# HASTA 900# EN LA TERMINAL MARITIMA DOS BOCAS. INCLUYE: EQUIPOS, HERRAMIENTAS, MATERIALES E INSUMOS NECESARIOS PARA EL CORRECTO SELLADO DE LA VÁLVULA.</t>
  </si>
  <si>
    <t>C2EXT-0814</t>
  </si>
  <si>
    <t>SELLADO INVERSO DE VÁLVULA TIPO COMPUERTA, ESFÉRICA, GLOBO O DE MARIPOSA DE 14" DE DIÁMETRO CON RANGO DE PRESIÓN DESDE 150# HASTA 900# EN LA TERMINAL MARITIMA DOS BOCAS. INCLUYE: EQUIPOS, HERRAMIENTAS, MATERIALES E INSUMOS NECESARIOS PARA EL CORRECTO SELLADO DE LA VÁLVULA.</t>
  </si>
  <si>
    <t>C2EXT-0815</t>
  </si>
  <si>
    <t>SELLADO INVERSO DE VÁLVULA TIPO COMPUERTA, ESFÉRICA, GLOBO O DE MARIPOSA DE 16" DE DIÁMETRO CON RANGO DE PRESIÓN DESDE 150# HASTA 900# EN LA TERMINAL MARITIMA DOS BOCAS. INCLUYE: EQUIPOS, HERRAMIENTAS, MATERIALES E INSUMOS NECESARIOS PARA EL CORRECTO SELLADO DE LA VÁLVULA.</t>
  </si>
  <si>
    <t>C2EXT-0816</t>
  </si>
  <si>
    <t>SELLADO INVERSO DE VÁLVULA TIPO COMPUERTA, ESFÉRICA, GLOBO O DE MARIPOSA DE 18" DE DIÁMETRO CON RANGO DE PRESIÓN DESDE 150# HASTA 900# EN LA TERMINAL MARITIMA DOS BOCAS. INCLUYE: EQUIPOS, HERRAMIENTAS, MATERIALES E INSUMOS NECESARIOS PARA EL CORRECTO SELLADO DE LA VÁLVULA.</t>
  </si>
  <si>
    <t>C2EXT-0817</t>
  </si>
  <si>
    <t>SELLADO INVERSO DE VÁLVULA TIPO COMPUERTA, ESFÉRICA, GLOBO O DE MARIPOSA DE 24" DE DIÁMETRO CON RANGO DE PRESIÓN DESDE 150# HASTA 900# EN LA TERMINAL MARITIMA DOS BOCAS. INCLUYE: EQUIPOS, HERRAMIENTAS, MATERIALES E INSUMOS NECESARIOS PARA EL CORRECTO SELLADO DE LA VÁLVULA.</t>
  </si>
  <si>
    <t>C2EXT-0818</t>
  </si>
  <si>
    <t>SELLADO INVERSO DE VÁLVULA TIPO COMPUERTA, ESFÉRICA, GLOBO O DE MARIPOSA DE 30" DE DIÁMETRO CON RANGO DE PRESIÓN DESDE 150# HASTA 900# EN LA TERMINAL MARITIMA DOS BOCAS. INCLUYE: EQUIPOS, HERRAMIENTAS, MATERIALES E INSUMOS NECESARIOS PARA EL CORRECTO SELLADO DE LA VÁLVULA.</t>
  </si>
  <si>
    <t>C2EXT-0819</t>
  </si>
  <si>
    <t>SELLADO INVERSO DE VÁLVULA TIPO COMPUERTA, ESFÉRICA, GLOBO O DE MARIPOSA DE 36" DE DIÁMETRO CON RANGO DE PRESIÓN DESDE 150# HASTA 900# EN LA TERMINAL MARITIMA DOS BOCAS. INCLUYE: EQUIPOS, HERRAMIENTAS, MATERIALES E INSUMOS NECESARIOS PARA EL CORRECTO SELLADO DE LA VÁLVULA.</t>
  </si>
  <si>
    <t>C2EXT-0820</t>
  </si>
  <si>
    <t>SELLADO INVERSO DE VÁLVULA TIPO COMPUERTA, ESFÉRICA, GLOBO O DE MARIPOSA DE 48" DE DIÁMETRO CON RANGO DE PRESIÓN DESDE 150# HASTA 900# EN LA TERMINAL MARITIMA DOS BOCAS. INCLUYE: EQUIPOS, HERRAMIENTAS, MATERIALES E INSUMOS NECESARIOS PARA EL CORRECTO SELLADO DE LA VÁLVULA.</t>
  </si>
  <si>
    <t>C2EXT-0821</t>
  </si>
  <si>
    <t>SERVICIO DE BARRENADO EN VÁLVULA TIPO COMPUERTA, ESFÉRICA, GLOBO O DE MARIPOSA DE 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</si>
  <si>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C2EXT-0822</t>
  </si>
  <si>
    <t>SERVICIO DE BARRENADO EN VÁLVULA TIPO COMPUERTA, ESFÉRICA, GLOBO O DE MARIPOSA DE 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</si>
  <si>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C2EXT-0823</t>
  </si>
  <si>
    <t>SERVICIO DE BARRENADO EN VÁLVULA TIPO COMPUERTA, ESFÉRICA, GLOBO O DE MARIPOSA DE 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</si>
  <si>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C2EXT-0824</t>
  </si>
  <si>
    <t>SERVICIO DE BARRENADO EN VÁLVULA TIPO COMPUERTA, ESFÉRICA, GLOBO O DE MARIPOSA DE 10"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</si>
  <si>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C2EXT-0825</t>
  </si>
  <si>
    <t>SERVICIO DE BARRENADO EN VÁLVULA TIPO COMPUERTA, ESFÉRICA, GLOBO O DE MARIPOSA DE 14"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</si>
  <si>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C2EXT-0826</t>
  </si>
  <si>
    <t>SERVICIO DE BARRENADO EN VÁLVULA TIPO COMPUERTA, ESFÉRICA, GLOBO O DE MARIPOSA DE 16"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</si>
  <si>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C2EXT-0827</t>
  </si>
  <si>
    <t>SERVICIO DE BARRENADO EN VÁLVULA TIPO COMPUERTA, ESFÉRICA, GLOBO O DE MARIPOSA DE 18"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</si>
  <si>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C2EXT-0828</t>
  </si>
  <si>
    <t>SERVICIO DE BARRENADO EN VÁLVULA TIPO COMPUERTA, ESFÉRICA, GLOBO O DE MARIPOSA DE 24"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</si>
  <si>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C2EXT-0829</t>
  </si>
  <si>
    <t>SERVICIO DE BARRENADO EN VÁLVULA TIPO COMPUERTA, ESFÉRICA, GLOBO O DE MARIPOSA DE 30"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</si>
  <si>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C2EXT-0830</t>
  </si>
  <si>
    <t>SERVICIO DE BARRENADO EN VÁLVULA TIPO COMPUERTA, ESFÉRICA, GLOBO O DE MARIPOSA DE 36"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</si>
  <si>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C2EXT-0831</t>
  </si>
  <si>
    <t>SERVICIO DE BARRENADO EN VÁLVULA TIPO COMPUERTA, ESFÉRICA, GLOBO O DE MARIPOSA DE 48"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</si>
  <si>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C2EXT-0832</t>
  </si>
  <si>
    <t>CODO DE 90 GRADOS, DE 2" DE DIÁMETRO, CÉDULA 80, UNIÓN CEMENTABLE, DE PVC TIPO I PARA USO HIDRÁULICO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</si>
  <si>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C2EXT-0833</t>
  </si>
  <si>
    <t>Fabricación e instalación de soportes para líneas de interconexión de la planta potabilizadora en la Plataforma Ixtoc-A Telecom’s.</t>
  </si>
  <si>
    <t>TEE DE 2"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</si>
  <si>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C2EXT-0834</t>
  </si>
  <si>
    <t>TEE DE 3"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</si>
  <si>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C2EXT-0835</t>
  </si>
  <si>
    <t>REDUCCIÓN BUSHING DE 3" A 2" PVC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</si>
  <si>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C2EXT-0836</t>
  </si>
  <si>
    <t>COPLE DE PVC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</si>
  <si>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C2EXT-0837</t>
  </si>
  <si>
    <t>COPLE DE PVC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</si>
  <si>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C2EXT-0838</t>
  </si>
  <si>
    <t>NIPLE 3" DE DIÁMETRO POR 6" DE LONGITUD CÉDULA 80 EXTREMOS ROSCADO X UNION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</si>
  <si>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C2EXT-0839</t>
  </si>
  <si>
    <t>ADAPTADOR HEMBRA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</si>
  <si>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C2EXT-0840</t>
  </si>
  <si>
    <t>CODO DE 45 GRADOS,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</si>
  <si>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C2EXT-0841</t>
  </si>
  <si>
    <t>NEOPRENO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</si>
  <si>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C2EXT-0842</t>
  </si>
  <si>
    <t>BRIDA LOCA DE 3"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</si>
  <si>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C2EXT-0843</t>
  </si>
  <si>
    <t>ESPÁRRAGO DE 5/8" X 4"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</si>
  <si>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C2EXT-0844</t>
  </si>
  <si>
    <t>ESPÁRRAGO DE 5/8" X 4 1/2" DE DIÁMETRO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</si>
  <si>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C2EXT-0845</t>
  </si>
  <si>
    <t>JUNTA DE CARA COMPLETA (FULL FACE GASKET) PARA BRIDA LOCA DE PVC DE 3"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</si>
  <si>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C2EXT-0846</t>
  </si>
  <si>
    <t>JUNTA DE CARA COMPLETA (FULL FACE GASKET) PARA BRIDA LOCA DE PVC DE 2"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</si>
  <si>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C2EXT-0847</t>
  </si>
  <si>
    <t>CODO DE 90 GRADOS,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</si>
  <si>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C2EXT-0848</t>
  </si>
  <si>
    <t>BRIDA LOCA DE 2"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</si>
  <si>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C2EXT-0849</t>
  </si>
  <si>
    <t>VÁLVULA DE BOLA DE 2"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</si>
  <si>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C2EXT-0850</t>
  </si>
  <si>
    <t>ABRAZADERA TIPO "U" RECUBIERTA DE PVC PARA TUBERÍA DE PVC DE 3" DE DIÁMETRO, CÉDULA 80; CON 2 TUERCAS Y ARANDELAS DE PRESIÓN DE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</si>
  <si>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C2EXT-0851</t>
  </si>
  <si>
    <t>ABRAZADERA TIPO "U" RECUBIERTA DE PVC PARA TUBERÍA DE PVC DE 2" DE DIÁMETRO, CÉDULA 80; CON 2 TUERCAS Y ARANDELAS DE PRESIÓN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</si>
  <si>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C2EXT-0852</t>
  </si>
  <si>
    <t>VÁLVULA DE BOLA DE 3"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</si>
  <si>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C2EXT-0853</t>
  </si>
  <si>
    <t>TUBERIA DE 2"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</si>
  <si>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C2EXT-0854</t>
  </si>
  <si>
    <t>TUBERIA DE 3"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</si>
  <si>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C2EXT-0855</t>
  </si>
  <si>
    <t>TUERCA UNION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</si>
  <si>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C2EXT-0856</t>
  </si>
  <si>
    <t>TUERCA UNION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</si>
  <si>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C2EXT-0857</t>
  </si>
  <si>
    <t>CONDUCTOR SUBMARINO DE POTENCIA, 3 CONDUCTORES CALIBRE 10 AWG MÁS TIERRA, 2000 V, COBRE ESTAÑADO, AISLAMIENTO EPR/XLP, CUBIERTA NEOPRENO/PUR, CERTIFICADO UL/ICEA, PARA USO SUMERGIBLE EN AMBIENTES MARINOS CORROSIVOS. INCLUYE SUMINISTRO, INSPECCIÓN, EMBALAJE, CARGA, ASEGURAMIENTO, TRANSPORTE DEL ALMACÉN DE LA CONTRATISTA, UBICADO EN EL KM. 13.8 AL PATIO DE PREFABRICADOS EN EL RECINTO PORTUARIO DE CIUDAD DEL CARMEN DE ACUERDO CON EL ANEXO DE ESPECIFICACIONES PARTICULARES.</t>
  </si>
  <si>
    <t>C2EXT-0858</t>
  </si>
  <si>
    <t>TUBERÍA CONDUIT DE 2" DE DIÁMETRO, CÉDULA 40, DE ALUMINIO LIBRE DE COBRE CON RECUBRIMIENTO EXTERIOR DE PVC DE 0.040" DE ESPESOR E INTERIOR DE URETANO DE 0.002" DE ESPESOR, CON COPLE EN UN EXTREMO Y TAPONES PARA PROTECCION DE ROSCAS.</t>
  </si>
  <si>
    <t>C2EXT-0859</t>
  </si>
  <si>
    <t>COPLE PARA TUBO CONDUIT DE 2" DE DIÁMETRO, DE ALUMINIO LIBRE DE COBRE CON RECUBRIMIENTO EXTERIOR DE PVC DE 0.040" DE ESPESOR E INTERIOR DE URETANO DE 0.002"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</si>
  <si>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C2EXT-0860</t>
  </si>
  <si>
    <t>CONDUCTOR MONOPOLAR CALIBRE #8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</si>
  <si>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C2EXT-0861</t>
  </si>
  <si>
    <t>CONDUCTOR MONOPOLAR CALIBRE #8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</si>
  <si>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C2EXT-0862</t>
  </si>
  <si>
    <t>CONDUCTOR MONOPOLAR CALIBRE #6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</si>
  <si>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C2EXT-0863</t>
  </si>
  <si>
    <t>CAJA DE REGISTRO DE 2" DE DIÁMETRO SERIE REDONDA TIPO "C", DE ALUMINIO LIBRE DE COBRE CON RECUBRIMIENTO EXTERIOR DE PVC DE 0.040" DE ESPESOR E INTERIOR DE URETANO DE 0.002" DE ESPESOR, TAPA ROSCADA Y EMPAQUE DE NEOPRENO, PARA ÁREAS PELIGROSAS CLASE I, DIV. 1 Y 2, GRUPOS B,C Y D. INCLUYE SUMINISTRO, INSPECCIÓN, EMBALAJE, CARGA, ASEGURAMIENTO, TRANSPORTE DEL ALMACÉN DE LA CONTRATISTA, UBICADO EN EL KM. 13.8 AL PATIO DE PREFABRICADOS EN EL RECINTO PORTUARIO DE CIUDAD DEL CARMEN DE ACUERDO CON EL ANEXO DE ESPECIFICACIONES PARTICULARES.</t>
  </si>
  <si>
    <t>C2EXT-0864</t>
  </si>
  <si>
    <t>COPLE PARA TUBO CONDUIT DE 1" DE DIÁMETRO DE ALUMINIO LIBRE DE COBRE CON RECUBRIMIENTO EXTERIOR DE PVC DE 0.040" DE ESPESOR E INTERIOR DE URETANO DE 0.002" DE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</si>
  <si>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C2EXT-0865</t>
  </si>
  <si>
    <t>CONDUCTOR MONOPOLAR CALIBRE #10 AWG DE COBRE SUAVE CON AISLAMIENTO TERMOPLASTICO THHN, XHHW-2, THWN-2 PARA 600 V, 90°C DE TEMPERATURA DE OPERACIÓN. COLOR NEGRO. INCLUYE SUMINISTRO, INSPECCIÓN, EMBALAJE, CARGA, ASEGURAMIENTO, TRANSPORTE DEL ALMACÉN DE LA CONTRATISTA, UBICADO EN EL KM. 13.8 AL PATIO DE PREFABRICADOS EN EL RECINTO PORTUARIO DE CIUDAD DEL CARMEN DE ACUERDO CON EL ANEXO DE ESPECIFICACIONES PARTICULARES.</t>
  </si>
  <si>
    <t>C2EXT-0866</t>
  </si>
  <si>
    <t>CONDUCTOR MONOPOLAR CALIBRE #10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</si>
  <si>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C2EXT-0867</t>
  </si>
  <si>
    <t>TUBO DE 14" DE DIÁMETRO X 0.375" DE ESPESOR (CÉDULA ESTANDAR) DE ACERO AL CARBONO ASTM A 106 GRADO B, SIN COSTURA, EXTREMOS BISELADOS, PARA SERVICIO AMARGO, DE ACUERDO CON EL ESTÁNDAR NACE MR0175/ISO 15156 1 Y 2. INCLUYE SUMINISTRO, INSPECCIÓN, EMBALAJE, CARGA, ASEGURAMIENTO, TRANSPORTE DEL ALMACÉN DE LA CONTRATISTA, UBICADO EN EL KM. 13.8 AL PATIO DE PREFABRICADOS EN EL RECINTO PORTUARIO DE CIUDAD DEL CARMEN DE ACUERDO CON EL ANEXO DE ESPECIFICACIONES PARTICULARES.</t>
  </si>
  <si>
    <t>C2EXT-0868</t>
  </si>
  <si>
    <t>INT-CABEZAL SUCC.</t>
  </si>
  <si>
    <t>BRIDA CIEGA DE 8" DE DIÁMETRO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</si>
  <si>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C2EXT-0869</t>
  </si>
  <si>
    <t>BRIDA CUELLO SOLDABLE (WN) DE 14" DE DIÁMETRO. BORE PARA CÉDULA ESTANDAR (13.250")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</si>
  <si>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C2EXT-0870</t>
  </si>
  <si>
    <t>CODO DE 45°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</si>
  <si>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C2EXT-0871</t>
  </si>
  <si>
    <t>CODO DE 90° RADIO LARGO (RL)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</si>
  <si>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C2EXT-0872</t>
  </si>
  <si>
    <t>CODO DE 90° RADIO CORTO (RC)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</si>
  <si>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C2EXT-0873</t>
  </si>
  <si>
    <t>ESPÁRRAGO DE ACERO AL CARBON, CON REC. CADMINIZADO, TIPO: II, CLASE: 2A, ASTM: A193, GRADO: B7M CON 2 TUERCAS HEXAGONALES ASTM A194, DE 1" DE DIÁMETRO X 6" DE LONGITUD. INCLUYE SUMINISTRO, INSPECCIÓN, EMBALAJE, CARGA, ASEGURAMIENTO, TRANSPORTE DEL ALMACÉN DE LA CONTRATISTA, UBICADO EN EL KM. 13.8 AL PATIO DE PREFABRICADOS EN EL RECINTO PORTUARIO DE CIUDAD DEL CARMEN DE ACUERDO CON EL ANEXO DE ESPECIFICACIONES PARTICULARES.</t>
  </si>
  <si>
    <t>C2EXT-0874</t>
  </si>
  <si>
    <t>VÁLVULA DE COMPUERTA DE 3/4" DIÁMETRO, EXTREMOS: INSERTO SOLDABLE (SW) CLASE 800#, CUERPO DE ACERO AL CARBONO, ESPECIFICACIÓN: ASTM A105, INTERIOR ACERO INOXIDABLE (TRIM 8), CUERDA EXTERIOR Y YUGO, BONETE ATORNILLADO, CUÑA SOLIDA, ASIENTOS RECAMBIABLES, OPERADA CON VOLANTE, CONSTRUIDA CONFORME A ASME 602/ISO 15761. INCLUYE SUMINISTRO, INSPECCIÓN, EMBALAJE, CARGA, ASEGURAMIENTO, TRANSPORTE DEL ALMACÉN DE LA CONTRATISTA, UBICADO EN EL KM. 13.8 AL PATIO DE PREFABRICADOS EN EL RECINTO PORTUARIO DE CIUDAD DEL CARMEN DE ACUERDO CON EL ANEXO DE ESPECIFICACIONES PARTICULARES.</t>
  </si>
  <si>
    <t>BME-3801-072-2025</t>
  </si>
  <si>
    <t>C2EXT-0875</t>
  </si>
  <si>
    <t>PERFIL IR DE 6" X 4" X  18.000 KG/M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</si>
  <si>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C2EXT-0876</t>
  </si>
  <si>
    <t>THREDOLET DE ACERO AL CARBONO FORJADO, CLASE  3000, 3/4" DE DIÁMETRO, EXTREMO PARA SOLDAR A TUBERÍA DE 30" DE DIÁMETRO, ESPECIFICACIÓN ASTM A 105, ANSI/ASME B 16.11 Y MSS SP 97. INCLUYE SUMINISTRO, INSPECCIÓN, EMBALAJE, CARGA, ASEGURAMIENTO, TRANSPORTE DEL ALMACÉN DE LA CONTRATISTA, UBICADO EN EL KM. 13.8 AL PATIO DE PREFABRICADOS EN EL RECINTO PORTUARIO DE CIUDAD DEL CARMEN DE ACUERDO CON EL ANEXO DE ESPECIFICACIONES PARTICULARES.</t>
  </si>
  <si>
    <t>C2EXT-0877</t>
  </si>
  <si>
    <t>TUBO DE 3/4" DIÁMETRO, DE ACERO AL CARBONO, 0.219" DE ESPESOR, CÉDULA: 160, EXTREMOS PLANOS, ESPECIFICACIÓN: PEMEX-EST-TD-032-P1-2023-ASTM A106 GR. B, MDS-C001S,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</si>
  <si>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C2EXT-0878</t>
  </si>
  <si>
    <t>BRIDA CIEGA DE ACERO AL CARBONO FORJADO DE 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</si>
  <si>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PZA</t>
  </si>
  <si>
    <t>BME-3801-156-2025</t>
  </si>
  <si>
    <t>C2EXT-0879</t>
  </si>
  <si>
    <t>BRIDA CIEGA DE ACERO AL CARBONO FORJADO DE 24"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</si>
  <si>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C2EXT-0880</t>
  </si>
  <si>
    <t>EMPAQUE DE 2" DIÁMETRO, CLASE 300# EXTREMOS RF, ESPIRO-METÁLICO, CON ANILLOS METÁLICOS CENTRADOR (EXTERIOR) Y DE RESPALDO (INTERNO), RELLENO DE GRAFITO FLEXIBILE (ENROLLAMIENTO Y ANILLOS DE ACERO INOXIDABLE, UNS S31600, ASME B16.20 PARA BRIDAS ASME B16.5 O ASME B16.47 SERIE A. INCLUYE SUMINISTRO, INSPECCIÓN, EMBALAJE, CARGA, ASEGURAMIENTO, TRANSPORTE DEL ALMACÉN DE LA CONTRATISTA, UBICADO EN EL KM. 13.8 AL PATIO DE PREFABRICADOS EN EL RECINTO PORTUARIO DE CIUDAD DEL CARMEN DE ACUERDO CON EL ANEXO DE ESPECIFICACIONES PARTICULARES.</t>
  </si>
  <si>
    <t>C2EXT-0881</t>
  </si>
  <si>
    <t>EMPAQUE DE 4"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</si>
  <si>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C2EXT-0882</t>
  </si>
  <si>
    <t>EMPAQUE DE 36"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</si>
  <si>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C2EXT-0883</t>
  </si>
  <si>
    <t>ESPÁRRAGO DE ACERO AL CARBONO PARA BRIDAS DE 4" DIÁMETRO, 150# R.F DIMENSIONES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</si>
  <si>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C2EXT-0884</t>
  </si>
  <si>
    <t>ESPÁRRAGO DE ACERO AL CARBONO PARA BRIDAS DE 2" DIÁMETRO, 300# R.F DIMENSIONES DE 5/8" DIÁMETRO X 3 1/2"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</si>
  <si>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C2EXT-0885</t>
  </si>
  <si>
    <t>ESPÁRRAGO DE ACERO AL CARBONO PARA BRIDAS DE 36" DIÁMETRO 150# R.F DIMENSIONES DE 1 1/2" DIÁMETRO X 11"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</si>
  <si>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C2EXT-0886</t>
  </si>
  <si>
    <t>ESPÁRRAGO DE ACERO AL CARBONO PARA BRIDAS DE 36" DIÁMETRO 150# R.F DIMENSIONES DE 7/8" DIÁMETRO X 6"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</si>
  <si>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C2EXT-0887</t>
  </si>
  <si>
    <t>ESPÁRRAGO DE ACERO AL CARBONO PARA BRIDAS DE 36" DIÁMETRO 150# R.F DIMENSIONES DE 1 1/2" DIÁMETRO X 12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</si>
  <si>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C2EXT-0888</t>
  </si>
  <si>
    <t>ESPÁRRAGO DE ACERO AL CARBONO PARA BRIDAS DE 36" DIÁMETRO 150# R.F DIMENSIONES DE 7/8" DIÁMETRO X 8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</si>
  <si>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C2EXT-0889</t>
  </si>
  <si>
    <t>NIPLE DE ACERO AL CARBONO SIN COSTURA DE 2" DIÁMETRO X 3.5" DE LONGITUD CÉDULA 160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</si>
  <si>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C2EXT-0890</t>
  </si>
  <si>
    <t>NIPLE DE ACERO AL CARBONO SIN COSTURA DE 2" DIÁMETRO X 3.5" DE LONGITUD CÉDULA 160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</si>
  <si>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C2EXT-0891</t>
  </si>
  <si>
    <t>NIPLE DE ACERO AL CARBONO SIN COSTURA DE 1/2"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</si>
  <si>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C2EXT-0892</t>
  </si>
  <si>
    <t>NIPLE DE ACERO AL CARBONO SIN COSTURA DE 1/2" DIÁMETRO X 4" DE LONGITUD CÉDULA 80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</si>
  <si>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C2EXT-0893</t>
  </si>
  <si>
    <t>NIPLE DE ACERO AL CARBONO SIN COSTURA DE 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</si>
  <si>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C2EXT-0894</t>
  </si>
  <si>
    <t>SOCKOLET DE ACERO AL CARBONO FORJADO 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</si>
  <si>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C2EXT-0895</t>
  </si>
  <si>
    <t>TUBO DE ACERO AL CARBONO 36" DIÁMETRO CÉDULA 0.500, EXTREMOS BISELADOS, ASME B36.10/ISO 31883 L245NS (API SPEC. 5L Gr. BNS) PSL2 SAW, SIN COSTURA. INCLUYE SUMINISTRO, INSPECCIÓN, EMBALAJE, CARGA, ASEGURAMIENTO, TRANSPORTE DEL ALMACÉN DE LA CONTRATISTA, UBICADO EN EL KM. 13.8 AL PATIO DE PREFABRICADOS EN EL RECINTO PORTUARIO DE CIUDAD DEL CARMEN DE ACUERDO CON EL ANEXO DE ESPECIFICACIONES PARTICULARES.</t>
  </si>
  <si>
    <t>C2EXT-0896</t>
  </si>
  <si>
    <t>VÁLVULA DE COMPUERTA DE 1"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</si>
  <si>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C2EXT-0897</t>
  </si>
  <si>
    <t>VÁLVULA DE COMPUERTA DE 1/2"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</si>
  <si>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C2EXT-0898</t>
  </si>
  <si>
    <t>BRIDA DE CUELLO SOLDABLE CLASE 150 ASME, CARA TIPO JUNTA REALIZADA (R.F) DE ACERO AL CARBONO FORJADO, ASTM A-105, FABRICADA DE ACUERDO A LOS CODIGOS ASME B16.5 MSS-SP-6 SERVICIO AMARGO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</si>
  <si>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C2EXT-0899</t>
  </si>
  <si>
    <t>BRIDA DE CUELLO SOLDABLE CLASE 150 ASME, CARA TIPO JUNTA REALIZADA (R.F) DE ACERO AL CARBONO FORJADO, ASTM A-105 FABRICADA DE ACUERDO A LOS CODIGOS ASME B16.5 MSS-SP-6 SERVICIO AMARGO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</si>
  <si>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C2EXT-0900</t>
  </si>
  <si>
    <t>BRIDA FORJADA DE ACERO AL CARBONO FORJADO TIPO CIEGA,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</si>
  <si>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C2EXT-0901</t>
  </si>
  <si>
    <t>BRIDA FORJADA DE ACERO AL CARBONO FORJADO TIPO CUELLO SOLDABLE,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</si>
  <si>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C2EXT-0902</t>
  </si>
  <si>
    <t>BRIDA FORJADA DE ACERO AL CARBONO FORJADO TIPO CUELLO SOLDABLE, ESPECIFICACIÓN ASTM-A-105, GRADO I, CLASE 150W N.R.F DE CÉDULA 40 DE 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</si>
  <si>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C2EXT-0903</t>
  </si>
  <si>
    <t>BRIDA FORJADA DE ACERO AL CARBONO FORJADO TIPO CUELLO SOLDABLE, ESPECIFICACIÓN ASTM-A-105, GRADO I, CLASE 150W N.R.F DE CÉDULA 40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</si>
  <si>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C2EXT-0904</t>
  </si>
  <si>
    <t>BRIDA FORJADA DE ACERO AL CARBONO FORJADO, TIPO CIEGA, ESPECIFICACIÓN ASTM-A-105, ASME B16.5, CLASE 150 R.F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</si>
  <si>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C2EXT-0905</t>
  </si>
  <si>
    <t>BRIDA FORJADA DE ACERO AL CARBONO FORJADO, TIPO CUELLO SOLDABLE, ESPECIFICACIÓN ASTM-A-105, GRADO I, CLASE 150W N.R.F DE CÉDULA 40 DE 1"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</si>
  <si>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C2EXT-0906</t>
  </si>
  <si>
    <t>BRIDA FORJADA DE ACERO AL CARBONO FORJADO, TIPO CUELLO SOLDABLE, ESPECIFICACIÓN ASTM-A-105, GRADO I, CLASE 150W N.R.F DE CÉDULA 40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</si>
  <si>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C2EXT-0907</t>
  </si>
  <si>
    <t>CODO DE 90° RADIO LARGO, ASTM A234, GRADO WPB, SIN COSTURA ASME B16.9, EXTREMOS BISELADOS, DEBERA CUMPLIR CON EL ESTANDAR NACE MR-0175/ISO 15156-2 ÚLTIMA EDICIÓN, CÉDULA 40, DIÁMETRO DE 16". INCLUYE: SUMINISTRO, INSPECCIÓN, EMBALAJE, CARGA, ASEGURAMIENTO, TRANSPORTE DEL ALMACÉN DE LA CONTRATISTA, UBICADO EN EL KM. 13.8 AL PATIO DE PREFABRICADOS EN EL RECINTO PORTUARIO DE CIUDAD DEL CARMEN DE ACUERDO CON EL ANEXO DE ESPECIFICACIONES PARTICULARES.</t>
  </si>
  <si>
    <t>C2EXT-0908</t>
  </si>
  <si>
    <t>CODO DE 90° DE ACERO AL CARBONO, ASTM A-105, EXTREMOS INSERTOS SOLDABLES, FABRICADO DE ACUERDO AL ASME B16.5 PARA SERVICIO AMARGO, DEBE CUMPLIR CON EL ESTANDAR NACE MR. 01.75/ISO 15156 ÚLTIMA EDICION CÉDULA 60, DE 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</si>
  <si>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C2EXT-0909</t>
  </si>
  <si>
    <t>CODO DE 90° RADIO LARGO, DE ACERO AL CARBONO ASTM A-234, GRADO WPB, EXTREMOS BISELADOS PARA SOLDAR SIN COSTURA, FABRICADO DE ACUERDO AL ASME B16.9, PARA SERVICIO AMARGO, DEBE CUMPLIR CON EL ESTÁNDAR NACE MR.01.75/ISO 15156 ULTIMA EDICION, CÉDULA 60,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</si>
  <si>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C2EXT-0910</t>
  </si>
  <si>
    <t>CODO DE ACERO AL CARBONO ASTM A-234 GRADO WPB DE 90° RADIO LARGO EXTREMOS BISELADOS PARA SOLDAR SIN COSTURA, FABRICADO DE ACUERDO AL ASME B16.9, PARA SERVICIO AMARGO DEBE CUMPLIR CON EL ESTÁNDAR NACE MR.01.75/ISO 15156 ULTIMA EDICION, CÉDULA 60 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</si>
  <si>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C2EXT-0911</t>
  </si>
  <si>
    <t>EMPAQUE ESPIROMETÁLICO (FLEXITALIC O EQUIVALENTE) PARA JUNTAS BRIDADAS DE 10"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</si>
  <si>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C2EXT-0912</t>
  </si>
  <si>
    <t>EMPAQUE ESPIROMETÁLICO (FLEXITALIC O EQUIVALENTE) PARA JUNTAS BRIDADAS DE 16"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</si>
  <si>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C2EXT-0913</t>
  </si>
  <si>
    <t>EMPAQUE TIPO CGI CON ANILLO CENTRADO CON CINTA EN ESPIRAL DE ACERO INOXIDABLE TIPO 316, CON RELLENO DE GRAFITO FLEXIBLE DE 1/8" DE ESPESOR DE 6"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</si>
  <si>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C2EXT-0914</t>
  </si>
  <si>
    <t>EMPAQUE TIPO CGI, CON ANILLO CENTRADO CON CINTA EN ESPIRAL DE ACERO INOXIDABLE TIPO 316 CON RELLENO DE GRAFITO FLEXIBLE DE 1/8" DE ESPESOR DE 1"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</si>
  <si>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C2EXT-0915</t>
  </si>
  <si>
    <t>EMPAQUE TIPO CGI, CON ANILLO CENTRADO CON CINTA EN ESPIRAL DE ACERO INOXIDABLE TIPO 316 CON RELLENO DE GRAFITO FLEXIBLE DE 1/8" DE ESPESOR DE 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</si>
  <si>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C2EXT-0916</t>
  </si>
  <si>
    <t>EMPAQUE TIPO CGI, CON ANILLO CENTRADO CON CINTA EN ESPIRAL DE ACERO INOXIDABLE TIPO 316 CON RELLENO DE GRAFITO FLEXIBLE DE 1/8" DE ESPESOR DE 4"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</si>
  <si>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C2EXT-0917</t>
  </si>
  <si>
    <t>EMPAQUE TIPO CGI CON ANILLO CENTRADO CON CINTA EN ESPIRAL DE ACERO INOXIDABLE TIPO 316 CON RELLENO DE GRAFITO FLEXIBLE DE 1/8" DE ESPESOR DE 12"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</si>
  <si>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C2EXT-0918</t>
  </si>
  <si>
    <t>ESPÁRRAGO DE ACERO ALEACIÓN ASTM-A-193, GRADO B7M CADMINIZADOS CON DOS TUERCAS HEXAGONALES CADA UNA ASTM A-194, GRADO 2HM CADMINIZADOS, FABRICADOS DE ACUERDO A LOS CÓDIGOS ASME B 16.5 PARA SERVICIO AMARGO PARA JUNTAS DE 10" DE IDEM AL CONCEPTO ANTERIOR DE DIÁMETRO, ANSI 150# (7/8" X 4 1/2"). INCLUYE: SUMINISTRO, INSPECCIÓN, EMBALAJE, CARGA, ASEGURAMIENTO, TRANSPORTE DEL ALMACÉN DE LA CONTRATISTA, UBICADO EN EL KM. 13.8 AL PATIO DE PREFABRICADOS EN EL RECINTO PORTUARIO DE CIUDAD DEL CARMEN DE ACUERDO CON EL ANEXO DE ESPECIFICACIONES PARTICULARES.</t>
  </si>
  <si>
    <t>C2EXT-0919</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</si>
  <si>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1" DE DIÁMETRO, 150 LIBRAS (1/2" X 2 3/4"). INCLUYE: SUMINISTRO, INSPECCIÓN, EMBALAJE, CARGA, ASEGURAMIENTO, TRANSPORTE DEL ALMACÉN DE LA CONTRATISTA, UBICADO EN EL KM. 13.8 AL PATIO DE PREFABRICADOS EN EL RECINTO PORTUARIO DE CIUDAD DEL CARMEN DE ACUERDO CON EL ANEXO DE ESPECIFICACIONES PARTICULARES.</t>
  </si>
  <si>
    <t>C2EXT-0920</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</si>
  <si>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2" DE DIÁMETRO, 150 LIBRAS (5/6" X 3/4"). INCLUYE: SUMINISTRO, INSPECCIÓN, EMBALAJE, CARGA, ASEGURAMIENTO, TRANSPORTE DEL ALMACÉN DE LA CONTRATISTA, UBICADO EN EL KM. 13.8 AL PATIO DE PREFABRICADOS EN EL RECINTO PORTUARIO DE CIUDAD DEL CARMEN DE ACUERDO CON EL ANEXO DE ESPECIFICACIONES PARTICULARES.</t>
  </si>
  <si>
    <t>C2EXT-0921</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</si>
  <si>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4" DE DIÁMETRO, 150 LIBRAS (5/8" X 3 3/4"). INCLUYE: SUMINISTRO, INSPECCIÓN, EMBALAJE, CARGA, ASEGURAMIENTO, TRANSPORTE DEL ALMACÉN DE LA CONTRATISTA, UBICADO EN EL KM. 13.8 AL PATIO DE PREFABRICADOS EN EL RECINTO PORTUARIO DE CIUDAD DEL CARMEN DE ACUERDO CON EL ANEXO DE ESPECIFICACIONES PARTICULARES.</t>
  </si>
  <si>
    <t>C2EXT-0922</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</si>
  <si>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16" DE DIÁMETRO, 150 LIBRAS (1" X 5 1/2"). INCLUYE: SUMINISTRO, INSPECCIÓN, EMBALAJE, CARGA, ASEGURAMIENTO, TRANSPORTE DEL ALMACÉN DE LA CONTRATISTA, UBICADO EN EL KM. 13.8 AL PATIO DE PREFABRICADOS EN EL RECINTO PORTUARIO DE CIUDAD DEL CARMEN DE ACUERDO CON EL ANEXO DE ESPECIFICACIONES PARTICULARES.</t>
  </si>
  <si>
    <t>C2EXT-0923</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</si>
  <si>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6" DE DIÁMETRO, 150 LIBRAS (3/4" X 4"). INCLUYE: SUMINISTRO, INSPECCIÓN, EMBALAJE, CARGA, ASEGURAMIENTO, TRANSPORTE DEL ALMACÉN DE LA CONTRATISTA, UBICADO EN EL KM. 13.8 AL PATIO DE PREFABRICADOS EN EL RECINTO PORTUARIO DE CIUDAD DEL CARMEN DE ACUERDO CON EL ANEXO DE ESPECIFICACIONES PARTICULARES.</t>
  </si>
  <si>
    <t>C2EXT-0924</t>
  </si>
  <si>
    <t>NIPLE DE 3/4" DE DIÁMETRO, X 4" DE LONGITUD DE ACERO AL CARBONO, CÉDULA 80, EXTREMOS PLANO-ROSCADO ASTM A-106 B. INCLUYE: SUMINISTRO, INSPECCIÓN, EMBALAJE, CARGA, ASEGURAMIENTO, TRANSPORTE DEL ALMACÉN DE LA CONTRATISTA, UBICADO EN EL KM. 13.8 AL PATIO DE PREFABRICADOS EN EL RECINTO PORTUARIO DE CIUDAD DEL CARMEN DE ACUERDO CON EL ANEXO DE ESPECIFICACIONES PARTICULARES.</t>
  </si>
  <si>
    <t>C2EXT-0925</t>
  </si>
  <si>
    <t>REDUCCIÓN CONCENTRICA DE 2" X 1" DE DIÁMETRO, CÉDULA 40, ASTM-234 WPB. INCLUYE: SUMINISTRO, INSPECCIÓN, EMBALAJE, CARGA, ASEGURAMIENTO, TRANSPORTE DEL ALMACÉN DE LA CONTRATISTA, UBICADO EN EL KM. 13.8 AL PATIO DE PREFABRICADOS EN EL RECINTO PORTUARIO DE CIUDAD DEL CARMEN DE ACUERDO CON EL ANEXO DE ESPECIFICACIONES PARTICULARES.</t>
  </si>
  <si>
    <t>C2EXT-0926</t>
  </si>
  <si>
    <t>SOCKOLET DE ACERO AL CARBONO FORJADO ASTM A-105 CLASE 3000# DE 36"-2" DE DIÁMETRO, X 3/4" (10"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</si>
  <si>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C2EXT-0927</t>
  </si>
  <si>
    <t>SOCKOLET DE ACERO AL CARBONO FORJADO ASTM A-105 CLASE 3000# DE 36"-2" DE DIÁMETRO, X 3/4" DE DIÁMETRO. (16"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</si>
  <si>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C2EXT-0928</t>
  </si>
  <si>
    <t>SOCKOLET DE ACERO AL CARBONO FORJADO ASTM A-105 CLASE 3000# DE 36"-2" DE DIÁMETRO, X 3/4" DE DIÁMETRO. (6"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</si>
  <si>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C2EXT-0929</t>
  </si>
  <si>
    <t>TEE REDUCCIÓN DE 12" DE DIÁMETRO X 10"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</si>
  <si>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C2EXT-0930</t>
  </si>
  <si>
    <t>TEE ENVOLVENTE BIPARTIDA DE 24" DE DIÁMETRO X DERIVACIÓN BRIDADA DE 16" DE DIÁMETRO, CLASE 150# WN R.F. INCLUYE: SUMINISTRO, INSPECCIÓN, EMBALAJE, CARGA, ASEGURAMIENTO, TRANSPORTE DEL ALMACÉN DE LA CONTRATISTA, UBICADO EN EL KM. 13.8 AL PATIO DE PREFABRICADOS EN EL RECINTO PORTUARIO DE CIUDAD DEL CARMEN DE ACUERDO CON EL ANEXO DE ESPECIFICACIONES PARTICULARES.</t>
  </si>
  <si>
    <t>C2EXT-0931</t>
  </si>
  <si>
    <t>TEE REDUCCIÓN DE 4" DE DIÁMETRO X 2"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</si>
  <si>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C2EXT-0932</t>
  </si>
  <si>
    <t>TUBERÍA DE ACERO AL CARBONO DE 6" DE DIÁMETRO, CÉDULA 40 (7.11 MM ESPESOR) SIN COSTURA, ESPECIFICACIÓN ASTM A-106, GRADO B, DE ACUERDO AL ASME B36.10M EXTREMOS BISELADOS, DEBERA CUMPLIR CON EL ESTANDAR NACE MR-0175/ISO 15156-2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</si>
  <si>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C2EXT-0933</t>
  </si>
  <si>
    <t>TUBERÍA RECTA DE ACERO AL CARBONO, ESPECIFICACIÓN ASTM-A106, GRADO B, SIN CONSTURA PARA SERVICIO AMARGO, CÉDULA 40,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</si>
  <si>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C2EXT-0934</t>
  </si>
  <si>
    <t>TUBERÍA RECTA DE ACERO AL CARBONO, ESPECIFICACIÓN ASTM-A106, GRADO B, SIN CONSTURA PARA SERVICIO AMARGO, CÉDULA 40, DE 12"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</si>
  <si>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C2EXT-0935</t>
  </si>
  <si>
    <t>TUBERÍA RECTA DE ACERO AL CARBONO, ESPECIFICACIÓN ASTM -A106, GRADO B, SIN COSTURA PARA SERVICIO AMARGO, CÉDULA 40, DE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</si>
  <si>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C2EXT-0936</t>
  </si>
  <si>
    <t>TUBO DE ACERO AL CARBONO, A-105, GADO B, EXTREMOS BISELADOS DE 3/4" DE DIÁMETRO, CÉDULA 80, SIN COSTURA. INCLUYE: SUMINISTRO, INSPECCIÓN, EMBALAJE, CARGA, ASEGURAMIENTO, TRANSPORTE DEL ALMACÉN DE LA CONTRATISTA, UBICADO EN EL KM. 13.8 AL PATIO DE PREFABRICADOS EN EL RECINTO PORTUARIO DE CIUDAD DEL CARMEN DE ACUERDO CON EL ANEXO DE ESPECIFICACIONES PARTICULARES.</t>
  </si>
  <si>
    <t>C2EXT-0937</t>
  </si>
  <si>
    <t>TUBO DE ACERO AL CARBONO DE 2" DE DIÁMETRO, CÉDULA 40, ASTM A 106, GRADO B, EXTREMOS RECTOS CON COSTURA. INCLUYE: SUMINISTRO, INSPECCIÓN, EMBALAJE, CARGA, ASEGURAMIENTO, TRANSPORTE DEL ALMACÉN DE LA CONTRATISTA, UBICADO EN EL KM. 13.8 AL PATIO DE PREFABRICADOS EN EL RECINTO PORTUARIO DE CIUDAD DEL CARMEN DE ACUERDO CON EL ANEXO DE ESPECIFICACIONES PARTICULARES.</t>
  </si>
  <si>
    <t>C2EXT-0938</t>
  </si>
  <si>
    <t>VÁLVULA DE BOLA DE 6" DIÁMETRO, CLASE 150#, EXTREMOS BRIDADOS R.F., CUERPO INTEGRAL SOLDADO, MATERIAL DEL CUERPO Y BRIDAS A350, GRADO LF2, BOLA Y VASTAGO DE ACERO AL CARBONO, AISI 4130 CON RECUBRIMIENTO DE 0.003" DE NICKEL ELECTROLESS, ANILLOS DEL ASIENTO EN ACERO AISI 410, INSERTOS, SELLOS Y EMPAQUETADURA DEL VÁSTAGO EN PTFE (TEFLÓN)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</si>
  <si>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C2EXT-0939</t>
  </si>
  <si>
    <t>VÁLVULA CHECK 2" DE DIÁMETRO, CLASE 150#, ASTM A-105. INCLUYE: SUMINISTRO, INSPECCIÓN, EMBALAJE, CARGA, ASEGURAMIENTO, TRANSPORTE DEL ALMACÉN DE LA CONTRATISTA, UBICADO EN EL KM. 13.8 AL PATIO DE PREFABRICADOS EN EL RECINTO PORTUARIO DE CIUDAD DEL CARMEN DE ACUERDO CON EL ANEXO DE ESPECIFICACIONES PARTICULARES.</t>
  </si>
  <si>
    <t>C2EXT-0940</t>
  </si>
  <si>
    <t>VÁLVULA DE BOLA DE 10" DE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</si>
  <si>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C2EXT-0941</t>
  </si>
  <si>
    <t>VÁLVULA DE BOLA DE 16"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</si>
  <si>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C2EXT-0942</t>
  </si>
  <si>
    <t>VÁLVULA DE COMPUERTA BRIDADA, CLASE 150#, R.F. DE 12"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</si>
  <si>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C2EXT-0943</t>
  </si>
  <si>
    <t>VÁLVULA DE COMPUERTA BRIDADA, CLASE 150#, R.F. DE 4"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</si>
  <si>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C2EXT-0944</t>
  </si>
  <si>
    <t>VÁLVULA DE COMPUERTA, SW 800#, DE 3/4" DE DIÁMETRO, CUERPO ASTM A-105, INTERIORES DE ACERO INOXIDABLE 316, VÁSTAGO, DISCO Y ASIENTOS RECUBIERTO DE ESTELITA, TORNILLO EXTERIOR Y YUGO, BONETE ATORNILLADO, DISCO TIPO CUÑA SOLIDA,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</si>
  <si>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C2EXT-0945</t>
  </si>
  <si>
    <t>VÁLVULA ESFERICA DE PASO COMPLETO, CLASE 150 DE 2" DE DIÁMETRO, EXTREMOS BRIDADOS CARA REALZADA FABRICADA CONFORME A LO ESPECIFICADO EN API-SPEC-6D ULTIMA EDICIÓN, CON CUERPO INTEGRAL FORJADO O FUNDICIÓN EN UNA SOLA PIEZA (CUERPO-BRIDAS) DEBERA SUMINISTRARSE CON PINTURA EXTERIOR ANTICORROSIVA PARA INSTALARSE EN AMBIENTE MARINO, PREVIA LIMPIEZA CON ABRASIVO A METAL BLANCO. INCLUYE: SUMINISTRO, INSPECCIÓN, EMBALAJE, CARGA, ASEGURAMIENTO, TRANSPORTE DEL ALMACÉN DE LA CONTRATISTA, UBICADO EN EL KM. 13.8 AL PATIO DE PREFABRICADOS EN EL RECINTO PORTUARIO DE CIUDAD DEL CARMEN DE ACUERDO CON EL ANEXO DE ESPECIFICACIONES PARTICULARES.</t>
  </si>
  <si>
    <t>C2EXT-0946</t>
  </si>
  <si>
    <t>WELDOLET DE 6" DIÁMETRO, EXTREMOS BISELADOS, CÉDULA 40, DE ACERO AL CARBONO, ASTM A-105 PARA INSTALARSE EN TUBERÍA DE 24"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</si>
  <si>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C2EXT-0947</t>
  </si>
  <si>
    <t>SERVICIO DE HOT TAPPING DE 24" X 16" DE DIÁMETRO, CLASE150#, POSICIÓN VERTICAL, INCLUYE PRUEBA HIDROSTÁTICA AL CONJUNTO, MEMORIAS DE CÁLCULO DE ESPESOR MÍNIMO REQUERIDO, SOLDADURA DE TEE ENVOLVENTE BIPARTIDA DE ACUERDO CON EL API 1101, ANÁLISIS DE TRANSFERENCIA DE CALOR POR APLICACIÓN DE SOLDADURA DE SELLOS DE TEE ENVOLVENTE, EN LÍNEA VIVA DE PROCESO, DE ACUERDO CON EL CÓDIGO ASME B31.3, EN LA TERMINAL MARÍTIMA DOS BOCAS.</t>
  </si>
  <si>
    <t>C2EXT-0948</t>
  </si>
  <si>
    <t>SERVICIO DE HOT TAPPING DE 6" DE DIÁMETRO, CLASE150#, POSICIÓN VERTICAL, INCLUYE PRUEBA HIDROSTÁTICA AL CONJUNTO, MEMORIAS DE CÁLCULO DE ESPESOR MÍNIMO REQUERIDO, SOLDADURA DE TEE ENVOLVENTE BIPARTIDA DE ACUERDO CON EL API 1101, ANÁLISIS DE TRANSFERENCIA DE CALOR POR APLICACIÓN DE SOLDADURA EN WELDOLET 24" X 6" , EN LÍNEA VIVA DE PROCESO, DE ACUERDO CON EL CÓDIGO ASME B31.3, EN LA TERMINAL MARÍTIMA DOS BOCAS.</t>
  </si>
  <si>
    <t>C2EXT-0949</t>
  </si>
  <si>
    <t>SERVICIO DE PRUEBAS HIDROSTÁTICAS CON BOMBA NEUMÁTICA MCA. HASKEL DE 5000 PSI Y MANÓGRAFO MCA. BARTON CON RANGOS DE 0-1500 PSI Y 0º-150º C O EQUIVALENTE PARA CIRCUITO DE 16" DE DIÁMETRO. INCLUYE: EQUIPO, HERRAMIENTAS Y OPERARIO ESPECIALISTA</t>
  </si>
  <si>
    <t>C2EXT-0950</t>
  </si>
  <si>
    <t>SERVICIO DE PRUEBAS HIDROSTÁTICAS CON BOMBA NEUMÁTICA MCA. HASKEL DE 5000 PSI Y MANÓGRAFO MCA. BARTON CON RANGOS DE 0-1500 PSI Y 0º-150º C O EQUIVALENTE PARA CIRCUITO DE 10" DE DIÁMETRO. INCLUYE: EQUIPO, HERRAMIENTAS Y OPERARIO ESPECIALISTA</t>
  </si>
  <si>
    <t>C2EXT-0951</t>
  </si>
  <si>
    <t>SERVICIO DE PRUEBAS HIDROSTÁTICAS CON BOMBA NEUMÁTICA MCA. HASKEL DE 5000 PSI Y MANÓGRAFO MCA. BARTON CON RANGOS DE 0-1500 PSI Y 0º-150º C O EQUIVALENTE PARA CIRCUITO DE 6" DE DIÁMETRO. INCLUYE: EQUIPO, HERRAMIENTAS Y OPERARIO ESPECIALISTA</t>
  </si>
  <si>
    <t>C2EXT-0952</t>
  </si>
  <si>
    <t>SERVICIO DE PRUEBAS HIDROSTÁTICAS CON BOMBA NEUMÁTICA MCA. HASKEL DE 5000 PSI Y MANÓGRAFO MCA. BARTON CON RANGOS DE 0-1500 PSI Y 0º-150º C O EQUIVALENTE PARA CIRCUITO DE 2" DE DIÁMETRO. INCLUYE: EQUIPO, HERRAMIENTAS Y OPERARIO ESPECIALISTA</t>
  </si>
  <si>
    <t>C2EXT-0953</t>
  </si>
  <si>
    <t>PLACA LISA 1/2" ESPESOR X 99.59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</si>
  <si>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M²</t>
  </si>
  <si>
    <t>C2EXT-0954</t>
  </si>
  <si>
    <t>TAPÓN CACHUCHA DE 2"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</si>
  <si>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C2EXT-0955</t>
  </si>
  <si>
    <t>ESPÁRRAGO DE ACERO AL CARBONO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</si>
  <si>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C2EXT-0956</t>
  </si>
  <si>
    <t>ESPÁRRAGO DE ACERO AL CARBONO DE 3/4" DIÁMETRO X 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</si>
  <si>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C2EXT-0957</t>
  </si>
  <si>
    <t>ESPÁRRAGO DE ACERO AL CARBONO DE 1 1/4" DIÁMETRO X 7"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</si>
  <si>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C2EXT-0958</t>
  </si>
  <si>
    <t>PLACA LISA DE 1 1/2" ESPESOR X 302.25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</si>
  <si>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C2EXT-0959</t>
  </si>
  <si>
    <t>PLACA LISA DE 2" ESPESOR X 398.35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</si>
  <si>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C2EXT-0960</t>
  </si>
  <si>
    <t>SERVICIO DE ANÁLISIS DE TRANSFERENCIA DE CALOR Y CÁLCULO DE ESPESOR MÍNIMO REQUERIDO PARA LA INSTALACIÓN DE ACCESORIOS O ENVOLVENTES METÁLICAS DE REFUERZOS Y ENCAPSULADOS EN LÍNEAS EN OPERACIÓN DE DIFERENTES DIÁMETROS EXISTENTES.</t>
  </si>
  <si>
    <t>BME-3801-142-2025</t>
  </si>
  <si>
    <t>C2EXT-0961</t>
  </si>
  <si>
    <t>TAPÓN CACHUCHA DE 1"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</si>
  <si>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C2EXT-0962</t>
  </si>
  <si>
    <t>ESPÁRRAGO DE ACERO AL CARBONO PARA BRIDAS DE 2" DIÁMETRO 600# CON 2" DIÁMETRO 300# R.F DIMENSIONES DE 5/8" DIÁMETRO X 3 3/4" DE LONGITUD, ASTM A193Gr- B7M ROSCAS ASME B1.1 CLASE 2A, CON DOS TUERCAS HEXAGONALES ASTM A194 Gr. 2HM, ROSCAS ASME B.1.1 CLASE 2A, CADMINIZADOS A 25 MICRAS DE ESPESOR ASTM-B-766. INCLUYE: SUMINISTRO, INSPECCIÓN, EMBALAJE, CARGA, ASEGURAMIENTO, TRANSPORTE DEL ALMACÉN DE LA CONTRATISTA, UBICADO EN EL KM. 13.8 AL PATIO DE PREFABRICADOS EN EL RECINTO PORTUARIO DE CIUDAD DEL CARMEN DE ACUERDO CON EL ANEXO DE ESPECIFICACIONES PARTICULARES.</t>
  </si>
  <si>
    <t>C2EXT-0963</t>
  </si>
  <si>
    <t>TUBO DE ACERO AL CARBONO, SIN COSTURA DE 6" DIÁMETRO, CÉDULA 80 (ESPESOR 0.432"),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</si>
  <si>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BME-3801-097-2025</t>
  </si>
  <si>
    <t>C2EXT-0964</t>
  </si>
  <si>
    <t>TAPÓN CAPA DE ACERO AL CARBONO, EXTREMOS BISELADOS PARA SOLDAR, SIN COSTURA ESPECIFICACION ASTM A-234 Gr. WPB ASME B16.9 DE 12"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</si>
  <si>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C2EXT-0965</t>
  </si>
  <si>
    <t>TEE REDUCCIÓN DE ACERO AL CARBONO, EXTREMOS BISELADOS PARA SOLDAR, SIN COSTURA ESPECIFICACION ASTM A-234 Gr. WPB ASME B16.9 DE 4" x 4" x 2" DIÁMETRO, CÉDULA 80 X CÉDULA 80 X CÉDULA 160, CUMPLE CON EL  ESTANDAR NACE MR0175 ÚLTIMA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</si>
  <si>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C2EXT-0966</t>
  </si>
  <si>
    <t>TUBO DE ACERO AL CARBONO, SIN COSTURA DE 4"DIÁMETRO, CÉDULA 80 (ESPESOR 0.337"),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</si>
  <si>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C2EXT-0967</t>
  </si>
  <si>
    <t>TEE REDUCCION DE ACERO AL CARBONO, EXTREMOS BISELADOS PARA SOLDAR, SIN COSTURA ESPECIFICACION ASTM A-234 Gr. WPB ASME B16.9 DE 12" x 12" x 6"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</si>
  <si>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C2EXT-0968</t>
  </si>
  <si>
    <t>BRIDA CUELLO SOLDABLE, CARA REALZADA (R.F.) DE ACERO AL CARBONO FORJADO, ESPECIFICACIÓN ASTM A-105, ASME B16.5, CLASE 600 DE 12"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</si>
  <si>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C2EXT-0969</t>
  </si>
  <si>
    <t>BRIDA CUELLO SOLDABLE, CARA REALZADA (R.F.) DE ACERO AL CARBONO FORJADO, ESPECIFICACIÓN ASTM A-105, ASME B16.5, CLASE 600 DE 2" DIÁMETRO NPS, (300 DN) CÉDULA 160. INCLUYE: SUMINISTRO, INSPECCIÓN, EMBALAJE, CARGA, ASEGURAMIENTO, TRANSPORTE DEL ALMACÉN DE LA CONTRATISTA, UBICADO EN EL KM. 13.8 AL PATIO DE PREFABRICADOS EN EL RECINTO PORTUARIO DE CIUDAD DEL CARMEN DE ACUERDO CON EL ANEXO DE ESPECIFICACIONES PARTICULARES.</t>
  </si>
  <si>
    <t>C2EXT-0970</t>
  </si>
  <si>
    <t>BRIDA CIEGA, CARA REALZADA (R. F.), DE ACERO ASME B16.5, AL CARBONO FORJADO ASTM A-105, DE 6" DIÁMETRO, CLASE 600. INCLUYE: SUMINISTRO, INSPECCIÓN, EMBALAJE, CARGA, ASEGURAMIENTO, TRANSPORTE DEL ALMACÉN DE LA CONTRATISTA, UBICADO EN EL KM. 13.8 AL PATIO DE PREFABRICADOS EN EL RECINTO PORTUARIO DE CIUDAD DEL CARMEN DE ACUERDO CON EL ANEXO DE ESPECIFICACIONES PARTICULARES.</t>
  </si>
  <si>
    <t>C2EXT-0971</t>
  </si>
  <si>
    <t>EMPAQUE ESPIROMETÁLICO, CLASE 600, DE 6”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</si>
  <si>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C2EXT-0972</t>
  </si>
  <si>
    <t>EMPAQUE ESPIROMETÁLICO, CLASE 600, DE 12”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</si>
  <si>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C2EXT-0973</t>
  </si>
  <si>
    <t>ESPÁRRAGO DE 1 1/4" DIÁMETRO X 18" DE LONGITUD, ESPECIFICACIÓN: ASTM A193 GRADO B16, ROSCAS ASME B1.1 CLASE 2ª, CON 02 TUERCAS HEXAGONALES, ESPECIFICACIÓN: ASTM A194 GRADO 4, ROSCA ASME B1.1 CLASE 2A. INCLUYE: SUMINISTRO, INSPECCIÓN, EMBALAJE, CARGA, ASEGURAMIENTO, TRANSPORTE DEL ALMACÉN DE LA CONTRATISTA, UBICADO EN EL KM. 13.8 AL PATIO DE PREFABRICADOS EN EL RECINTO PORTUARIO DE CIUDAD DEL CARMEN DE ACUERDO CON EL ANEXO DE ESPECIFICACIONES PARTICULARES.</t>
  </si>
  <si>
    <t>C2EXT-0974</t>
  </si>
  <si>
    <t>THREDOLET DE ACERO AL CARBONO FORJADO, ESPECIFICACIÓN ASTM A-105 ASME B16.11, PARA SOLDAR A TUBERÍA DE 8" - 3" x 1/2" DIÁMETRO, CLASE 6000. INCLUYE: SUMINISTRO, INSPECCIÓN, EMBALAJE, CARGA, ASEGURAMIENTO, TRANSPORTE DEL ALMACÉN DE LA CONTRATISTA, UBICADO EN EL KM. 13.8 AL PATIO DE PREFABRICADOS EN EL RECINTO PORTUARIO DE CIUDAD DEL CARMEN DE ACUERDO CON EL ANEXO DE ESPECIFICACIONES PARTICULARES.</t>
  </si>
  <si>
    <t>C2EXT-0975</t>
  </si>
  <si>
    <t>CODO 90° R. L. ACERO AL CARBONO DE 3" DE DIÁMETRO, CÉDULA 80 (0.300" DE ESPESOR) EXTREMOS BISELADOS, ASTM A-234 GRADO WPB Y ASME B16.28,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</si>
  <si>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BME-3801-098-2025</t>
  </si>
  <si>
    <t>C2EXT-0976</t>
  </si>
  <si>
    <t>REDUCCIÓN CONCENTRICA DE ACERO AL CARBONO DE 6" DE DIÁMETRO, CÉDULA 80 X 3" DE DIÁMETRO, CÉDULA 80, SIN COSTURA, EXTREMOS BISELADOS. ESPECIFICACIÓN ASTM A234 GRADO WPB,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</si>
  <si>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C2EXT-0977</t>
  </si>
  <si>
    <t>TAPÓN CACHUCHA (HEMBRA) ROSCABLE DE 3/4" DE DIÁMETRO NOMINAL, CLASE: 6000 LIBRAS, DE ACERO AL CARBONO FORJADO, ESPECIFICACIÓN: ASTM A105,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</si>
  <si>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C2EXT-0978</t>
  </si>
  <si>
    <t>VÁLVULA DE COMPUERTA 3/4" DE DIÁMETRO, EXTREMOS CAJA SOLDABLE 800#, CUERPO ASTM A 105. TRIM 16. CUERDA EXTERIOR Y YUGO, BONETE ATORNILLADO, CUÑA SOLIDA, ASIENTOS RECAMBIABLES, OPERADA CON VOLANTE, DISEÑADA BAJO ISO 15761. INCLUYE: SUMINISTRO, INSPECCIÓN, EMBALAJE, CARGA, ASEGURAMIENTO, TRANSPORTE DEL ALMACÉN DE LA CONTRATISTA, UBICADO EN EL KM. 13.8 AL PATIO DE PREFABRICADOS EN EL RECINTO PORTUARIO DE CIUDAD DEL CARMEN DE ACUERDO CON EL ANEXO DE ESPECIFICACIONES PARTICULARES.</t>
  </si>
  <si>
    <t>C2EXT-0979</t>
  </si>
  <si>
    <t>SERVICIO TECNICO ESPECIALIZADO DE INSPECCIÓN Y DICTAMEN DE VÁLVULA TIPO COMPUERTA, ESFÉRICA, GLOBO O DE MARIPOSA DE 12" DIÁMETRO CON RANGO DE PRESIÓN DESDE 150# HASTA 900# EN LA TERMINAL MARITIMA DOS BOCAS. INCLUYE: EQUIPOS, HERRAMIENTAS, MATERIALES E INSUMOS NECESARIOS PARA LA CORRECTA EJECUCIÓN DE LOS TRABAJOS.</t>
  </si>
  <si>
    <t>BME-3801-006-2026</t>
  </si>
  <si>
    <t>C2EXT-0980</t>
  </si>
  <si>
    <t>SERVICIO DE SELLADO CONVENCIONAL DE VÁLVULA TIPO COMPUERTA, ESFÉRICA, GLOBO O DE MARIPOSA DE 12" DE DIÁMETRO CON RANGO DE PRESIÓN DESDE 150# HASTA 900# EN LA TERMINAL MARITIMA DOS BOCAS. INCLUYE: EQUIPOS, HERRAMIENTAS, MATERIALES E INSUMOS NECESARIOS PARA EL CORRECTO SELLADO DE LA VÁLVULA.</t>
  </si>
  <si>
    <t>C2EXT-0981</t>
  </si>
  <si>
    <t>REHABILITACIÓN Y MANTENIMIENTO DE ACTUADOR DE VÁLVULA TIPO COMPUERTA, ESFÉRICA, GLOBO O DE MARIPOSA DE 12" DE DIÁMETRO CON RANGO DE PRESIÓN DESDE 150# HASTA 900# EN LA TERMINAL MARITIMA DOS BOCAS. INCLUYE: EQUIPOS, HERRAMIENTAS, MATERIALES E INSUMOS NECESARIOS PARA LA CORRECTA EJECUCIÓN DE LOS TRABAJOS.</t>
  </si>
  <si>
    <t>C2EXT-0982</t>
  </si>
  <si>
    <t>SELLADO INVERSO DE VÁLVULA TIPO COMPUERTA, ESFÉRICA, GLOBO O DE MARIPOSA DE 12" DIÁMETRO CON RANGO DE PRESIÓN DESDE 150# HASTA 900#, EN LA TERMINAL MARITIMA DOS BOCAS. INCLUYE: EQUIPOS, HERRAMIENTAS, MATERIALES E INSUMOS NECESARIOS PARA EL CORRECTO SELLADO DE LA VÁLVULA.</t>
  </si>
  <si>
    <t>C2EXT-0983</t>
  </si>
  <si>
    <t>SERVICIO DE BARRENADO EN VÁLVULA TIPO COMPUERTA, ESFÉRICA, GLOBO O DE MARIPOSA DE 12"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</si>
  <si>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C2EXT-0984</t>
  </si>
  <si>
    <t>CORTE, HABILITADO, PREFABRICADO DE PLATAFORMA DE OPERACIÓN VÁLVULAS, PLANTA Y ELEVACIONES, INCLUYE SUBNIVEL,CORTES Y DETALLES ASI COMO LA PLANTA ESTRUCTURALES EN LA SIGUIENTE ELEVACIÓN (+) 22.550 DE LA PLATAFORMA YAXCHE, INCLUYE: PERSONAL, EQUIPOS, INSUMOS, MANIOBRAS DE IZAJE Y ACARREO, SEGUN INGENIERIA APROBADA PARA SU CONSTRUCCIÓN. PLANO DE REFERENCIA: D-811.003-YAXCHE-C-G-001 REV.0, D-811.003-YAXCHE-C-G-028 REV.0. NO INCLUYE: SUMINISTRO DE MATERIAL PERMANENTE.</t>
  </si>
  <si>
    <t>C2EXT-0985</t>
  </si>
  <si>
    <t>CORTE, HABILITADO, PREFABRICADO DE AMPLIACION DE CUBIERTA INFERIOR (+) 18.790 (ACERO PRINCIPAL) DE LA PLATAFORMA YAXCHE, INCLUYE: PERSONAL, EQUIPOS, INSUMOS, MANIOBRAS DE IZAJE Y ACARREO, SEGÚN INGENIERIA APROBADA PARA SU CONSTRUCCIÓN. PLANO DE REFERENCIA: D-811.003-YAXCHE-C-G-024 REV.0., D-811.003-YAXCHE-C-G-026 REV.0 NO INCLUYE: SUMINISTRO DE MATERIAL PERMANENTE.</t>
  </si>
  <si>
    <t>C2EXT-0986</t>
  </si>
  <si>
    <t>CORTE, HABILITADO, PREFABRICADO DE AMPLIACION DE CUBIERTA INFERIOR (+) 19.100 (SISTEMA DE PISO) DE LA PLATAFORMA YAXCHE, INCLUYE: PERSONAL, EQUIPOS, INSUMOS, MANIOBRAS DE IZAJE Y ACARREO, SEGÚN INGENIERIA APROBADA PARA SU CONSTRUCCIÓN. PLANO DE REFERENCIA: D-811.003-YAXCHE-C-G-014 REV.0, D-811.003-YAXCHE-C-G-024 REV.0. Y D-811.003-YAXCHE-C-G-028 REV.0. NO INCLUYE: SUMINISTRO DE MATERIAL PERMANENTE.</t>
  </si>
  <si>
    <t>C2EXT-0987</t>
  </si>
  <si>
    <t>CORTE, HABILITADO, PREFABRICADO DE COBERTIZO PARA PEINES DE INYECCION N.T.E. (+) 19.100 DE LA PLATAFORMA YAXCHE, INCLUYE: PERSONAL, EQUIPOS, INSUMOS, MANIOBRAS DE IZAJE Y ACARREO, SEGÚN INGENIERIA APROBADA PARA SU CONSTRUCCIÓN. PLANO DE REFERENCIA: D-811.003-YAXCHE-C-G-04 REV.0 Y D-811.003-YAXCHE-C-G-05 REV.0. NO INCLUYE: SUMINISTRO DE MATERIAL PERMANENTE.</t>
  </si>
  <si>
    <t>C2EXT-0988</t>
  </si>
  <si>
    <t>CORTE, HABILITADO, PREFABRICADO DE COBERTIZO PARA RACK DE INSTRUMENTOS N.T.E. (+) 19.100 DE LA PLATAFORMA YAXCHE, INCLUYE: PERSONAL, EQUIPOS, INSUMOS, MANIOBRAS DE IZAJE Y ACARREO, SEGÚN INGENIERIA APROBADA PARA SU CONSTRUCCIÓN. PLANO DE REFERENCIA: D-811.003-YAXCHE-C-G-006 REV.0, D-811.003-YAXCHE-C-G-007 REV.0. NO INCLUYE: SUMINISTRO DE MATERIAL PERMANENTE.</t>
  </si>
  <si>
    <t>C2EXT-0989</t>
  </si>
  <si>
    <t>CORTE, HABILITADO, PREFABRICADO PARA INSTALACIÓN DE 13 ANODOS DE SACRIFICIO (09 PIEZAS A INSTALAR ENTRE ELEVACIÓN (+)5.030 Y (-)3.810, 03 EN LA ELEVACIÓN (-)22.20) DE LA PLATAFORMA YAXCHE, INCLUYE: PERSONAL, EQUIPOS, INSUMOS, MANIOBRAS DE IZAJE Y ACARREO, SEGÚN INGENIERIA APROBADA PARA SU CONSTRUCCIÓN. PLANO DE REFERENCIA: D-811.003-YAXCHE-C-G-017 REV.0. NO INCLUYE: SUMINISTRO DE MATERIAL PERMANENTE.</t>
  </si>
  <si>
    <t>C2EXT-0990</t>
  </si>
  <si>
    <t>CORTE, HABILITADO, PREFABRICADO DE ESTRUCTURA MARCO EJE A DE LA PLATAFORMA YAXCHE, INCLUYE: PERSONAL, EQUIPOS, INSUMOS, MANIOBRAS DE IZAJE Y ACARREO, SEGÚN INGENIERIA APROBADA PARA SU CONSTRUCCIÓN. PLANO DE REFERENCIA: D-811.003-YAXCHE-C-G-019 REV.0, NO INCLUYE: SUMINISTRO DE MATERIAL PERMANENTE.</t>
  </si>
  <si>
    <t>C2EXT-0991</t>
  </si>
  <si>
    <t>CORTE, HABILITADO, PREFABRICADO DE ESTRUCTURA MARCO EJE B.</t>
  </si>
  <si>
    <t>C2EXT-0992</t>
  </si>
  <si>
    <t>CORTE, HABILITADO, PREFABRICADO DE ESTRUCTURA MARCO EJE 1.</t>
  </si>
  <si>
    <t>C2EXT-0993</t>
  </si>
  <si>
    <t>CORTE, HABILITADO, PREFABRICADO DE AMPLIACIÓN DE CUBIERTA SUPERIOR.</t>
  </si>
  <si>
    <t>C2EXT-0994</t>
  </si>
  <si>
    <t>TUBO OC DE 610 mm (24") X 31.8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</si>
  <si>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BME-3801-141-2025</t>
  </si>
  <si>
    <t>C2EXT-0995</t>
  </si>
  <si>
    <t xml:space="preserve">Cantilliver AYATSIL C </t>
  </si>
  <si>
    <t>TUBO OC 508 mm (20") X 25.4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</si>
  <si>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C2EXT-0996</t>
  </si>
  <si>
    <t>TUBO OC 406 mm (16") X 9.5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</si>
  <si>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C2EXT-0997</t>
  </si>
  <si>
    <t>TUBO DE 2" DE DIÁMETRO (60 mm) CÉDULA 80, EXTREMO ROSCADO.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</si>
  <si>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C2EXT-0998</t>
  </si>
  <si>
    <t>TUBO OC-48 mm x 5.08 kg/m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</si>
  <si>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C2EXT-0999</t>
  </si>
  <si>
    <t>ESPÁRRAGO DE 3/4" DE DIÁMETRO (19.1 mm) x 12" (305 mm) DE LONGITUD, DE ACERO ASTM A-194, GRADO 2H CON TUERCA DE 3/4" (19.1 mm) DE ACERO ASTM A-194, GRADO 2H Y ROLDANA PLANA. INCLUYE: SUMINISTRO, INSPECCIÓN, EMBALAJE, CARGA, ASEGURAMIENTO, TRANSPORTE DEL ALMACÉN DE LA CONTRATISTA, UBICADO EN EL KM. 13.8 AL PATIO DE PREFABRICADOS EN EL RECINTO PORTUARIO DE CIUDAD DEL CARMEN DE ACUERDO CON EL ANEXO DE ESPECIFICACIONES PARTICULARES.</t>
  </si>
  <si>
    <t>C2EXT-1000</t>
  </si>
  <si>
    <t>ADAPTADOR CON CUERDA HEMBRA TIPO ENGER CRA. INCLUYE: SUMINISTRO, INSPECCIÓN, EMBALAJE, CARGA, ASEGURAMIENTO, TRANSPORTE DEL ALMACÉN DE LA CONTRATISTA, UBICADO EN EL KM. 13.8 AL PATIO DE PREFABRICADOS EN EL RECINTO PORTUARIO DE CIUDAD DEL CARMEN DE ACUERDO CON EL ANEXO DE ESPECIFICACIONES PARTICULARES.</t>
  </si>
  <si>
    <t>C2EXT-1001</t>
  </si>
  <si>
    <t>SUMINISTRO, HABILITADO E INSTALACIÓN EN PATIO DE PREFABRICADOS DE PERFIL IS-305 mm x 19 mm / 953 mm x 13 mm DE ACERO AL CARBONO ASTM A-36</t>
  </si>
  <si>
    <t>C2EXT-1002</t>
  </si>
  <si>
    <t>SUMINISTRO, HABILITADO E INSTALACIÓN EN PATIO DE PREFABRICADOS DE PERFIL IS-457 mm x 51 mm / 889 mm x 42 mm DE ACERO AL CARBONO ASTM A-36</t>
  </si>
  <si>
    <t>C2EXT-1003</t>
  </si>
  <si>
    <t>PERFIL IR DE 457 mm x 74.5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</si>
  <si>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C2EXT-1004</t>
  </si>
  <si>
    <t>PERFIL CE-152 mm X 12.2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</si>
  <si>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C2EXT-1005</t>
  </si>
  <si>
    <t>PLACA ANTIDERRAPANTE DE 6.4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</si>
  <si>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C2EXT-1006</t>
  </si>
  <si>
    <t>PLACA LISA DE 3/8" (9.5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</si>
  <si>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C2EXT-1007</t>
  </si>
  <si>
    <t>PLACA LISA DE 12.7 mm DE ESPESOR (1/2")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</si>
  <si>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C2EXT-1008</t>
  </si>
  <si>
    <t>PLACA LISA DE 19.1 mm DE ESPESOR (3/4")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</si>
  <si>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C2EXT-1009</t>
  </si>
  <si>
    <t>PLACA LISA DE 25.4 mm DE ESPESOR (1")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</si>
  <si>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C2EXT-1010</t>
  </si>
  <si>
    <t>PLACA ROLADA DE 25.4 mm DE ESPESOR (1") DE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</si>
  <si>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C2EXT-1011</t>
  </si>
  <si>
    <t>TAPÓN CACHUCHA ROSCABLE DE 2" DE DIÁMETRO (51 mm), CLASE 300. INCLUYE: SUMINISTRO, INSPECCIÓN, EMBALAJE, CARGA, ASEGURAMIENTO, TRANSPORTE DEL ALMACÉN DE LA CONTRATISTA, UBICADO EN EL KM. 13.8 AL PATIO DE PREFABRICADOS EN EL RECINTO PORTUARIO DE CIUDAD DEL CARMEN DE ACUERDO CON EL ANEXO DE ESPECIFICACIONES PARTICULARES.</t>
  </si>
  <si>
    <t>C2EXT-1012</t>
  </si>
  <si>
    <t>PLACA DE NEOPRENO DE 1/2" (13 mm) DE ESPESOR. INCLUYE: SUMINISTRO, INSPECCIÓN, EMBALAJE, CARGA, ASEGURAMIENTO, TRANSPORTE DEL ALMACÉN DE LA CONTRATISTA, UBICADO EN EL KM. 13.8 AL PATIO DE PREFABRICADOS EN EL RECINTO PORTUARIO DE CIUDAD DEL CARMEN DE ACUERDO CON EL ANEXO DE ESPECIFICACIONES PARTICULARES.</t>
  </si>
  <si>
    <t>C2EXT-1013</t>
  </si>
  <si>
    <t>NIPLE DE 2" DE DIÁMETRO(60 mm) x 6" (152 mm) DE LONGITUD, CÉDULA 80. INCLUYE: SUMINISTRO, INSPECCIÓN, EMBALAJE, CARGA, ASEGURAMIENTO, TRANSPORTE DEL ALMACÉN DE LA CONTRATISTA, UBICADO EN EL KM. 13.8 AL PATIO DE PREFABRICADOS EN EL RECINTO PORTUARIO DE CIUDAD DEL CARMEN DE ACUERDO CON EL ANEXO DE ESPECIFICACIONES PARTICULARES.</t>
  </si>
  <si>
    <t>C2EXT-1014</t>
  </si>
  <si>
    <t>VÁLVULA TIPO GLOBO DE 2" DE DIÁMETRO(51 mm), 300 LIBRAS, EXTREMOS ROSCADOS O INSERTO SOLDABLE. INCLUYE: SUMINISTRO, INSPECCIÓN, EMBALAJE, CARGA, ASEGURAMIENTO, TRANSPORTE DEL ALMACÉN DE LA CONTRATISTA, UBICADO EN EL KM. 13.8 AL PATIO DE PREFABRICADOS EN EL RECINTO PORTUARIO DE CIUDAD DEL CARMEN DE ACUERDO CON EL ANEXO DE ESPECIFICACIONES PARTICULARES.</t>
  </si>
  <si>
    <t>C2EXT-1015</t>
  </si>
  <si>
    <t>SUMINISTRO E INSTALACIÓN COSTA FUERA DE TABLERO DE ALUMBRADO Y CONTACTOS, 3F, 4H, 220/127V, 100A 10KA C.I., DE 30 POLOS, CON INTERRUPTOR DE 3 X 30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</si>
  <si>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C3EXT-0001</t>
  </si>
  <si>
    <t>Moder Sist Elect CB-LIT-A</t>
  </si>
  <si>
    <t>SUMINISTRO E INSTALACIÓN COSTA FUERA DE TABLERO DE ALUMBRADO Y CONTACTOS, 3F, 4H, 220/127V, 100A 10KA C.I., DE 30 POLOS, CON INTERRUPTOR DE 3 X 100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</si>
  <si>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C3EXT-0002</t>
  </si>
  <si>
    <t>SUMINISTRO E INSTALACIÓN COSTA FUERA DE TABLERO DE ALUMBRADO Y CONTACTOS, 3F, 4H, 220/127V, 100A 10KA C.I., DE 30 POLOS, CON INTERRUPTOR DE 3 X 50A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</si>
  <si>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C3EXT-0003</t>
  </si>
  <si>
    <t>SUMINISTRO E INSTALACIÓN COSTA FUERA DE TABLERO DE ALUMBRADO EXTERIOR NORMAL, 3F, 4H, 220/127V, 225A 10KA C.I., DE 42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</si>
  <si>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C3EXT-0004</t>
  </si>
  <si>
    <t>SUMINISTRO E INSTALACIÓN COSTA FUERA DE TABLERO DE ALUMBRADO EXTERIOR NORMAL, 3F, 4H, 220/127V, 225A 10KA C.I., DE 54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</si>
  <si>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C3EXT-0005</t>
  </si>
  <si>
    <t>SUMINISTRO E INSTALACIÓN COSTA FUERA DE TABLERO DE ALUMBRADO DE EMERGENCIA EXTERIOR, 1F, 3H, 127V, 225A 10KA C.I., DE 30 POLOS, CON INTERRUPTOR DE 1 X 200 A (TERMOMAGNÉTICO) ATORNILLABLE DE PARA AMBIENTE MARINO PARA SOBREPONER NEMA 1A CON PUERTA BISAGRADA Y CHAPA EMBUTIDA CUBIERTA FRONTAL TIPO REMOVIBLE SUJETA CON TORNILLOS.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</si>
  <si>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C3EXT-0006</t>
  </si>
  <si>
    <t>SUMINISTRO E INSTALACIÓN COSTA FUERA DE INTERRUPTOR TERMOMAGNÉTICO TIPO QO DE 1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</si>
  <si>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C3EXT-0007</t>
  </si>
  <si>
    <t>SUMINISTRO E INSTALACIÓN COSTA FUERA DE INTERRUPTOR TERMOMAGNÉTICO TIPO QO DE 2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</si>
  <si>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C3EXT-0008</t>
  </si>
  <si>
    <t>SUMINISTRO E INSTALACIÓN COSTA FUERA DE INTERRUPTOR TERMOMAGNÉTICO TIPO QO DE 3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</si>
  <si>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C3EXT-0009</t>
  </si>
  <si>
    <t>SUMINISTRO E INSTALACIÓN COSTA FUERA DE LINTERNA MARINA PARA AYUDA A LA NAVEGACIÓN CON PANELES SOLARES INTEGRADOS, BATERÍA, Y COMPONENTES ELECTRÓNICOS. FUENTE DE LUZ LED HASTA 475 CD (INTENSIDAD IALA PICO), ALCANCE DE 3-6 MILLAS NÁUTICAS. COLOR BLANCO CON MÁS DE 250 PATRONES DE DESTELLO CAPACIDAD DE LA BATERÍA CELDAS BC (200 WH), DIVERGENCIA VERTICAL 8º O 10° (FWHM), SINCRONIZACIÓN BASADA EN GPS, CONSTRUCCIÓN LENTE/CABEZAL DE POLICARBONATO DE GRADO PREMIUM RESISTENTE A LOS RAYOS UV; BASE DE COPOLÍMERO DE POLICARBONATO/POLISILOXANO, CHASIS DE ALUMINIO CON PROTECCIÓN ANTICORROSIVA, GRADO DE PROTECCIÓN IP 68 TEMPERATURA DE OPERACIÓN -22 A 122 °F (-30 A 50 °C) CON (04) TORNILLO, CABEZA HEXAGONAL, DE ACERO INOXIDABLE, GRADO: 316, DE 5/8" (0.625") DE DIÁMETRO, X 2 DE LONGITUD, CUERDA CORRIDA, CON: 01 TUERCA HEXAGONAL DE ACERO INOXIDABLE, GRADO: 316, 02 ARANDELAS PLANAS DE ACERO INOXIDABLE, GRADO: 316, 01 ARANDELA DE PRESIÓN DE ACERO INOXIDABLE GRADO: 316, CON PLACA DE NEOPRENO DE 1/4" DE ESPESOR, DUREZA 60 SHORE "A", DE ACUERDO ESPECIFICACIÓN ASTM D2240.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</si>
  <si>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C3EXT-0010</t>
  </si>
  <si>
    <t>Moder Sist Elect Litoral-A</t>
  </si>
  <si>
    <t>SUMINISTRO E INSTALACIÓN COSTA FUERA DE REDUCCIÓN CAMPANA DE ALUM., CON CUBIERTA DE PVC, DE 53 X 21 MM (2" X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</si>
  <si>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C3EXT-0012</t>
  </si>
  <si>
    <t>SUMINISTRO, CARGA, ACARREO, DESCARGA Y PUESTA EN SITIO COSTA FUERA DE COPLE DE ALUMINIO LIBRE COBRE CÉDULA 40, CON CUBIERTA DE PVC E INTERIOR DE URETANO, DE 21 MM (3/4" DIÁMETRO).</t>
  </si>
  <si>
    <t>C3EXT-0013</t>
  </si>
  <si>
    <t>SUMINISTRO E INSTALACIÓN COSTA FUERA DE TUBERÍA CONDUIT DE ALUMINIO CÉDULA 40 CON RECUBRIMIENTO EXTERIOR DE PVC E INTERIOR DE URETANO: TUBERÍA CONDUIT DE 2" DIÁMETRO INCLUYE SUMINISTRO, ACARREO, CARGA Y DESCARGA DE MATERIAL DESDE EL ALMACÉN DEL CONTRATISTA AL SITIO DE INSTALACIÓN DE PLATAFORMA, MANO DE OBRA, EQUIPO Y HERRAMIENTA Y CONSUMIBLES, LIMPIEZA FINAL, RECOGER MATERIAL SOBRANTE Y EQUIPO DE SEÑALIZACIÓN.</t>
  </si>
  <si>
    <t>C3EXT-0016</t>
  </si>
  <si>
    <t>SUMINISTRO E INSTALACIÓN COSTA FUERA DE CONTACTO MONOFÁSICO DUPLEX POLARIZADO 127 V, 1F, 3H. EN CAJA A PRUEBA DE EXPLOSIÓN, CLASE 1 DIVISIÓN 2. CON REC. EXT. DE PVC E INTERIOR DE URETANO.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</si>
  <si>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C3EXT-0018</t>
  </si>
  <si>
    <t>12C-11</t>
  </si>
  <si>
    <t>TARIFA DIARIA DE PERSONAL ESPECIALISTA, EQUIPOS Y EMBARCACION PARA TRABAJOS DE MAPEO POR TIEMPOS EN TRANSITO, TIEMPOS EN ESPERA POR CONDICIONES METEREOLOGICAS ADVERSAS Y/O PAROS OPERATIVOS E INTERFERENCIAS.</t>
  </si>
  <si>
    <t>C3EXT-0979</t>
  </si>
  <si>
    <t>SUMINISTRO E INSTALACIÓN COSTA FUERA DE CONECTOR DERIVADOR DE COBRE ELECTROLÍTICO A COMPRESIÓN PARA TIERRA PARA LINEA PRINCIPAL, CALIBRE 2/0 AWG Y DERIVACIÓN CALIBRE 2/0 AWG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</si>
  <si>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C3EXT-0021</t>
  </si>
  <si>
    <t>SUMINISTRO E INSTALACIÓN COSTA FUERA DE PERNO SIN PUNTA ROSCADO, DE ACERO INOXIDABLE 316, DE 1/4" (MM) DE DIÁMETRO, LONGITUD DE LA ROSCA 20 MM, LONGITUD DEL VÁSTAGO TOTAL 31.3 MM, DEBE INCLUIR: TUERCA HEXAGONAL DE ACERO INOXIDABLE GRADO: 316, ARANDELA PLANA DE ACERO INOXIDABLE GRADO: 316. CON UNA (01) ABRAZADERA, TIPO: SILBATO, DE COBRE, PARA CONDUCTOR CALIBRE DE 2 A 2/0 AWG, CON ORIFICIOS DE 6 MM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</si>
  <si>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C3EXT-0022</t>
  </si>
  <si>
    <t>SUMINISTRO E INSTALACIÓN COSTA FUERA DE PUNTA MACIZA DE COBRE PURO, CON ACABADO DE ALTO CROMO, PUNTA DE 1/2" DIÁMETRO Y DE 600 MM DE LARGO APROBADA UL96, UL LISTED 1P32, CON UNA (01) BASE PLANA DE MONTAJE DE COBRE-BRONCE PARA PUNTA PARARRAYOS TIPO FARADAY. APROBADA UL96, UL LISTED 1P32 Y CON 04 TORNILLO CABEZA HEXAGONAL DE ACERO INOXIDABLE GRADO 316 DE 1/4" (0.250") DE DIÁMETRO X 1 1/2" (1.50") DE LONGITUD, CUERDA CORRIDA CON 1 TUERCA HEXAGONAL DE ACERO INOXIDABLE GRADO 316, 2 ARANDELAS PLANAS DE ACERO INOXIDABLE GRADO 316, 1 ARANDELA DE PRESIÓN DE ACERO INOXIDABLE GRADO 316 . INCLUYE SUMINISTRO, ACARREO, CARGA Y DESCARGA DE MATERIAL DESDE EL ALMACÉN DEL CONTRATISTA AL SITIO DE INSTALACIÓN DE PLATAFORMA, MANO DE OBRA, EQUIPO Y HERRAMIENTA Y CONSUMIBLES, LIMPIEZA FINAL, RECOGER MATERIAL SOBRANTE Y EQUIPO DE SEÑALIZACIÓN.</t>
  </si>
  <si>
    <t>C3EXT-0023</t>
  </si>
  <si>
    <t>SUMINISTRO E INSTALACIÓN COSTA FUERA DE CONECTOR PARA TUBERÍA DE 64 A 102 MM A CABLE DE ALEACIÓN BRONCE COBRE. PARA FIJACIÓN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</si>
  <si>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C3EXT-0024</t>
  </si>
  <si>
    <t>SUMINISTRO E INSTALACIÓN COSTA FUERA DE MONITOR DE 3/4" DE DIÁMETRO NOMINAL, MATERIAL DE ZINC FUNDIDO A PRESIÓN (ZAMAK) INCLUYE CONTRATUERCA. ROSCADO,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</si>
  <si>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C3EXT-0025</t>
  </si>
  <si>
    <t>SUMINISTRO E INSTALACIÓN COSTA FUERA DE CABLE DESNUDO FORMADO POR VARIOS HILOS DE COBRE DE TEMPLE SUAVE CALIBRE 2/0 AWG (67.4 MM²), CLASE II CON CERTIFICACIÓN UL-96A, INCLUYE SUMINISTRO, ACARREO, CARGA Y DESCARGA DE MATERIAL DESDE EL ALMACÉN DEL CONTRATISTA AL SITIO DE INSTALACIÓN DE PLATAFORMA, MANO DE OBRA, EQUIPO, HERRAMIENTA, CONSUMIBLES Y PRUEBAS DE CONTINUIDAD, LIMPIEZA FINAL, RECOGER MATERIAL SOBRANTE Y EQUIPO DE SEÑALIZACIÓN.</t>
  </si>
  <si>
    <t>C3EXT-0026</t>
  </si>
  <si>
    <t>SUMINISTRO E INSTALACIÓN COSTA FUERA DE CONECTOR MECÁNICO TIPO "RECTO", CALIBRE 2/0 AWG. ALEACIÓN DE COBRE-BRONCE, PARA DERIVACIÓN DE CABLE DE COBRE,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</si>
  <si>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C3EXT-0027</t>
  </si>
  <si>
    <t>SUMINISTRO E INSTALACIÓN COSTA FUERA DE DESCONECTADOR DE TIERRA ENTRE EL CONDUCTOR DE BAJADA Y EL SISTEMA DE PUESTA A TIERRA. ALEACIÓN DE COBRE-BRONCE PARA CABLE DE COBRE DESNUDO CALIBRE 2/0 AWG CON CERTIFICACIÓN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</si>
  <si>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C3EXT-0028</t>
  </si>
  <si>
    <t>SUMINISTRO E INSTALACIÓN COSTA FUERA DE PERNO SIN PUNTA ROSCADO, DE ACERO INOXIDABLE 316, PARA CONEXIONES ELÉCTRICAS DE 1/2" (MM) DE DIÁMETRO, LONGITUD DE LA ROSCA 20 MM, LONGITUD DEL VÁSTAGO TOTAL 31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</si>
  <si>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C3EXT-0030</t>
  </si>
  <si>
    <t>SUMINISTRO E INSTALACIÓN COSTA FUERA DE CONTADOR DE DESCARGA DE RAYOS CON CAPACIDAD DE REGISTRO 999 IMPULSOS. DETECCIÓN DE IMPULSOS MÍNIMA DE 1 KA (8/20 µS) Y MÁXIMA 100 KA(10/350 µS) SEGÚN LA IEC 62.561-6:20, TEMPERATURA DE OPERACIÓN DE -20° A 65°C GRADO DE PROTECCIÓN IP-65 INCLUYE SUMINISTRO, ACARREO, CARGA Y DESCARGA DE MATERIAL DESDE EL ALMACÉN DEL CONTRATISTA AL SITIO DE INSTALACIÓN DE PLATAFORMA, MANO DE OBRA, EQUIPO Y HERRAMIENTA Y CONSUMIBLES,, LIMPIEZA FINAL, RECOGER MATERIAL SOBRANTE Y EQUIPO DE SEÑALIZACIÓN.</t>
  </si>
  <si>
    <t>C3EXT-0031</t>
  </si>
  <si>
    <t>1C-11</t>
  </si>
  <si>
    <t>SERVICIO DE INSPECCION DE GARANTIA MARINA (WARRANTY SURVEYOR) PARA LA INSTALACION DEL HELIPUERTO EN LA PLATAFORMA ATOYATL-A, INCLUYE REVISION DOCUMENTAL PARA LOS TRABAJOS DE IZAJE.</t>
  </si>
  <si>
    <t>BME-3801-039-2024</t>
  </si>
  <si>
    <t>OT-GRZ-801-24-09.2-Atoyatl-A</t>
  </si>
  <si>
    <t>C3EXT-1048</t>
  </si>
  <si>
    <t>09.2-ATOYATL-A</t>
  </si>
  <si>
    <t>2C-11</t>
  </si>
  <si>
    <t>SERVICIO DE INSPECCION DE GARANTIA MARINA (WARRANTY SURVEYOR) FASE INSTALACIÓN: RECEPCIÓN DE CHALAN DE CARGA CON ESTRUCTURAS, LIBERACIÓN,  DE SEGUROS MARINOS, IZAJE E INSTALACION DE SUBESTRUCTURA, SUPERESTRUCTURA Y MISCELANEOS Y ENTREGA FINAL.</t>
  </si>
  <si>
    <t>C3EXT-0689</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</si>
  <si>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</si>
  <si>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</si>
  <si>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BME-3801-031-2023</t>
  </si>
  <si>
    <t>OT-GRZ-801-23-009-Atoyatl-A</t>
  </si>
  <si>
    <t>C3EXT-0967</t>
  </si>
  <si>
    <t>009-ATOYATL-A</t>
  </si>
  <si>
    <t>SUMINISTRO E INSTALACIÓN COSTA FUERA DE CONECTOR MECÁNICO TIPO "T", ALEACIÓN DE COBRE-BRONCE, PARA DERIVACIÓN DE CABLE DE COBRE, CALIBRE 2/0 AWG CERTIFICACIONES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</si>
  <si>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C3EXT-0036</t>
  </si>
  <si>
    <t>SUMINISTRO E INSTALACIÓN COSTA FUERA DE PERNO SIN PUNTA ROSCADO, DE ACERO INOXIDABLE 316, DE 5/16" (8MM) DE DIÁMETRO, LONGITUD DE LA ROSCA 27 MM, LONGITUD DEL VÁSTAGO TOTAL 33 MM, DEBE INCLUIR: TUERCA HEXAGONAL DE ACERO INOXIDABLE GRADO: 316, ARANDELA PLANA DE ACERO INOXIDABLE GRADO: 316. Y DISCO DE CONDUCTIVIDAD DE 22 MM (0.886)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</si>
  <si>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C3EXT-0037</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</si>
  <si>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</si>
  <si>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</si>
  <si>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BME-3801-029-2023</t>
  </si>
  <si>
    <t>OT-GRZ-801-23-013-Tentok-A</t>
  </si>
  <si>
    <t>C3EXT-0972</t>
  </si>
  <si>
    <t>013-TENTOK-A</t>
  </si>
  <si>
    <t>SUMINISTRO E INSTALACIÓN COSTA FUERA DE PERNO SIN PUNTA ROSCADO, DE ACERO INOXIDABLE 316, PARA CONEXIONES ELÉCTRICAS DE 1/2" (10 MM) DE DIÁMETRO, LONGITUD DE LA ROSCA 27.8 MM, LONGITUD DEL VÁSTAGO TOTAL 34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</si>
  <si>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C3EXT-0039</t>
  </si>
  <si>
    <t>SUMINISTRO E INSTALACIÓN COSTA FUERA DE BARRA DE DISTRIBUCIÓN DE TIERRA DE COBRE ELECTROLÍTICO TIPO BBB, DE 1/4" (6.25MM) DE ESPESOR X 4"(102MM) DE ANCHO Y 12" DE LONGITUD (305MM) SIN BARRENOS INCLUYE: HERRAJES DE FIJACIÓN, INCLUYE: TORNILLOS CABEZA HEXAGONAL DE 3/8" (0.375") X1 1/2 "DE LONGITUD (1.500") DE LONGITUD CUERDA CORRIDA DE ACERO INOXIDABLE GRADO 316, INCLUYE: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</si>
  <si>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C3EXT-0041</t>
  </si>
  <si>
    <t>SUMINISTRO, CARGA, ACARREO, DESCARGA Y PUESTA EN SITIO COSTA FUERA DE CONECTOR GLÁNDULA TIPO CGB DE ALUMINIO LIBRE DE COBRE PARA CABLE CALIBRE 67.4 MM² (2/0AWG) RANGO DE ENTRADA DE CABLE DE 12.7MM A 15.88MM ROSCA NPT DE 3/4", CLASE I, DIV.2 GRUPOS A, B, C, D, CLASE II, DIV. 1 GRUPOS E.F.G.</t>
  </si>
  <si>
    <t>C3EXT-0042</t>
  </si>
  <si>
    <t>SUMINISTRO E INSTALACIÓN COSTA FUERA DE TUBERÍA CONDUIT DE ALUMINIO LIBRE DE COBRE CÉDULA 40, CON UN COPLE EN UNO DE SUS EXTREMOS POR CADA TRAMO DE 3 MTS, DE 21 MM (3/4") INCLUYE SUMINISTRO, ACARREO, CARGA Y DESCARGA DE MATERIAL DESDE EL ALMACÉN DEL CONTRATISTA AL SITIO DE INSTALACIÓN DE PLATAFORMA, MANO DE OBRA, EQUIPO Y HERRAMIENTA Y CONSUMIBLES, LIMPIEZA FINAL, RECOGER MATERIAL SOBRANTE Y EQUIPO DE SEÑALIZACIÓN.</t>
  </si>
  <si>
    <t>C3EXT-0044</t>
  </si>
  <si>
    <t>SUMINISTRO E INSTALACIÓN COSTA FUERA DE REFLECTOR TIPO LED DE 69W, 220 VCA, DRIVER ELECTRÓNICO DE ESTADO SÓLIDO, FACTOR DE POTENCIA DE 0.90, CON SOPORTE TIPO "U", ENTRADA PARA TUBERÍA CONDUIT DE 3/4" DIÁMETRO, CLASE I, DIVISIÓN 2, GRUPOS C Y D, LENTE-CRISTAL RESISTENTE AL CALOR Y AL IMPACTO, INCLUYE GUARDA. TEMPERATURA DE OPERACIÓN T4A.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</si>
  <si>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C3EXT-0045</t>
  </si>
  <si>
    <t>SUMINISTRO E INSTALACIÓN COSTA FUERA DE LUMINARIA DE LED, DE 610 X 610 MM, 45 WATTS, PARA OPERAR A 127 V, 60HZ, TIPO DE MONTAJE EN PLAFÓN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</si>
  <si>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C3EXT-0046</t>
  </si>
  <si>
    <t>SUMINISTRO E INSTALACIÓN COSTA FUERA DE TUBERÍA CONDUIT DE ALUMINIO LIBRE DE COBRE CÉDULA 40 CON UN COPLE EN UNO DE SUS EXTREMOS POR CADA TRAMO DE 3 MTS, DE 53 MM (2") INCLUYE SUMINISTRO, ACARREO, CARGA Y DESCARGA DE MATERIAL DESDE EL ALMACÉN DEL CONTRATISTA AL SITIO DE INSTALACIÓN DE PLATAFORMA, MANO DE OBRA, EQUIPO Y HERRAMIENTA Y CONSUMIBLES, LIMPIEZA FINAL, RECOGER MATERIAL SOBRANTE Y EQUIPO DE SEÑALIZACIÓN.</t>
  </si>
  <si>
    <t>C3EXT-0047</t>
  </si>
  <si>
    <t>SUMINISTRO E INSTALACIÓN COSTA FUERA DE CAJAS TIPO GUAL PARA ÁREAS PELIGROSAS FABRICADA EN ALUMINIO LIBRE DE COBRE CON RECUBRIMIENTO EXTERIOR DE PVC DE 40 MILÉSIMAS DE PULGADA E INTERIOR DE URETANO DE 2 MILÉSIMAS DE PULGADA: CAJA DE REGISTRO TIPO GUAL DE 2" DIÁMETRO INCLUYE SUMINISTRO, ACARREO, CARGA Y DESCARGA DE MATERIAL DESDE EL ALMACÉN DEL CONTRATISTA AL SITIO DE INSTALACIÓN DE PLATAFORMA, MANO DE OBRA, EQUIPO Y HERRAMIENTA Y CONSUMIBLES,, LIMPIEZA FINAL, RECOGER MATERIAL SOBRANTE Y EQUIPO DE SEÑALIZACIÓN.</t>
  </si>
  <si>
    <t>C3EXT-0048</t>
  </si>
  <si>
    <t>SUMINISTRO E INSTALACIÓN COSTA FUERA DE CAJAS TIPO GUAT PARA ÁREAS PELIGROSAS FABRICADA EN ALUMINIO LIBRE DE COBRE CON RECUBRIMIENTO EXTERIOR DE PVC DE 40 MILÉSIMAS DE PULGADA E INTERIOR DE URETANO DE 2 MILÉSIMAS DE PULGADA: CAJA DE REGISTRO TIPO GUAT DE 2" DIÁMETRO INCLUYE SUMINISTRO, ACARREO, CARGA Y DESCARGA DE MATERIAL DESDE EL ALMACÉN DEL CONTRATISTA AL SITIO DE INSTALACIÓN DE PLATAFORMA, MANO DE OBRA, EQUIPO Y HERRAMIENTA Y CONSUMIBLES,, LIMPIEZA FINAL, RECOGER MATERIAL SOBRANTE Y EQUIPO DE SEÑALIZACIÓN.</t>
  </si>
  <si>
    <t>C3EXT-0049</t>
  </si>
  <si>
    <t>SUMINISTRO E INSTALACIÓN COSTA FUERA DE CAJA DE REGISTRO PARA ÁREAS DE SERVICIO GENERAL DE ALUMINIO LIBRE DE COBRE, SERIE OVALADA, TIPO LL, DE 53 MM (2) DE DIÁMETRO, INCLUYE TAPA INCLUYE SUMINISTRO, ACARREO, CARGA Y DESCARGA DE MATERIAL DESDE EL ALMACÉN DEL CONTRATISTA AL SITIO DE INSTALACIÓN DE PLATAFORMA, MANO DE OBRA, EQUIPO Y HERRAMIENTA Y CONSUMIBLES, LIMPIEZA FINAL, RECOGER MATERIAL SOBRANTE Y EQUIPO DE SEÑALIZACIÓN.</t>
  </si>
  <si>
    <t>C3EXT-0050</t>
  </si>
  <si>
    <t>SUMINISTRO E INSTALACIÓN COSTA FUERA DE TUERCA UNIÓN TIPO "UNY" PARA USO EN ÁREAS PELIGROSAS, DE ALUMINIO LIBRE DE COBRE CON RECUBRIMIENTO EXTERIOR DE PVC DE 40 MILÉSIMAS DE PULGADA E INTERIOR DE URETANO DE 2 MILÉSIMAS DE PULGADA, DE 53MM DE DIÁMETRO, INCLUYE SUMINISTRO, ACARREO, CARGA Y DESCARGA DE MATERIAL DESDE EL ALMACÉN DEL CONTRATISTA AL SITIO DE INSTALACIÓN DE PLATAFORMA, MANO DE OBRA, EQUIPO Y HERRAMIENTA Y CONSUMIBLES, LIMPIEZA FINAL, RECOGER MATERIAL SOBRANTE Y EQUIPO DE SEÑALIZACIÓN.</t>
  </si>
  <si>
    <t>C3EXT-0051</t>
  </si>
  <si>
    <t>SUMINISTRO E INSTALACIÓN COSTA FUERA DE SELLO MACHO-HEMBRA PARA EL SELLADO EN POSICIONES VERTICAL U HORIZONTAL, PARA USO EN ÁREAS PELIGROSAS, DE ALUMINIO LIBRE DE COBRE CON RECUBRIMIENTO EXTERIOR DE PVC DE 40 MILÉSIMAS DE PULGADA E INTERIOR DE URETANO DE 2 MILÉSIMAS DE PULGADA DE (2) DE DIÁMETRO,  INCLUYE SUMINISTRO, ACARREO, CARGA Y DESCARGA DE MATERIAL DESDE EL ALMACÉN DEL CONTRATISTA AL SITIO DE INSTALACIÓN DE PLATAFORMA, MANO DE OBRA, EQUIPO Y HERRAMIENTA Y CONSUMIBLES, LIMPIEZA FINAL, RECOGER MATERIAL SOBRANTE Y EQUIPO DE SEÑALIZACIÓN.</t>
  </si>
  <si>
    <t>C3EXT-0052</t>
  </si>
  <si>
    <t>SUMINISTRO E INSTALACIÓN COSTA FUERA DE REDUCCIÓN TIPO BUSHING PARA TUBERÍA CONDUIT PARA USO EN ÁREAS PELIGROSAS, DE ALUMINIO LIBRE DE COBRE CON RECUBRIMIENTO EXTERIOR E INTERIOR DE URETANO. DE 63 MM 16 MM (2" A 1/2") DE DIÁMETRO INCLUYE SUMINISTRO, ACARREO, CARGA Y DESCARGA DE MATERIAL DESDE EL ALMACÉN DEL CONTRATISTA AL SITIO DE INSTALACIÓN DE PLATAFORMA, MANO DE OBRA, EQUIPO Y HERRAMIENTA Y CONSUMIBLES, RECOGER MATERIAL SOBRANTE Y EQUIPO DE SEÑALIZACIÓN.</t>
  </si>
  <si>
    <t>C3EXT-0053</t>
  </si>
  <si>
    <t>SUMINISTRO E INSTALACIÓN COSTA FUERA DE CONECTOR TIPO STAG CON TORNILLO DE PUESTA A TIERRA, CON CUERPO Y CONTRATUERCA DE ALUMINIO LIBRE DE COBRE DE 53 MM (2")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</si>
  <si>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C3EXT-0055</t>
  </si>
  <si>
    <t>SUMINISTRO E INSTALACIÓN COSTA FUERA DE ABRAZADERA UNICANAL DE ACERO GALVANIZADO PARA TUBERÍA DE 53 MM (2"). CON TUERCA Y ARANDELA CON (01) PIJA, AUTO TALADRANTE, DE CABEZA HEXAGONAL DE 5/16" DE DIÁMETRO X 1-1/2" DE LONGITUD, CON PUNTA DE BROCA, DE ACERO INOXIDABLE, GRADO 304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</si>
  <si>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C3EXT-0057</t>
  </si>
  <si>
    <t>SUMINISTRO E INSTALACIÓN COSTA FUERA DE INTERRUPTOR TERMOMAGNÉTICO ATORNILLABLE, DE 3 POLOS, 40 AMPERES 120/240 VCA CAPACIDAD INTERRUPTIVA DE 10 KA,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</si>
  <si>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C3EXT-0058</t>
  </si>
  <si>
    <t>SUMINISTRO E INSTALACIÓN COSTA FUERA DE CAJA DE REGISTRO PARA USO EN ÁREAS PELIGROSAS, SERIE REDONDA TIPO "X" DE ALUMINIO LIBRE DE COBRE CON RECUBRIMIENTO EXTERIOR DE PVC DE 40 MILÉSIMAS DE PULGADA E INTERIOR DE URETANO DE 2 MILÉSIMAS DE PULGADAS, DE 27 MM (1")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</si>
  <si>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C3EXT-0059</t>
  </si>
  <si>
    <t>SUMINISTRO E INSTALACIÓN COSTA FUERA DE REDUCCIÓN TIPO CAMPANA "REC" PARA TUBERÍA CONDUIT PARA USO EN REAS PELIGROSAS, DE ALUMINIO LIBRE DE COBRE CON RECUBRIMIENTO EXTERIOR DE PVC DE 40 MILÉSIMAS DE PULGADA E INTERIOR DE URETANO DE 2 MILÉSIMAS DE PULGADA, DE 53 MM A 27 MM (2" A 1")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</si>
  <si>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C3EXT-0060</t>
  </si>
  <si>
    <t>SUMINISTRO E INSTALACIÓN COSTA FUERA DE REDUCCIÓN TIPO CAMPANA "REC" PARA TUBERÍA CONDUIT PARA USO EN ÁREAS PELIGROSAS, DE ALUMINIO LIBRE DE COBRE CON RECUBRIMIENTO EXTERIOR DE PVC DE 40 MILÉSIMAS DE PULGADA E INTERIOR DE URETANO DE 2 MILÉSIMAS DE PULGADA, DE 53 MM A 41 MM (2" A 1 1/2")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</si>
  <si>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C3EXT-0061</t>
  </si>
  <si>
    <t>SUMINISTRO E INSTALACIÓN COSTA FUERA DE REDUCCIÓN TIPO CAMPANA "REC" PARA TUBERÍA CONDUIT PARA USO EN ÁREAS PELIGROSAS, DE ALUMINIO LIBRE DE COBRE CON RECUBRIMIENTO EXTERIOR DE PVC DE 40 MILÉSIMAS DE PULGADA E INTERIOR DE URETANO DE 2 MILÉSIMAS DE PULGADA, DE 27 MM A 21 MM (1" A 3/4")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</si>
  <si>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C3EXT-0062</t>
  </si>
  <si>
    <t>SUMINISTRO E INSTALACIÓN COSTA FUERA DE NIPLE DE ALUMINIO LIBRE DE COBRE CON RECUBRIMIENTO EXTERIOR DE PVC DE 40 MILÉSIMAS DE PULGADA E INTERIOR DE URETANO DE 2 MILÉSIMAS EXTREMOS ROSCADOS, 3" (76.20MM) DE LONGITUD, DE 27 MM (1"). INCLUYE SUMINISTRO, ACARREO, CARGA Y DESCARGA DE MATERIAL DESDE EL ALMACÉN DEL CONTRATISTA AL SITIO DE INSTALACIÓN DE PLATAFORMA, MANO DE OBRA, EQUIPO Y HERRAMIENTA Y CONSUMIBLES, LIMPIEZA FINAL, RECOGER MATERIAL SOBRANTE Y EQUIPO DE SEÑALIZACIÓN.</t>
  </si>
  <si>
    <t>C3EXT-0064</t>
  </si>
  <si>
    <t>SUMINISTRO E INSTALACIÓN COSTA FUERA DE TAPÓN TIPO "PLG" PARA TUBERÍA CONDUIT PARA USO EN ÁREAS PELIGROSAS, DE ALUMINIO LIBRE DE COBRE CON RECUBRIMIENTO EXTERIOR E INTERIOR DE URETANO, DE 21 MM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</si>
  <si>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C3EXT-0065</t>
  </si>
  <si>
    <t>SUMINISTRO E INSTALACIÓN COSTA FUERA DE COPLE FLEXIBLE DE LATÓN FORJADO PARA USO EN ÁREAS PELIGROSAS, EXTREMOS ROSCADOS DE 3/4" DIÁMETRO MACHO-MACHO, LONGITUD 15", RECUBRIMIENTO EXTERIOR DE DOMEX BOND ROJO.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</si>
  <si>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C3EXT-0066</t>
  </si>
  <si>
    <t>SUMINISTRO E INSTALACIÓN COSTA FUERA DE CAJA DE REGISTRO PARA ÁREAS DE SERVICIO GENERAL DE ALUMINIO LIBRE DE COBRE, SERIE OVALADA, TIPO LL, DE 21 MM (3/4"), INCLUYE TAPA.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</si>
  <si>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C3EXT-0068</t>
  </si>
  <si>
    <t>SUMINISTRO E INSTALACIÓN COSTA FUERA DE CONECTOR TIPO STAG, CON TORNILLO DE PUESTA A TIERRA, CON CUERPO Y CONTRATUERCA DE ALUMINIO LIBRE DE COBRE DE 21 MM (3/4").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</si>
  <si>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C3EXT-0069</t>
  </si>
  <si>
    <t>SUMINISTRO E INSTALACIÓN COSTA FUERA DE INTERRUPTOR TERMOMAGNÉTICO TIPO QOB, ATORNILLABLE DE 2 POLO, 15 AMPERES, 120/240 VCA,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</si>
  <si>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C3EXT-0070</t>
  </si>
  <si>
    <t>SUMINISTRO E INSTALACIÓN COSTA FUERA DE UNICANAL FABRICADO DE LÁMINA DE ACERO AL CARBONO CALIBRE 12, CON ACABADO EN GALVANIZADO POR INMERSIÓN EN CALIENTE, DE 1-5/8" DE PROFUNDIDAD Y 1-5/8" DE ANCHO, TIPO PERFORADO, CON (02) ABRAZADERA UNICANAL DE ACERO GALVANIZADO PARA TUBERÍA DE 21 MM (3/4"), CON TUERCA Y ARANDELA CON (02) TAQUETE EXPANSOR TIPO Z, DE 3/8" DIÁMETRO. INCLUYE COPLE PARA VARILLA ROSCADA Y TUERCA HEXAGONAL DE 3/8" DIÁMETRO. Y (02) PIJA, AUTO TALADRANTE, DE CABEZA HEXAGONAL, DE 5/16" DIÁMETRO X 1-1/2" DE LONGITUD, CON PUNTA DE BROCA, DE ACERO INOXIDABLE, GRADO: 304. Y (02) PIEZAS VARILLA ROSCADA DE FE. GALVANIZADO DE 3/8" DE DIÁMETRO DE 1.5 MTS CADA UNA. DE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</si>
  <si>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C3EXT-0071</t>
  </si>
  <si>
    <t>SUMINISTRO E INSTALACIÓN COSTA FUERA DE APAGADOR SENCILLO DE 15 A, 127 V, 60 HZ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</si>
  <si>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C3EXT-0072</t>
  </si>
  <si>
    <t>SUMINISTRO E INSTALACIÓN COSTA FUERA DE TAPA PARA CONTACTO DÚPLEX USO INTEMPERIE, PARA INSTALACIÓN EN CAJA TIPO FS, INCLUYE EMPAQUE DE NEOPRENO. Y CAJA DE REGISTRO TIPO CHALUPA CON ACABADO GALVANIZADO. DE 2" X 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</si>
  <si>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C3EXT-0073</t>
  </si>
  <si>
    <t>SUMINISTRO E INSTALACIÓN COSTA FUERA DE CABLE MULTICONDUCTOR, COMPUESTO POR 3 CONDUCTORES DE COBRE SUAVE CALIBRE 12 AWG, CABLEADO CLASE B, BAJA EMISIÓN DE HUMOS Y BAJO CONTENIDO DE GAS ACIDO, TIPO TC, AISLAMIENTO THW-LS, CUBIERTA INDIVIDUAL CON CUBIERTA EXTERIOR DE POLICLORURO DE VINILO (PVC) COLOR NEGRO, TENSIÓN MÁXIMA DE OPERACIÓN 600 VOLTS, TEMPERATURA DE OPERACIÓN 75/ 90 GRADOS CENTÍGRADOS, AMBIENTE SECO, HÚMEDO, COLOR NEGRO. INCLUYE SUMINISTRO, ACARREO, CARGA Y DESCARGA DE MATERIAL DESDE EL ALMACÉN DEL CONTRATISTA AL SITIO DE INSTALACIÓN DE PLATAFORMA, MANO DE OBRA, EQUIPO, HERRAMIENTA, CONSUMIBLES, PRUEBAS DE CONTINUIDAD Y RESISTENCIA DE AISLAMIENTO, PARA EL ACOPLADO A LAS TUBERÍAS DIRECTAMENTE O ACCESORIOS, LIMPIEZA FINAL, RECOGER MATERIAL SOBRANTE Y EQUIPO DE SEÑALIZACIÓN.</t>
  </si>
  <si>
    <t>C3EXT-0074</t>
  </si>
  <si>
    <t>SUMINISTRO E INSTALACIÓN COSTA FUERA DE CONECTOR CURVO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</si>
  <si>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C3EXT-0076</t>
  </si>
  <si>
    <t>SUMINISTRO E INSTALACIÓN COSTA FUERA DE CONECTOR RECTO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</si>
  <si>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C3EXT-0077</t>
  </si>
  <si>
    <t>SUMINISTRO E INSTALACIÓN COSTA FUERA DE INTERRUPTOR TERMOMAGNÉTICO TIPO QOB, ATORNILLABLE DE 1 POLOS 120/240 VCA, 15 AMPERES,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</si>
  <si>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C3EXT-0078</t>
  </si>
  <si>
    <t>SUMINISTRO E INSTALACIÓN COSTA FUERA DE LUMINARIA LED DE 45W, 220 VCA, DRIVER ELECTRÓNICO DE ESTADO SÓLIDO, FACTOR DE POTENCIA DE 0.90, ÓPTICA TIPO V, MONTAJE COLGANTE, ENTRADA PARA TUBERÍA CONDUIT DE 3/4" DIÁMETRO, CLASE I, DIVISIÓN 2, GRUPOS CY D, LENTE-CRISTAL RESISTENTE AL CALOR Y AL IMPACTO, TEMPERATURA DE OPERACIÓN T5.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</si>
  <si>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C3EXT-0079</t>
  </si>
  <si>
    <t>SUMINISTRO E INSTALACIÓN COSTA FUERA DE LUMINARIA LED DE 45W, 220 VCA, DRIVER ELECTRÓNICO DE ESTADO SÓLIDO, FACTOR DE POTENCIA DE 0.90, ÓPTICA TIPO III, MONTAJE EN POSTE A 25°, ENTRADA PARA TUBERÍA CONDUIT DE 1 1/2", CLASE I, DIVISIÓN 2, GRUPOS C Y D, LENTE-CRISTAL RESISTENTE AL CALOR Y AL IMPACTO, TEMPERATURA DE OPERACIÓN T5.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</si>
  <si>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C3EXT-0080</t>
  </si>
  <si>
    <t>SUMINISTRO E INSTALACIÓN COSTA FUERA DE LUMINARIA TIPO INDUSTRIAL, GABINETE DE FIBRA DE VIDRIO REFORZADO GRADO DE PROTECCIÓN NEMA 4X, PORTA LÁMPARAS DE ALUMINIO, TIPO DE REFLECTOR: LED, DE 18 WATTS, TIPO DE LUZ: BLANCO, DE 120 VCA DE ALIMENTACIÓN, CON BATERÍAS DE NÍQUEL-CADMIO, DE 90 MINUTOS DE RESPALDO.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</si>
  <si>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C3EXT-0083</t>
  </si>
  <si>
    <t>SUMINISTRO E INSTALACIÓN COSTA FUERA DE LUMINARIA CON TECNOLOGÍA LED DE 45 WATTS, PARA OPERAR A 220 V, 60 HZ, TEMPERATURA DE COLOR 6500 K (BLANCO FRIO), ENTRADA PARA TUBERÍA CONDUIT DE 3/4"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</si>
  <si>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C3EXT-0084</t>
  </si>
  <si>
    <t>SUMINISTRO E INSTALACIÓN COSTA FUERA DE LUMINARIA LED DE 61W, 220 VCA, DRIVER ELECTRÓNICO DE ESTADO SÓLIDO, FACTOR DE POTENCIA DE 0.90, ÓPTICA TIPO V, MONTAJE COLGANTE, CLASE I, DIVISIÓN 2, GRUPOS CY D, LENTE-CRISTAL RESISTENTE AL CALOR Y AL IMPACTO, TEMPERATURA DE OPERACIÓN T5. INCLUYE SUMINISTRO, ACARREO, CARGA Y DESCARGA DE MATERIAL DESDE EL ALMACÉN DEL CONTRATISTA AL SITIO DE INSTALACIÓN DE PLATAFORMA, MANO DE OBRA, EQUIPO Y HERRAMIENTA Y CONSUMIBLES, LIMPIEZA FINAL, RECOGER MATERIAL SOBRANTE Y EQUIPO DE SEÑALIZACIÓN.</t>
  </si>
  <si>
    <t>C3EXT-0085</t>
  </si>
  <si>
    <t>SUMINISTRO E INSTALACIÓN COSTA FUERA DE LUMINARIA LED DE 45W, 220 VCA, DRIVER ELECTRÓNICO DE ESTADO SÓLIDO, FACTOR DE POTENCIA DE 0.90, ÓPTICA TIPO III,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</si>
  <si>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C3EXT-0086</t>
  </si>
  <si>
    <t>SUMINISTRO E INSTALACIÓN COSTA FUERA DE LUMINARIA LED DE 25W, 220 VCA, DRIVER ELECTRÓNICO DE ESTADO SÓLIDO, FACTOR DE POTENCIA DE 0.90, ÓPTICA TIPO III, MONTAJE EN PARED, ENTRADA PARA TUBERÍA CONDUIT DE 3/4",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</si>
  <si>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C3EXT-0087</t>
  </si>
  <si>
    <t>SUMINISTRO E INSTALACIÓN COSTA FUERA DE LUMINARIA LED DE 25W, 220 VCA, DRIVER ELECTRÓNICO DE ESTADO SÓLIDO, FACTOR DE POTENCIA DE 0.90, ÓPTICA TIPO V, MONTAJE COLGANTE,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</si>
  <si>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C3EXT-0088</t>
  </si>
  <si>
    <t>SUMINISTRO E INSTALACIÓN COSTA FUERA DE LUMINARIA LED DE 61W, 220 VCA, DRIVER ELECTRÓNICO DE ESTADO SÓLIDO, FACTOR DE POTENCIA DE 0.90, ÓPTICA TIPO V,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</si>
  <si>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C3EXT-0090</t>
  </si>
  <si>
    <t>SUMINISTRO E INSTALACIÓN COSTA FUERA DE LUMINARIA LED DE 22 WATTS, PARA OPERAR A UNA TENSIÓN DE 90-264 VCA, 60 Hz, 1633 LÚMENES NOMINALES, TEMPERATURA DE COLOR 5600 K (BLANCO FRÍO), ENTRADA PARA TUBERÍA CONDUIT DE 3/4" FABRICADO EN CUERPO DE ALUMINIO LIBRE DE COBRE, CON ACABADO EPÓXICO. CON LENTE DE VIDRIO TEMPLADO RESISTENTE A IMPACTOS. EMPAQUES DE SILICON, TORNILLERÍA Y HERRAJES DE ACERO INOXIDABLE. TEMPERATURA DE OPERACIÓN TS. PARA OPERAR EN AMBIENTE MARINO, Y EN ÁREAS CLASIFICADAS CLASE I, DIV. 2, GRUPOS A, B, C Y D. TIPO DE MONTAJE COLGANTE. INCLUYE SUMINISTRO, ACARREO, CARGA Y DESCARGA DE MATERIAL DESDE EL ALMACEN DEL CONTRATISTA AL SITIO DE INSTALACION DE PLATAFORMA, MANO DE OBRA, EQUIPO, HERRAMIENTA Y CONSUMIBLES, ELEVACION DE LUMINARIA HASTA SISTIO DE INSTALACION,LIMPIEZA FINAL, RECOGER MATERIAL SOBRANTE DEL AREA DE TRABAJO.</t>
  </si>
  <si>
    <t>C3EXT-0091</t>
  </si>
  <si>
    <t>SUMINISTRO, CARGA, ACARREO, DESCARGA Y PUESTA EN SITIO COSTA FUERA DE CONDUCTOR DE COBRE SUAVE CON AISLAMIENTO TERMOPLASTICO THW-LS/THHW-LS PARA 600 V, 75°C DE TEMPERATURA DE OPERACIÓN: CALIBRE 12 AWG, COLOR BLANCO.</t>
  </si>
  <si>
    <t>C3EXT-0093</t>
  </si>
  <si>
    <t>SUMINISTRO E INSTALACIÓN COSTA FUERA DE APAGADOR TIPO PALANCA DE 15 A, 127 V, 60 HZ, PARA INSTALACIÓN EN CAJA TIPO FS. INCLUYE SUMINISTRO, ACARREO, CARGA Y DESCARGA DE MATERIAL DESDE EL ALMACEN DEL CONTRATISTA AL SITIO DE INSTALACION DE PLATAFORMA, MANO DE OBRA, EQUIPO Y HERRAMIENTA Y CONSUMIBLES, LIMPIEZA FINAL, RECOGER MATERIAL SOBRANTE Y EQUIPO DE SEÑALIZACION.</t>
  </si>
  <si>
    <t>C3EXT-0094</t>
  </si>
  <si>
    <t>SUMINISTRO E INSTALACIÓN COSTA FUERA DE CAJA REGISTRO SERIE RECTANGULAR, TIPO FS, DE ALUMINIO LIBRE DE COBRE, CON RECUBRIMIENTO EXT. DE PVC E INTERIOR DE URETANO, DE 21mm (3/4" DIÁMETRO). INCLUYE SUMINISTRO, ACARREO, CARGA Y DESCARGA DE MATERIAL DESDE EL ALMACÉN DEL CONTRATISTA AL SITIO DE INSTALACIÓN DE PLATAFORMA, MANO DE OBRA, EQUIPO Y HERRAMIENTA Y CONSUMIBLES, LIMPIEZA FINAL, RECOGER MATERIAL SOBRANTE Y EQUIPO DE SEÑALIZACION.</t>
  </si>
  <si>
    <t>C3EXT-0095</t>
  </si>
  <si>
    <t>SUMINISTRO E INSTALACIÓN COSTA FUERA DE CAJA  DE  REGISTRO PARA ÁREAS DE SERVICIO GENERAL DE ALUMINIO LIBRE DE COBRE, SERIE OVALADA, TIPO T, DE  21 mm (3/4" DIÁMETRO), INCLUYE TAPA. INCLUYE SUMINISTRO, ACARREO, CARGA Y DESCARGA DE MATERIAL DESDE EL ALMACÉN DEL CONTRATISTA AL SITIO DE INSTALACIÓN DE PLATAFORMA, MANO DE OBRA, EQUIPO Y HERRAMIENTA Y CONSUMIBLES, LIMPIEZA FINAL, RECOGER MATERIAL SOBRANTE Y EQUIPO DE SEÑALIZACION.</t>
  </si>
  <si>
    <t>C3EXT-0096</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</si>
  <si>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</si>
  <si>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1-1/2 NSH. INCLUYE: OPERADOR Y  DIESEL (TIERRA)</t>
  </si>
  <si>
    <t>C5EXT-0123</t>
  </si>
  <si>
    <t>SUMINISTRO E INSTALACIÓN COSTA FUERA DE INTERRUPTOR TERMOMAGNETICO TIPO QOB, ATORNILLABLE DE 2 POLOS, 30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</si>
  <si>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C3EXT-0098</t>
  </si>
  <si>
    <t>SUMINISTRO E INSTALACIÓN COSTA FUERA DE INTERRUPTOR TERMOMAGNETICO TIPO QOB, ATORNILLABLE DE 2 POLOS, 20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</si>
  <si>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C3EXT-0099</t>
  </si>
  <si>
    <t>SUMINISTRO E INSTALACIÓN COSTA FUERA DE INTERRUPTOR TERMOMAGNETICO DE 3 POLOS ,125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</si>
  <si>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C3EXT-0100</t>
  </si>
  <si>
    <t>SUMINISTRO E INSTALACIÓN COSTA FUERA DE INTERRUPTOR TERMOMAGNETICO DE 3 POLOS ,100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</si>
  <si>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C3EXT-0101</t>
  </si>
  <si>
    <t>SUMINISTRO E INSTALACIÓN COSTA FUERA DE INTERRUPTOR TERMOMAGNETICO DE 2 POLOS ,30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</si>
  <si>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C3EXT-0102</t>
  </si>
  <si>
    <t>SUMINISTRO E INSTALACIÓN COSTA FUERA DE TAPA PARA APAGADOR USO INTEMPERIE, OPERACIÓN ABIERTO CERRADO PARA INSTALACIÓN EN CAJA TIPO FS, INCLUYE: EMPAQUE DE NEOPRENO. INCLUYE SUMINISTRO, ACARREO, CARGA Y DESCARGA DE MATERIAL DESDE EL ALMACÉN DEL CONTRATISTA AL SITIO DE INSTALACIÓN DE PLATAFORMA, MANO DE OBRA, EQUIPO Y HERRAMIENTA Y CONSUMIBLES, LIMPIEZA FINAL, RECOGER MATERIAL SOBRANTE Y EQUIPO DE SEÑALIZACIÓN.</t>
  </si>
  <si>
    <t>C3EXT-0103</t>
  </si>
  <si>
    <t>SUMINISTRO E INSTALACIÓN COSTA FUERA DE TUBERÍA CONDUIT FLEXIBLE A PRUEBA DE EXPLOSIÓN CON RECUBIERTO DE PVC, DE 21 mm (3/4") DE DIÁMETRO. INCLUYE SUMINISTRO, ACARREO, CARGA Y DESCARGA DE MATERIAL DESDE EL ALMACÉN DEL CONTRATISTA AL SITIO DE INSTALACIÓN DE PLATAFORMA, MANO DE OBRA, EQUIPO Y HERRAMIENTA Y CONSUMIBLES, LIMPIEZA FINAL, RECOGER MATERIAL SOBRANTE Y EQUIPO DE SEÑALIZACIÓN.</t>
  </si>
  <si>
    <t>C3EXT-0105</t>
  </si>
  <si>
    <t>SUMINISTRO E INSTALACIÓN COSTA FUERA DE CABLE ARMADO MULTICONDUCTOR TIPO METAL CLAD (MC), CON CONDUCTORES DE COBRE SUAVE, AISLAMIENTO DE POLIETILENO DE CADENA CRUZADA (XLP), TIPO RHH/RHW-2, 90 C, 600 V, CON DOS (2)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</si>
  <si>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C3EXT-0106</t>
  </si>
  <si>
    <t>SUMINISTRO E INSTALACIÓN COSTA FUERA DE CABLE ARMADO MULTICONDUCTOR TIPO METAL CLAD (MC), CON CONDUCTORES DE COBRE SUAVE, AISLAMIENTO DE POLIETILENO DE CADENA CRUZADA (XLP), TIPO RHH/RHW-2, 90 C, 600 V, CON TRES (3)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</si>
  <si>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C3EXT-0107</t>
  </si>
  <si>
    <t>SUMINISTRO E INSTALACIÓN COSTA FUERA DE CABLE ARMADO MULTICONDUCTOR TIPO METAL CLAD (MC), CON CONDUCTORES DE COBRE SUAVE, AISLAMIENTO DE POLIETILENO DE CADENA CRUZADA (XLP), TIPO RHH/RHW-2, 90 C, 600 V, CON DOS (2) CONDUCTORES CALIBRE 3.31 mm2 (12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</si>
  <si>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C3EXT-0108</t>
  </si>
  <si>
    <t>SUMINISTRO E INSTALACIÓN COSTA FUERA DE LUMINARIA LED DE 48 W, 110 V. CON LENTE DE ACRÍLICO,MONTAJE DE SOBREPONER EN TECHO, A UNA ALTURA DE 3.00 M. S.N.P.T. INCLUYE BATERÍA DE RESPALDO.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ELEVACION DE LUMINARIA HASTA SITIO DE INSTALACIÓN, LIMPIEZA FINAL, RECOGER MATERIAL SOBRANTE DEL AREA DE TRABAJO.</t>
  </si>
  <si>
    <t>C3EXT-0109</t>
  </si>
  <si>
    <t>SUMINISTRO E INSTALACIÓN COSTA FUERA DE APAGADOR DE 3 VÍAS DE 15 A, 127 V, 60 Hz, EN CAJA A PRUEBA DE EXPLOSIÓN, CLASE 1 DIVISIÓN 2. CON RECUBRIMIENTO EXTERIOR DE PVC E INTERIOR DE URETANO CON SALIDA DE 3/4". INCLUYE SUMINISTRO, ACARREO, CARGA Y DESCARGA DE MATERIAL DESDE EL ALMACÉN DEL CONTRATISTA AL SITIO DE INSTALACIÓN DE PLATAFORMA, MANO DE OBRA, EQUIPO Y HERRAMIENTA Y CONSUMIBLES, LIMPIEZA FINAL, RECOGER MATERIAL SOBRANTE Y EQUIPO DE SEÑALIZACIÓN.</t>
  </si>
  <si>
    <t>C3EXT-0110</t>
  </si>
  <si>
    <t>SUMINISTRO E INSTALACIÓN COSTA FUERA DE CONECTOR ANGULAR TMCX PARA CABLE TIPO MC APRUEBA DE EXPLOSIONES, CONTRA POLVO 3/4"-3/4" INCLUYE SUMINISTRO, ACARREO, CARGA Y DESCARGA DE MATERIAL DESDE EL ALMACÉN DEL CONTRATISTA AL SITIO DE INSTALACIÓN DE PLATAFORMA, MANO DE OBRA, EQUIPO Y HERRAMIENTA Y CONSUMIBLES, LIMPIEZA FINAL, RECOGER MATERIAL SOBRANTE Y EQUIPO DE SEÑALIZACIÓN.</t>
  </si>
  <si>
    <t>C3EXT-0111</t>
  </si>
  <si>
    <t>SUMINISTRO E INSTALACIÓN COSTA FUERA DE REFLECTOR TIPO LED DE 75W, 220 VCA, DRIVER ELECTRÓNICO DE ESTADO SÓLIDO, FACTOR DE POTENCIA DE 0.90, CON SOPORTE TIPO "U", ENTRADA PARA TUBERÍA CONDUIT DE 3/4" DIÁMETRO, CLASE I, DIVISIÓN 2, GRUPOS C Y D, LENTE-CRISTAL RESISTENTE AL CALOR Y AL IMPACTO, INCLUYE GUARDA. TEMPERATURA DE OPERACIÓN T4A. (06) TORNILLO CABEZA HEXAGONAL, DE ACERO INOXIDABLE, GRADO: 316, DE 3/8" X 3" DE LONGITUD, CUERDA CORRIDA, CON: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</si>
  <si>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C3EXT-0115</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</si>
  <si>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</si>
  <si>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</si>
  <si>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C3EXT-0688</t>
  </si>
  <si>
    <t>SUMINISTRO E INSTALACIÓN COSTA FUERA DE NIPLE CORTO DE ALUMINIO, DE 41 mm (1 1/2") DE DIÁMETRO. INCLUYE SUMINISTRO, ACARREO, CARGA Y DESCARGA DE MATERIAL DESDE EL ALMACÉN DEL CONTRATISTA AL SITIO DE INSTALACIÓN DE PLATAFORMA, MANO DE OBRA, EQUIPO Y HERRAMIENTA Y CONSUMIBLES, LIMPIEZA FINAL, RECOGER MATERIAL SOBRANTE Y EQUIPO DE SEÑALIZACIÓN.</t>
  </si>
  <si>
    <t>C3EXT-0117</t>
  </si>
  <si>
    <t>SUMINISTRO E INSTALACIÓN COSTA FUERA DE CAJA CON CONTACTOR MAGNÉTICO 220 V. 60Hz DE 2 Y 3 POLOS, INCLUYE FOTO CELDA 220V, 60 Hz. INCLUYE SUMINISTRO, ACARREO, CARGA Y DESCARGA DE MATERIAL DESDE EL ALMACÉN DEL CONTRATISTA AL SITIO DE INSTALACIÓN DE PLATAFORMA, MANO DE OBRA, EQUIPO Y HERRAMIENTA Y CONSUMIBLES, LIMPIEZA FINAL, RECOGER MATERIAL SOBRANTE Y EQUIPO DE SEÑALIZACIÓN.</t>
  </si>
  <si>
    <t>C3EXT-0118</t>
  </si>
  <si>
    <t>SUMINISTRO E INSTALACIÓN COSTA FUERA DE CONECTOR MECÁNICO TIPO "T", ALEACIÓN DE COBRE-BRONCE, CERTIFICACIONES UL96+ UL LISTED 1P33 CALIBRE 2 AWG CERTIFICACIONES UL96+ UL LISTED 1P32. INCLUYE SUMINISTRO, ACARREO, CARGA Y DESCARGA DE MATERIAL DESDE EL ALMACÉN DEL CONTRATISTA AL SITIO DE INSTALACIÓN DE PLATAFORMA, MANO DE OBRA, EQUIPO Y HERRAMIENTA Y CONSUMIBLES, LIMPIEZA FINAL, RECOGER MATERIAL SOBRANTE Y EQUIPO DE SEÑALIZACIÓN.</t>
  </si>
  <si>
    <t>C3EXT-0119</t>
  </si>
  <si>
    <t>SUMINISTRO E INSTALACIÓN COSTA FUERA DE GABINETE DE CONTROL PRINCIPAL CON TECNOLOGÍA VOZ SOBRE IP, GABINETE DE PISO CON BASTIDOR INTEGRADO (RACK DE 19”). (01 PZA) DEBE INCLUIR: UN ORGANIZADOR DE CABLEADO HORIZONTAL. REGLETA MULTICONTACTOS. BARRA DE TIERRA. GABINETE METÁLICO DIMENSIONES: ANCHO 800MM, ALTURA 2000MM (42U) Y PROFUNDIDAD 800MM. TIPO MODULAR CERRADO, USO EN INTERIOR, NEMA-12, PARA MONTAJE EN PISO. LÁMINA DE ACERO DE 1.5 MM DE ESPESOR. PUERTA: 2 PUERTAS LATERALES REMOVIBLES. (01) PUERTA FRONTAL Y (01) PUERTA POSTERIOR AMABAS REFORZADAS CON MARCO METÁLICO Y SISTEMA DE CERRADURA CON LLAVE. LA PUERTA FRONTAL CON MARCO METÁLICO, CRISTAL DE SEGURIDAD MONOCAPA DE 3 MM DE ESPESOR RESISTENTE A IMPACTOS, CERRADURA DE SEGURIDAD, QUE GIRE 135º COMO MÍNIMO. TAPAS LATERALES METÁLICAS TIPO REMOVIBLES ATORNILLABLES, CON ACABADO PARA RESISTIR EL AMBIENTE SALINO-CORROSIVO. VENTILACION: TECHO CON ADAPTACIONES PARA INSTALACIÓN DE VENTILADORES Y ENTRADA DE CABLES (INCLUYE TERMOSTATO Y SWITCH DE ACTIVACIÓN POR TEMPERATURA). 1 ZOCLO DE 100 MM. DE ALTURA COMO MÁXIMO, CON RANURAS PARA VENTILACIÓN Y CABLEADO DE CAMPO. NIVELACION DE SOPORTE: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 INCLUYE ACARREO, CARGA Y DESCARGA DE MATERIAL DESDE EL ALMACEN DEL CONTRATISTA AL SITIO DE INSTALACION DE PLATAFORMA, MANO DE OBRA, EQUIPO, HERRAMIENTA Y CONSUMIBLES, LIMPIEZA FINAL, RECOGER MATERIAL SOBRANTE DEL AREA DE TRABAJO.</t>
  </si>
  <si>
    <t>C3EXT-0120</t>
  </si>
  <si>
    <t>Moder Sist Voceo Litoral-A</t>
  </si>
  <si>
    <t>SUMINISTRO E INSTALACIÓN COSTA FUERA DE SWITCH ETHERNET (CONMUTADOR DE DATOS PRINCIPAL Y REDUNDANTE). EQUIPO COMPACTO CON VENTILADOR INTERNO. 48 PUERTOS POE 10/100/1000MBPS. 4 PUERTOS PARA FIBRA ÓPTICA 10GB/BASE. SOPORTE DE SEGURIDAD Y SERVICIOS AVANZADOS, INCLUIDOS SERVICIOS DE VOZ, VIDEO. CONMUTACIÓN AVANZADA (CAPA 3). ANCHO DE BANDA DE 10GBPS. MEMORIA FLASH DE 64MB. MEMORIA DRAM DE 128MB. MANEJO DE VLAN´S (RED DE AREA LOCAL). STÁNDARES IEEE 802.1D SPANNING TREE PROTOCOL (PROTOCOLO ÁRBOL DE EXPANSIÓN), IEEE 802.1P COS PRIORITIZATION, IEEE 802.1Q VLAN, IEEE 802.1S, IEEE 802.1W, IEEE 802.1X, IEEE 802.1AB (LLDP), IEEE 802.3AD, IEEE 802.3AF, IEEE 802.3AH(100BASE-X SINGLE/SOLO FIBRA MULTIMODO), IEEE 802.3X FULL DUPLEX ON 10BASE-T, 100BASE-TX, AND 1000BASE-T PORTS.  IEEE 802.3 10BASE-T, IEEE 802.3U 100BASE-TX, IEEE 802.3AB 1000BASE-T SPECIFICATION, IEEE 802.3Z 1000BASE-X. ALIMENTACIÓN DE ENTRADA DE 100 A 240 VCA. DIMENSIONES DE 44.4 X 269 X 238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</si>
  <si>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C3EXT-0121</t>
  </si>
  <si>
    <t>SUMINISTRO E INSTALACIÓN COSTA FUERA DE MÓDULO TRANSCEPTOR PARA FIBRA ÓPTICA, MÓDULO 1000BASE-LX/LH SFP 10GB/BASE. CONEXIÓN CON FIBRA ÓPTICA MONOMODO. CONECTOR DUAL LC. ESTÁNDARES IEEE 802.3Z, IEEE 802.3AH.  DIMENSIONES 8.5 X 13.4 X 56.5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</si>
  <si>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C3EXT-0122</t>
  </si>
  <si>
    <t>SUMINISTRO E INSTALACIÓN COSTA FUERA DE INTERFAZ DIGITAL PARA INTERACCIÓN CON SISTEMAS ANÁLOGOS. MÓDULO INTERFAZ QUE PERMITA LA INTEGRACIÓN DE INTERCOMUNICACIÓN ANALÓGICOS DE PAGE &amp; PARTY CON LOS SISTEMAS DE INTERCOMUNICACIÓN Y VOCEO DIGITAL VOIP. EL MÓDULO DEBE ADMITIR LA CONEXIÓN A UNA LÍNEA DE CONVERSACIÓN O UNA LÍNEA DE VOCEO. PARA LA INTERACCION DE MULTIPLES LINEAS SE DEBERA IMPLEMENTAR MÁS MÓDULOS. 5 LED DE ESTADO: FUENTE DE ALIMENTACIÓN (ON / OFF), CONEXIÓN LAN, ESTADO DEL CANAL DE AUDIO, LLAMADA EN CURSO Y FALLA DE LA INTERFAZ IP. NIVEL DE LÍNEA NOMINAL: 1,5 VRMS A 33?. CONEXIONES ETHERNET: ESTÁNDAR RJ45 10BASET / 100BASETX. FUENTE DE ALIMENTACIÓN: 24 VCC -20% + 10% Y / O A TRAVÉS DE POE 802.AF. MÁXIMO CONSUMO DE ENERGÍA: 4W. TEMPERATURA DE FUNCIONAMIENTO: –20 ° C A + 70 ° C. DEBE INCLUIR MODULO BASTIDOR PARA HASTA 10 INTERFAZ MONTAJE EN RACK DE 19”. ASI COMO LA IDENTIFICACIÓN DE ACUERDO A LA NORMA P.3.0621.01. PRIMERA EDICIÓN MAYO 2005 ,LAS CONEXIONES Y ACCESORIOS QUE INTEGRAN EL SISTEMA DE INTERCOMUNICACIÓN Y VOCEO IP DEBEN ESTAR DE ACUERDO A LA NORMA NRF-117-PEMEX-2011, INCLUYE SUMINISTRO,ACARREO, CARGA Y DESCARGA DE MATERIAL DESDE EL ALMACEN DEL CONTRATISTA AL SITIO DE INSTALACION DE PLATAFORMA, MANO DE OBRA, EQUIPO, HERRAMIENTA Y CONSUMIBLES, LIMPIEZA FINAL, RECOGER MATERIAL SOBRANTE DEL AREA DE TRABAJO.</t>
  </si>
  <si>
    <t>C3EXT-0123</t>
  </si>
  <si>
    <t>SUMINISTRO E INSTALACIÓN COSTA FUERA DE INTERFAZ DE COMBINACIÓN DE ENERGÍA Y COMUNICACIÓN DE DATOS EN UN SOLO MEDIO.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 DATOS Y PROTOCOLOS DE ENRUTAMIENTO IEEE802.3 (10BASET), IEEE802.3U (100BASE-TX). ASI COMO LA IDENTIFICACIÓN DE ACUERDO A LA NORMA P.3.0621.01. PRIMERA EDICIÓN MAYO 2005 ,LAS CONEXIONES Y ACCESORIOS QUE INTEGRAN EL SISTEMA DE INTERCOMUNICACIÓN Y VOCEO IP DEBEN ESTAR DE ACUERDO A LA NORMA NRF-117-PEMEX-2011, INCLUYE , ACARREO, CARGA Y DESCARGA DE MATERIAL DESDE EL ALMACEN DEL CONTRATISTA AL SITIO DE INSTALACION DE PLATAFORMA, MANO DE OBRA, EQUIPO, HERRAMIENTA Y CONSUMIBLES, LIMPIEZA FINAL, RECOGER MATERIAL SOBRANTE DEL AREA DE TRABAJO.</t>
  </si>
  <si>
    <t>C3EXT-0124</t>
  </si>
  <si>
    <t>SUMINISTRO E INSTALACIÓN COSTA FUERA DE SERVIDOR PRINCIPAL ASTRO ASM HIGH AVAILABILITY. EQUIPADO CON FUENTE DE ALIMENTACIÓN REDUNDANTE PSDV-320AA. INCLUYE SOFTWARE DE COMUNICACIÓN Y DIAGNÓSTICO CON LICENCIAS PARA ESTACIONES DE INTERCOMUNICACIÓN ILIMITADAS Y ZONAS DE MEGAFONÍA ILIMITADAS. FUENTE DE ALIMENTACIÓN REDUNDANTE DE 320 W CON DOS ENTRADAS DE ALIMENTACIÓN INDEPENDIENTES DE 110-230 VCA Y OCHO SALIDAS DE 24 VCC, COMPLETAMENTE DIAGNOSTICADAS. MICRÓFONO DE MANO PARA BÚSQUEDA DE EMERGENCIA DIRECTAMENTE DESDE EL GABINETE, INCLUSO EN CASO DE FALLA DEL SERVIDOR. OCHO ENTRADAS (CONTACTO SECO O 12 ÷ 60 VDC) Y 4 SALIDAS DE RELÉ (NA / NC). DOS DISCOS DE ESTADO SÓLIDO, UNO INTEGRADO Y OTRO EXTRAÍBLE, EN FUNCIONAMIENTO, CONFIGURACIÓN DE RESPALDO CON RECONSTRUCCIÓN AUTOMÁTICA DEL DISCO DE TRABAJO EN CASO DE FALLA. DOS PUERTOS ETHERNET DE 10/100/1000 MBPS PARA UNA CONEXIÓN DE RED REDUNDANTE. TEMPERATURA DE FUNCIONAMIENTO: 0 ° C A +60 ° C. DIMENSIONES: 438 (W) X 305 (D) X 89 (H) MM 19” RACK 1U.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</si>
  <si>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C3EXT-0125</t>
  </si>
  <si>
    <t>SUMINISTRO E INSTALACIÓN COSTA FUERA DE EQUIPO BASADO EN MICROPROCESADOR SECUNDARIO (SERVIDOR). EQUIPO BASADO EN MICROPROCESADOR SECUNDARIO (SERVIDOR). SERVIDOR SECUNDARIO DIGITAL VOIP (EQUIPO BASADO EN MICROPROCESADOR O UNIDAD CENTRAL DE CONTROL). INCLUYE SOFTWARE DE REDUNDANCIA DEL FABRICANTE, ALIMENTADO POR FUENTE DE ALIMENTACIÓN REDUNDANTE DEL SERVIDOR PRINCIPAL, DOS DISCOS DUROS EN ESTADO SÓLIDO, UNO INTERNO Y UNO EXTRAÍBLE, DOS PUERTOS ETHERNET, PARA MONTAJE EN RACK DE 19”, 1U. CAPACIDAD DE REALIZAR LA CONFIGURACIÓN, COORDINACIÓN, PROCESAMIENTO Y CONTROL DE TODAS LAS COMUNICACIONES DEL SISTEMA. FORMADO POR COMPONENTES PARA REALIZAR LAS FUNCIONES DE COMUNICACIONES DE Y HACIA DENTRO DEL SISTEMA A TRAVÉS DE SOFTWARE. MANEJO DE NIVELES DE PRIORIDAD CONFIGURABLES. MANEJO DE LLAMADAS DE EMERGENCIA. CAPACIDAD DE ACCESO REMOTO, DIAGNÓSTICO Y MANTENIMIENTO A DISTANCIA. CAPACIDAD DE ACTUALIZACIÓN DE SOFTWARE. EL USUARIO PUEDE FÁCILMENTE GRABAR MENSAJES PROPIOS DE VOZ. MEMORIA INTEGRADA DEL TIPO NO VOLÁTIL CON CAPACIDAD DE ALMACENAMIENTO MASIVO EN LA CUAL SE ALMACENE Y GUARDE LA PROGRAMACIÓN DEL SISTEMA E HISTÓRICOS. EL EQUIPO PERMITE LA CONEXIÓN DE DIFERENTES DISPOSITIVOS DE COMUNICACIÓN Y MEDIOS DE COMUNICACIÓN. CAPACIDAD DE MANEJAR ZONAS DE INTERCOMUNICACIÓN Y VOCEO. CONECTOR LAN 10/100MBPS. CONFIGURACIÓN REMOTA VÍA WEB SERVER. MONTAJE EN RACK DE 19”. TEMPERATURA DE OPERACIÓN DE 5°C A 40°C. ALIMENTACIÓN DE ENTRADA DE 100 VCA A 220VCA O 24VCD.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</si>
  <si>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C3EXT-0126</t>
  </si>
  <si>
    <t>SUMINISTRO E INSTALACIÓN COSTA FUERA DE PANTALLA DE VISUALIZACIÓN (KVM-KMM), FUNCIONALIDAD REMOTA COMPLETA Y ADMINISTRABLE PARA SERVIDORES, MONTAJE EN RACK CON UNA SOLUCIÓN DE MOUSE DE VIDEO (KVM) Y TECLADO DIGITAL COMPACTO. CON TODAS LAS FUNCIONES QUE OFRECE: 8 PUERTOS DE INTERFAZ DE RACK DIGITAL PARA CONECTAR MÓDULOS DE INTERFAZ DE SERVIDOR (SIP) SOPORTE PARA HASTA UN USUARIO LOCAL Y REMOTO SIMULTÁNEAMENTE, GESTIÓN REMOTA DEL SERVIDOR CON RENDIMIENTO CASI LOCAL, DISEÑO MONTAJE EN RACK DE 1U, AUTENTICACIÓN MULTIFACTOR, COMPATIBILIDAD CON TARJETA DE ACCESO COMÚN (CAC) Y ACCESO REMOTO CIFRADO. CAPACIDAD DE AMPLIACIÓN CON COMPATIBILIDAD DE DIFERENCIACIÓN POR NIVELES, CONECTANDO VARIOS KVM Y ADMINISTRABLE DE 8 A 1024 SERVIDORES. ADMINISTRACIÓN DE CONSOLA ÚNICA PARA CONFIGURAR Y ACCEDER A LOS KVM Y SIP A TRAVÉS DE LA INTERFAZ LOCAL O MEDIANTE LA INTERFAZ WEB INCORPORADA (OBWI) EN UNA SESIÓN BASADA EN NAVEGADOR. FUNCIONALIDAD REMOTA COMPLETA, PARA CONTROLAR LOS SERVIDORES Y LOS DISPOSITIVOS DE CONEXIÓN SERIAL EN EL RENDIMIENTO CASI LOCAL. MÚLTIPLES OPCIONES DE CONECTIVIDAD, ADMITA DIVERSAS CONEXIONES DE SERVIDOR A TRAVÉS DE LAS UNIDADES DE INTERFAZ DE SERVIDOR (SIP), CONECTANDO LOS DISPOSITIVOS USB LOCALES Y COMPATIBILIDAD SERIAL REAL PARA CONECTAR CON SECURE SHELL (SSH) O EL SOFTWARE QUE CUMPLE CON TELNET. SOFTWARE DSVIEW, PARA ACCEDER DE FORMA REMOTA, MONITOREAR Y CONTROLAR LOS DISPOSITIVOS EN VARIAS PLATAFORMAS DE NUMEROSAS UBICACIONES. EL SOFTWARE DSVIEW FUNCIONA CON LOS KVM DIGITALES, LOS DISPOSITIVOS DE LA CONSOLA SERIAL AVOCENT, LAS PUERTAS DE ENLACE DEL PROCESADOR DE SERVICIO Y LAS UNIDADES DE DISTRIBUCIÓN DE ALIMENTACIÓN (PDU). AUTENTICACIÓN DE DOS FACTORES DE USUARIOS LOCALES Y REMOTOS CON TARJETAS DE ACCESO COMÚN (CAC). KMM LED DE 18,5 PULGADAS, 1 U: 1,75 X 17,37 X 20,6 PULGADAS (4,44 CM X 44,12 CM X 52,32 CM), KVM DIGITAL DE 1,72 X 17,00 X 9,20 PULGADAS (4,39 CM X 43,18 X 23,69) ALIMENTACION ELÉCTRICA 100-240 VCA. TEMPERATURA DE OPERACIÓN -20°C – 70°C.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</si>
  <si>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C3EXT-0127</t>
  </si>
  <si>
    <t>SUMINISTRO E INSTALACIÓN COSTA FUERA DE GABINETE DE CONTROL DE EXPANSIÓN CON TECNOLOGÍA VOZ SOBRE IP, GABINETE DE PISO CON BASTIDOR INTEGRADO (RACK DE 19”). CON ORGANIZADOR DE CABLEADO HORIZONTAL. REGLETA MULTICONTACTOS. BARRA DE TIERRA.DIMENSIONES: ANCHO 800MM, ALTURA 1025MM (24U) Y PROFUNDIDAD 800MM. PUERTA: 2 PUERTAS LATERALES CON CIERRE.  PUERTAS FRONTAL Y POSTERIOR REFORZADAS CON MARCO METÁLICO Y SISTEMA DE CERRADURA CON LLAVE. 1 PUERTA FRONTAL CON MARCO METÁLICO, CRISTAL DE SEGURIDAD MONOCAPA DE 3 MM DE ESPESOR RESISTENTE A IMPACTOS, CERRADURA DE SEGURIDAD, QUE GIRE 135º COMO MÍNIMO. TAPAS LATERALES METÁLICAS TIPO REMOVIBLES ATORNILLABLES, CON ACABADO PARA RESISTIR EL AMBIENTE SALINO-CORROSIVO. VENTILACIÓN: CON RANURAS PARA VENTILACIÓN Y CABLEADO DE CAMPO. NIVELACIÓN: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</si>
  <si>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C3EXT-0128</t>
  </si>
  <si>
    <t>SUMINISTRO E INSTALACIÓN COSTA FUERA DE ESTACION MULTILINEA IP PARA USO EXTERIOR CON BOTONERA INTEGRADA, PARA 5 (CINCO) CANALES DE INTERCOMUNICACIÓN Y 1 (UNO) DE VOCEO, CON TECNOLOGÍA DE COMUNICACIÓN IP. ESTACIÓN DE INTERCOMUNICACIÓN VOIP PARA EXTERIOR, CON AURICULAR. CAJA DE ALEACIÓN DE ALUMINIO FUNDIDO A PRESIÓN SIN COBRE. CERTIFICADO ATEX PARA ZONA 1 - ZONA 21. CLASE DE PROTECCIÓN IP66. 1 LÍNEA DE VOCEO Y 5 LÍNEAS DE INTERCOMUNICACIÓN. TECLAS DE AJUSTE DE VOLUMEN. CABLE DE AURICULAR BLINDADO DE ACERO. CONEXIÓN LAN DE HASTA 1.8 MTS CON UN CABLE CAT5E ESTÁNDAR O MEJOR. PROTOCOLO SIP. FUENTE DE ALIMENTACIÓN DUAL (24-48VDC Y / O POE). MONTAJE EN PARED. TEMPERATURA DE FUNCIONAMIENTO: -40°C A + 55°C. DIMENSIONES APROX.: 230 (W) X 270 (H) X 140 (D) MM. DEBERÁ CUMPLIR CON LA ESPECFICACION ESP-LIT-A-M-021. INCLUYE SUMINISTRO, ACARREO, CARGA Y DESCARGA DE MATERIAL DESDE EL ALMACEN DEL CONTRATISTA AL SITIO DE INSTALACION DE PLATAFORMA, MANO DE OBRA, EQUIPO, HERRAMIENTA Y CONSUMIBLES, LIMPIEZA FINAL, RECOGER MATERIAL SOBRANTE DEL AREA DE TRABAJO.</t>
  </si>
  <si>
    <t>C3EXT-0133</t>
  </si>
  <si>
    <t>SUMINISTRO E INSTALACIÓN COSTA FUERA DE ESTACIÓN MULTILÍNEA IP USO INTERIOR CON BOTONERA INTEGRADA, DEBERÁ SER CONSTITUIDO POR UN SISTEMA DE 5 CANALES DE COMUNICACIÓN Y UNO DE VOCEO DE TIPO DE COMUNICACIÓN IP. ESTACIÓN DE INTERCOMUNICACIÓN VOIP. CAJA DE ALEACIÓN DE ALUMINIO FUNDIDO A PRESIÓN SIN COBRE.  CLASE DE PROTECCIÓN IP66. 1 LÍNEA DE VOCEO Y 5 LÍNEAS DE INTERCOMUNICACIÓN. TECLAS DE AJUSTE DE VOLUMEN. ESTACIÓN DE INTERCOMUNICACIÓN VOIP. CAJA DE ALEACIÓN DE ALUMINIO FUNDIDO A PRESIÓN SIN COBRE.  CLASE DE PROTECCIÓN IP66. 1 LÍNEA DE VOCEO Y 5 LÍNEAS DE INTERCOMUNICACIÓN. TECLAS DE AJUSTE DE VOLUMEN. LA ESTACIÓN INCLUYE: 01 BOTÓN DE PARA ACTIVACIÓN DE FUEGO, 01 BOTÓN PARA ACTIVACIÓN DE ABANDONO Y 01 BOTÓN DE RESET, INCLUYE: UN CABLE DE AURICULAR BLINDADO DE ACERO. CONEXIÓN LAN DE HASTA 1.80 MTS. CON UN CABLE CAT5E ESTÁNDAR O CAT6. PROTOCOLO SIP. FUENTE DE ALIMENTACIÓN DUAL (24-48 VDC Y / O POE). MONTAJE EN PARED. TEMPERATURA DE FUNCIONAMIENTO: -40° C A + 55° C. DIMENSIONES APROX.: 230 (W) X 270 (H) X 140 (D) MM. CONTAR CON APROBACIÓN POR UN LABORATORIO ACREDITADO EN TÉRMINOS DE LA LFMN COMO UL, FM, CSA, ATEX O EQUIVALENTE.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</si>
  <si>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C3EXT-0134</t>
  </si>
  <si>
    <t>SUMINISTRO E INSTALACIÓN COSTA FUERA DE ESTACIÓN MULTILÍNEA IP MANOS LIBRES PARA MONTAJE EN GRÚA, DEBERÁ SER CONSTITUIDO POR UNA ESTACIÓN MULTILINEA MANOS LIBRES CON 20 TECLAS (12 TECLAS NÚMERICAS + 4 TECLAS DE FUNCIONES + 4 TECLAS DE MEMORIA PROGRAMABLE) COMUNICACIÓN IP. ESTACIÓN DE INTERCOMUNICACIÓN VOIP. CAJA DE ALEACIÓN DE ALUMINIO FUNDIDO A PRESIÓN SIN COBRE.  CLASE DE PROTECCIÓN IP66. 1 A PRUEBA DE AGUA USO E INTEMPERIE, PROTOCOLO SIP Y ALIMENTACIÓN PoE. ESTACIÓN DE INTERCOMUNICACIÓN VOIP. CAJA DE ALEACIÓN DE ALUMINIO FUNDIDO A PRESIÓN SIN COBRE.  CLASE DE PROTECCIÓN IP66. 1 A PRUEBA DE AGUA USO E INTEMPERIE, PROTOCOLO SIP Y ALIMENTACIÓN PoE. UN CABLE DE AURICULAR BLINDADO DE ACERO. CONEXIÓN LAN DE HASTA 1.80 MTS. CON UN CABLE CAT5E ESTÁNDAR O CAT6. PROTOCOLO SIP. FUENTE DE ALIMENTACIÓN DUAL (24-48 VDC Y / O POE). MONTAJE EN GRÚA. TEMPERATURA DE FUNCIONAMIENTO: -40° C A + 70° C. DIMENSIONES APROX.: 120 (W) X 360 (H) X 100 (D) MM. CONTAR CON APROBACIÓN POR UN LABORATORIO ACREDITADO EN TÉRMINOS DE LA LFMN COMO UL, FM, CSA, ATEX O EQUIVALENTE.DEBERÁ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</si>
  <si>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C3EXT-0135</t>
  </si>
  <si>
    <t>SUMINISTRO E INSTALACIÓN COSTA FUERA DE ESTACION MANUAL DE BOTONES DE ALARMAS AUDIBLES, CON 03 BOTONES PULSADORES PARA ACTIVAR ALARMAS, DEBE OPERAR CON UNA SOLA MANO. EL DISEÑO DE LA ESTACIÓN MANUAL DEBE SERVIR PARA SU OPERACIÓN EN ÁREAS CLASE 1 DIVISIÓN 1 y 2., GRUPOS C Y D, CONTACTO ELECTRICO: CONTACTOS AUTOLIMPIANTES. LA CAJA DE CONEXIONES DE LA ALARMA MANUAL DEBE SER HERMÉTICA Y CON ENTRADA ROSCADA DE 21 MM (¾ PULGADA) DE DIÁMETRO.  LA ALARMA DEBE CONTAR CON UN MECANISMO PARA RESTABLECERSE MANUALMENTE DESPUÉS DE QUE HA SIDO ACTIVADA, POR LO CUAL EL RESTABLECIMIENTO DEBE SER MANUAL. CONTAR CON APROBACIÓN POR UN LABORATORIO ACREDITADO EN TÉRMINOS DE LA LFMN COMO UL, FM, CSA, ATEX O EQUIVALENTE. LOS COLORES DE LA BOTONES PULSADORES EN COLOR ROJO, AMARILLO Y VERDE. INCLUYE: TORNILLOS DE ACERO INOXIDABLE PARA FIJACION Y EMPAQUE DE SILICONA +60°C.  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</si>
  <si>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C3EXT-0136</t>
  </si>
  <si>
    <t>SUMINISTRO E INSTALACIÓN COSTA FUERA DE FIBRA ÓPTICA MONOMODO DE 9/125µM DE 12 HILOS, PARA USO EN EXTERIOR, CON PROTECCIÓN DE ARMADURA METÁLICA ENGARGOLADA MEDIANTE ESPIRAS INTERTRABADAS TIPO "INTERLOCK" DE ALUMINIO, CON CUBIERTA DE PVC EXTERIOR EN COLOR NEGRO, RESISTENTE A LOS RAYOS UV, BAJA EMISIÓN DE HUMO, RETARDANTE A LA FLAMA, RESISTENTE A LOS DERIVADOS DEL PETRÓLEO E HIDROCARBUROS. SOPORTE PROTECCIÓN CLASE 1, DIVISIÓN I, COMO MÍNIMO O SUPERIOR. RADIO DE CURVATURA MÍNIMO PERMITIDO DE 15 VECES EL DIÁMETRO DEL CABLE, EL TIPO DE CONECTORIZACIÓN DE LA FIBRA ÓPTICA DEBE SER REMATA EN EL PANEL DE PARCHEO OPTICO (DISTRIBUIDOR DE FIBRA OPTICA) A TRAVES DE 12 PIGTAILS EN AMBOS EXTREMOS. SE DEBE ANEXAR EL CERTIFICADO ISO 9000 DEL FABRICANTE DE LA FIBRA ÓPTICA, CERTIFICADO UL Y FICHA TÉCNICA, INCLUYE PANEL DE PARCHEO OPTICO (DISTRIBUIDOR DE FIBRA OPTICA) Y CORDONES DE PARCHEO OPTICO.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</si>
  <si>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C3EXT-0137</t>
  </si>
  <si>
    <t>SUMINISTRO E INSTALACIÓN COSTA FUERA DE CABLE MULTICONDUCTOR FORMADO POR CALIBRE 3 X 14 AWG CON ARMADURA ENGARGOLADA DE FLEJE DE ALEACIÓN DE ALUMINIO Y CUBIERTA EXTERIOR TERMOPLÁSTICO DE POLICLORURO DE VINILO PVC EN COLOR AMARILLO. CABLE MULTICONDUCTOR CON CONDUCTORES DE COBRE SUAVE. AISLAMIENTO DE CONDUCTORES: PVC. CÓDIGO DE COLORES: SEGÚN NORMAS NMX-J-300.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</si>
  <si>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C3EXT-0138</t>
  </si>
  <si>
    <t>SUMINISTRO E INSTALACIÓN COSTA FUERA DE CABLE MULTICONDUCTOR FORMADO POR CALIBRE 2 X 14 AWG CABLE CON ARMADURA ENGARGOLADA DE FLEJE DE ALEACIÓN DE ALUMINIO Y CUBIERTA EXTERIOR TERMOPLÁSTICO DE POLICLORURO DE VINILO PVC EN COLOR NEGRO. CABLE PARA ALTAVOCES COMPUESTO POR DOS CONDUCTORES CALIBRE 14 AWG.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</si>
  <si>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C3EXT-0139</t>
  </si>
  <si>
    <t>SUMINISTRO E INSTALACIÓN COSTA FUERA DE CABLE MULTICONDUCTOR FORMADO POR CALIBRE 8 X 14 AWG CON ARMADURA ENGARGOLADA DE FLEJE DE ALEACIÓN DE ALUMINIO Y CUBIERTA EXTERIOR TERMOPLÁSTICO DE POLICLORURO DE VINILO PVC EN COLOR NEGRO. CABLE MULTICONDUCTOR CON CONDUCTORES DE COBRE SUAVE.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</si>
  <si>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C3EXT-0140</t>
  </si>
  <si>
    <t>SUMINISTRO E INSTALACIÓN COSTA FUERA DE CABLE MULTICONDUCTOR FORMADO POR 16 CONDUCTORES: 3 CONDUCTORES AISLADOS DE TAMAÑO NOMINAL 2.082 mm² CALIBRE 14 AWG (2 CONDUCTORES PARA LA ALIMENTACIÓN DE CORRIENTE ALTERNA Y 1 PARA LA CONEXIÓN A TIERRA), 12 CONDUCTORES AISLADOS (10 PARA LÍNEAS PRIVADAS Y 2 PARA LÍNEA DE VOCEO) TRENZADOS DE TAMAÑO NOMINAL DE 0.8235 mm² CALIBRE 18 AWG PARA INTERCONECTAR LOS CIRCUITOS DEL SISTEMA DE INTERCOMUNICACIÓN Y VOCEO, UN CONDUCTOR AISLADO PARA SEÑAL DE CONTROL (SILENCIAR) DE TAMAÑO NOMINAL DE 0.8235 mm² CALIBRE 18 AWG. VOLTAJE DE OPERACIÓN DE 600 V., TEMPERATURA DE OPERACIÓN DE 90ºC, CON ARMADURA CORRUGADA DE ALUMINIO Y TERMINADO CON UNA CUBIERTA DE PVC COLOR NEGRO.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</si>
  <si>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C3EXT-0141</t>
  </si>
  <si>
    <t>SUMINISTRO E INSTALACIÓN COSTA FUERA DE CABLE MULTICONDUCTOR FORMADO POR 4 PARES CALIBRE 23 AWG CON ARMADURA ENGARGOLADA DE FLEJE DE ALEACIÓN DE ALUMINIO Y CUBIERTA EXTERIOR TERMOPLÁSTICO DE POLICLORURO DE VINILO PVC. CABLE MULTICONDUCTOR CON CONDUCTORES DE COBRE SUAVE. AISLAMIENTO DE CONDUCTORES: PVC. CÓDIGO DE COLORES: SEGÚN NORMAS NMX-J-300. CUBIERTA EXTERIOR: PVC, COLOR NEGRO.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AL SITIO DE INSTALACION DE PLATAFORMA, MANO DE OBRA, EQUIPO Y HERRAMIENTA Y CONSUMIBLES,  LIMPIEZA FINAL, RECOGER MATERIAL SOBRANTE Y EQUIPO DE SEÑALIZACION.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</si>
  <si>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C3EXT-0142</t>
  </si>
  <si>
    <t>SUMINISTRO E INSTALACIÓN COSTA FUERA DE CORDON DE PARCHEO TIPO UTP DE 3 m, FORMADO POR 4 PARES CALIBRE 23 AWG CAT.6 CUBIERTA EXTERIOR: PVC, COLOR AZUL,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</si>
  <si>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C3EXT-0143</t>
  </si>
  <si>
    <t>SUMINISTRO E INSTALACIÓN COSTA FUERA DE CAJA DE REGISTRO DE CONEXIÓN PARA EXTERIOR (CRCE) ESTILO C DE 609.6 mm X 609.6 mm X 254 mm A PRUEBA DE EXPLOSIÓN CLASE I DIV. 1, PARA USO EXTERIOR, APERTURA CON BISAGRAS Y 4 PERFORACIONES BARRENADAS DE 25.4 mm (1” Ø) POR LADO MODELO EJB-242410, INCLUYE: PLACA DE MONTAJE METÁLICA, CON PERFORACIONES Y TORNILLOS DE SUJECIÓN, MODELO MP2424. 16 TAPONES PLG SQUARE HEAD PARA (1” Ø) PARA LAS PERFORACIONES No. DE CATALOGO PLG35 . ACCESORIOS PARA FIJACIÓN. IDENTIFICACIÓN DE ACUERDO A LA NOMENCLATURA, DEBE INCLUIR LAS CLEMAS DE CONEXIÓN PORTAFUSIBLES Y FUSIBLES, PARA LA PROTECCIÓN DE SOBRETENSIÓN. INCLUYE SUMINISTRO, ACARREO, CARGA Y DESCARGA DE MATERIAL DESDE EL ALMACEN DEL CONTRATISTA AL SITIO DE INSTALACION DE PLATAFORMA, MANO DE OBRA, EQUIPO Y HERRAMIENTA Y CONSUMIBLES, LIMPIEZA FINAL, RECOGER MATERIAL SOBRANTE Y EQUIPO DE SEÑALIZACION.</t>
  </si>
  <si>
    <t>C3EXT-0144</t>
  </si>
  <si>
    <t>SUMINISTRO E INSTALACIÓN COSTA FUERA DE UNIDAD DE CAMPO USO EXTERIOR CON TECNOLOGÍA DE COMBINACIÓN DE DATOS Y SUMINISTRO DE ENERGÍA. UNIDAD DE CONEXIÓN DE RED A ENTORNOS INDUSTRIALES Y HOSTILES MEDIANTE LA COMBINACIÓN DE ALIMENTACIÓN Y COMUNICACIÓN DE DATOS SÓLIDA EN UN SOLO MEDIO: EL CABLE DE ALIMENTACIÓN ESTÁNDAR. UNA UNIDAD DE CAMPO CON TECNOLOGÍA PoE GRADO INDUSTRIAL, QUE PERMITE CONECTAR HASTA 3 DISPOSITIVOS ETHERNET ESTÁNDAR A UNA RED RETEMATIC EN ÁREAS CLASIFICADAS (ATEX ZONA 1), COMBINADO CON UN AMPLIFICADOR ANALÓGICO DE CLASE D DE 30 W QUE PUEDE CONTROLAR HASTA DOS ALTAVOCES EXTERNOS, UNA BALIZA GESTIONADA SALIDA Y CUATRO ENTRADAS DE CONTACTO.TODAS LAS RUTAS DE AUDIO INTERNAS Y EXTERNAS, LA SALIDA DE LA BALIZA Y LAS ENTRADAS DE CONTACTO SON MONITOREADAS PARA GARANTIZAR EL CORRECTO FUNCIONAMIENTO. CLASE DE PROTECCIÓN: IP66. CIFRADO DE DATOS EN EL BUS RETEMATIC: AES DE 128 BITS. PUERTOS ETHERNET: 3 PUERTOS 10/100. ENTRADA DE CA: 90–260 VCA, 50 ~ 60 HZ, 1 A MÁX. CONSUMO DE ENERGÍA (SIN CARGA EXTERNA): NORMAL W \ AMPLIFICACIÓN DE AUDIO MÁXIMA: 45 W. NORMAL SIN AMPLIFICACIÓN DE AUDIO: 8W. MODO DE AHORRO DE ENERGÍA: 4,5 W. DISIPACIÓN DE ENERGÍA MÁXIMA: 25 W. AMPLIFICACIÓN DE AUDIO: 2 CANALES, SELECCIONABLE. AJUSTES DE GANANCIA, CORTOCIRCUITO Y TÉRMICO. PROTECCIÓN CON OPCIÓN DE RECUPERACIÓN AUTOMÁTICA. EXCELENTE RENDIMIENTO THD + N / POP-FREE. POTENCIA DE AUDIO MÁXIMA DISPONIBLE: 30 W CON CARGA DE 8 ? (15 W X 2 Ó 30 W X 1). RESISTENCIA DE CARGA MÍNIMA: 4?. POTENCIA MÁXIMA DISPONIBLE A 24 VCC AUX. CONECTOR: 10W. 4 ENTRADAS DE CONTACTO SUPERVISADAS. 1 SALIDA BEACON GESTIONADA CONTROLADA POR OPTO- ENTRADA AISLADA O COMANDO DE DATOS REMOTOS. TEMPERATURA DE FUNCIONAMIENTO: -40 ° A 80 ° C. DIMENSIONES APROX: 276 (W) X 356 (D) X 217 (H) MM. PESO: 12,5 KG. A PRUEBA DE EXPLOSIONES. CONTAR CON APROBACIÓN POR UN LABORATORIO ACREDITADO EN TÉRMINOS DE LA LFMN COMO UL, FM, CSA, ATEX O EQUIVALENTE.  INCLUYE SUMINISTRO, ACARREO, CARGA Y DESCARGA DE MATERIAL DESDE EL ALMACEN DEL CONTRATISTA AL SITIO DE INSTALACION DE PLATAFORMA, MANO DE OBRA, EQUIPO Y HERRAMIENTA Y CONSUMIBLES, LIMPIEZA FINAL, RECOGER MATERIAL SOBRANTE Y EQUIPO DE SEÑALIZACION.</t>
  </si>
  <si>
    <t>C3EXT-0145</t>
  </si>
  <si>
    <t>SUMINISTRO E INSTALACIÓN COSTA FUERA DE ALTAVOZ DIRECCIONAL USO EXTERIOR. ALTAVOZ DE BOCINA A PRUEBA DE EXPLOSIONES. CLASE DE PROTECCIÓN: IP66. IMPEDANCIA NOMINAL: 8?. CONTAR CON APROBACIÓN POR UN LABORATORIO ACREDITADO EN TÉRMINOS DE LA LFMN COMO UL, FM, CSA, ATEX O EQUIVALENTE. FABRICADO EN ALUMINIO CON REVESTIMIENTO ANTICORROSIVO. TEMPERATURA DE FUNCIONAMIENTO: -40 ° A + 70 ° C. CUERNOS DE ALUMINIO CON ACABADO EPOXI GRIS PARA LA CORROSIÓN Y RESISTENCIA AL CLIMA. EXCELENTE DESEMPEÑO EN FRECUENCIAS DE VOZ. SOPORTE DE MONTAJE DE ACERO PARA UN FÁCIL POSICIONAMIENTO VERTICAL U HORIZONTAL. DIMENSIONES APROX: 600 (D) X 500 (Ø).MM, O EQUIVALENTE. INCLUYE SUMINISTRO, ACARREO, CARGA Y DESCARGA DE MATERIAL DESDE EL ALMACEN DEL CONTRATISTA AL SITIO DE INSTALACION DE PLATAFORMA, MANO DE OBRA, EQUIPO Y HERRAMIENTA Y CONSUMIBLES, LIMPIEZA FINAL, RECOGER MATERIAL SOBRANTE Y EQUIPO DE SEÑALIZACION.</t>
  </si>
  <si>
    <t>C3EXT-0146</t>
  </si>
  <si>
    <t>SUMINISTRO E INSTALACIÓN COSTA FUERA DE ALTAVOZ DIRECCIONAL PARA MONTAJE EN PLAFÓN. ALTAVOZ INTERIOR DE 6W PARA MONTAJE EN PLAFON. IMPEDANCIA: 8?. SPL 90DB / 1M. RECINTO DE ALUMINIO. COLOR RAL9010. DIMENSIONES: 165 (Ø) X 105 (H) MM. CONTAR CON APROBACIÓN POR UN LABORATORIO ACREDITADO EN TÉRMINOS DE LA LFMN COMO UL, FM, CSA, INCLUYE SUMINISTRO, ACARREO, CARGA Y DESCARGA DE MATERIAL DESDE EL ALMACEN DEL CONTRATISTA AL SITIO DE INSTALACION DE PLATAFORMA, MANO DE OBRA, EQUIPO Y HERRAMIENTA Y CONSUMIBLES, LIMPIEZA FINAL, RECOGER MATERIAL SOBRANTE Y EQUIPO DE SEÑALIZACION.</t>
  </si>
  <si>
    <t>C3EXT-0147</t>
  </si>
  <si>
    <t>SUMINISTRO E INSTALACIÓN COSTA FUERA DE SISTEMA PASAMURO MULTIDIAMETRO, RECTANGULAR, ATORNILLABLE, MARCO TIPO GHM 4X2 AISI TIPO DE MONTAJE: ATORNILLABLE DE ACERO INOXIDABLE, CON LAS DIMENSIONES EXTERIORES DE 291.5MM DE ALTO Y 383 MM DE ANCHO, ESPACIO ÚTIL 159.5MM [6.280"]MM DE ALTO Y ANCHO 120.5MM [4.744"], INCLUYE:  32 MODULOS RM 30 EX  10MM-25MM [0.394"-0.984"]. 2 UNIDAD DE COMPRESIÓN (WEDGE 120) DE A.INOX AISI 316. 8 PLACAS DE COMPRESIÓN. 1 MÓDULO DE CONTRA MARCO PARA MARCO GE 4X2 ACERO GALVANIZADO INCLUYE: 8 COMPLEMENTO ADICIONAL DE LUBRICANTES DE 25MILILITROS, 1 TIRA TSL 15X6 PARA MARCO GHM 4X2 DE SELLADO HERMÉTICO, O EQUIVALENTE, INCLUYE SUMINISTRO, ACARREO, CARGA Y DESCARGA DE MATERIAL DESDE EL ALMACEN DEL CONTRATISTA AL SITIO DE INSTALACION DE PLATAFORMA, MANO DE OBRA, EQUIPO Y HERRAMIENTA Y CONSUMIBLES, LIMPIEZA FINAL, RECOGER MATERIAL SOBRANTE Y EQUIPO DE SEÑALIZACION.</t>
  </si>
  <si>
    <t>C3EXT-0148</t>
  </si>
  <si>
    <t>SUMINISTRO E INSTALACIÓN COSTA FUERA DE CABINA ACÚSTICA USO INDUSTRIAL, MATERIAL DE FABRICACIÓN DE FIBRA DE VIDRIO, RETARDANTE A LA FLAMA Y A LOS RAYOS ULTRAVIOLETA (UV), CON CAPUCHA Y LAMINA PERFORADA DE PVC, EN COLOR AMARILLO RAL1006. REDUCCION DE RUIDO MEDIO SOBRE BANDA DE INTERFERENCIA DEL HABLA DE 400HZ A 2500HZ, O EQUIVALENTE REDUCCION DE RUIDO DE 23.9 DB PROMEDIO, INCLUYE: PLACA DE MONTAJE DE ACERO INOXIDABLE A 316 CON PERFORACIONES, EL INTERIOR DEBERA ESTAR FORRADA CON LAMINA MULTIPERFORADA DE PVC, DIMENSIONES APROXIMADAS DE 700(W) x 600(D) x 920(H) mm. O EQUIVALENTE.  INCLUYE SUMINISTRO, ACARREO, CARGA Y DESCARGA DE MATERIAL DESDE EL ALMACEN DEL CONTRATISTA AL SITIO DE INSTALACION DE PLATAFORMA, MANO DE OBRA, EQUIPO Y HERRAMIENTA Y CONSUMIBLES, LIMPIEZA FINAL, RECOGER MATERIAL SOBRANTE Y EQUIPO DE SEÑALIZACION.</t>
  </si>
  <si>
    <t>C3EXT-0149</t>
  </si>
  <si>
    <t>SUMINISTRO E INSTALACIÓN COSTA FUERA DE ETIQUETA TERMOCONTRACTIL PARA CABLE UTP.INCLUYE SUMINISTRO, ACARREO, CARGA Y DESCARGA DE MATERIAL DESDE EL ALMACEN DEL CONTRATISTA AL SITIO DE INSTALACION DE PLATAFORMA, MANO DE OBRA, EQUIPO Y HERRAMIENTA Y CONSUMIBLES, LIMPIEZA FINAL, RECOGER MATERIAL SOBRANTE Y EQUIPO DE SEÑALIZACION</t>
  </si>
  <si>
    <t>C3EXT-0150</t>
  </si>
  <si>
    <t>SUMINISTRO E INSTALACIÓN COSTA FUERA DE ABRAZADERA TIPO OMEGA DE ACERO ELECTROGALVANIZADO REFORZADA DE (1/2"). INCLUYE SUMINISTRO, ACARREO, CARGA Y DESCARGA DE MATERIAL DESDE EL ALMACEN DEL CONTRATISTA AL SITIO DE INSTALACION DE PLATAFORMA, MANO DE OBRA, EQUIPO Y HERRAMIENTA Y CONSUMIBLES, LIMPIEZA FINAL, RECOGER MATERIAL SOBRANTE Y EQUIPO DE SEÑALIZACION.</t>
  </si>
  <si>
    <t>C3EXT-0151</t>
  </si>
  <si>
    <t>SUMINISTRO, CARGA, ACARREO, DESCARGA Y PUESTA EN SITIO COSTA FUERA DE ABRAZADERA TIPO "U" PARA TUBO CON DIAMETRO NOMINAL DE 1/2" (16 MM) DE ACERO CON RECUBRIMIENTO GALVANIZADO Y CON RECUBRIMIENTO DE PVC, INCLUYE 2 TUERCAS DE ACERO ENCAPSULADAS DE PVC.</t>
  </si>
  <si>
    <t>C3EXT-0152</t>
  </si>
  <si>
    <t>SUMINISTRO E INSTALACIÓN COSTA FUERA DE PLACA DE IDENTIFICACION DE PLÁSTICO (GRAVOPLAY) ADHESIVAS EN COLOR BLANCO DE 40 mm ANCHO X 120mm DE LARGO CON LA LEYENDA “FUEGO”.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</si>
  <si>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C3EXT-0153</t>
  </si>
  <si>
    <t>SUMINISTRO E INSTALACIÓN COSTA FUERA DE PLACA DE IDENTIFICACION DE PLÁSTICO (GRAVOPLAY) ADHESIVAS EN COLOR BLANCO DE 40 mm ANCHO X 120mm DE LARGO CON LA LEYENDA “ABANDONO”.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</si>
  <si>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C3EXT-0154</t>
  </si>
  <si>
    <t>SUMINISTRO E INSTALACIÓN COSTA FUERA DE CINCHOS SUJETACABLES DE ACERO INOXIDABLE AISI 304/316 PARA AMBIENTES CORROSIVOS,LARGO 127mm, ANCHO 4.6mm, MAXIMO ESFUERZO 200LB, ESPESOR 0.25mm(0.010"),  INCLUYE SUMINISTRO, ACARREO, CARGA Y DESCARGA DE MATERIAL DESDE EL ALMACEN DEL CONTRATISTA AL SITIO DE INSTALACION DE PLATAFORMA, MANO DE OBRA, EQUIPO Y HERRAMIENTA Y CONSUMIBLES, LIMPIEZA FINAL, RECOGER MATERIAL SOBRANTE Y EQUIPO DE SEÑALIZACION.</t>
  </si>
  <si>
    <t>C3EXT-0155</t>
  </si>
  <si>
    <t>SUMINISTRO E INSTALACIÓN COSTA FUERA DE CENTRO DE CARGA PARA SOBREPONER, SERVICIO REGULADO, DE 12 POLOS, CON ZAPATAS PRINCIPALES 125 AMP., 127 VCA, 60 HZ, EN GABINETE PARA USO INTERIOR NEMA 1, CON LOS SIGUIENTES INTERRUPTORES TERMOMAGNÉTICOS DERIVADOS. 1 DE 1 POLO 70 AD Y 100AM INCLUYE SUMINISTRO, ACARREO, CARGA Y DESCARGA DE MATERIAL DESDE EL ALMACEN DEL CONTRATISTA AL SITIO DE INSTALACION DE PLATAFORMA, MANO DE OBRA, EQUIPO Y HERRAMIENTA Y CONSUMIBLES, LIMPIEZA FINAL, RECOGER MATERIAL SOBRANTE Y EQUIPO DE SEÑALIZACION.</t>
  </si>
  <si>
    <t>C3EXT-0156</t>
  </si>
  <si>
    <t>SUMINISTRO E INSTALACION COSTA FUERA DE INTERRUPTOR AUTOMÁTICO DE ACCIÓN RÁPIDA CON PROTECCIÓN CONTRA SOBRECARGA Y CORTOCIRCUITO DE 1 POLO, 70 AMP. INCLUYE SUMINISTRO, ACARREO, CARGA Y DESCARGA DE MATERIAL DESDE EL ALMACEN DEL CONTRATISTA AL SITIO DE INSTALACION DE PLATAFORMA, MANO DE OBRA, EQUIPO Y HERRAMIENTA Y CONSUMIBLES, LIMPIEZA FINAL, RECOGER MATERIAL SOBRANTE Y EQUIPO DE SEÑALIZACION.</t>
  </si>
  <si>
    <t>C3EXT-0157</t>
  </si>
  <si>
    <t>SUMINISTRO E INSTALACION COSTA FUERA DE INTERRUPTOR AUTOMÁTICO DE ACCIÓN RÁPIDA CON PROTECCIÓN CONTRA SOBRECARGA Y CORTOCIRCUITO DE 1 POLO, 30 AMP. INCLUYE SUMINISTRO, ACARREO, CARGA Y DESCARGA DE MATERIAL DESDE EL ALMACEN DEL CONTRATISTA AL SITIO DE INSTALACION DE PLATAFORMA, MANO DE OBRA, EQUIPO Y HERRAMIENTA Y CONSUMIBLES, LIMPIEZA FINAL, RECOGER MATERIAL SOBRANTE Y EQUIPO DE SEÑALIZACION.</t>
  </si>
  <si>
    <t>C3EXT-0158</t>
  </si>
  <si>
    <t>SUMINISTRO E INSTALACIÓN COSTA FUERA DE TUBERÍA CONDUIT DE ALUMINIO LIBRE DE COBRE, SIN COSTURA CON RECUBRIMIENTO EXTERIOR DE PVC, DE 40 MILÉSIMAS DE PULGADA E INTERIOR DE URETANO DE 2 MILÉSIMAS DE PULGADA, TIPO PESADO, ROSCADO EN LOS EXTREMOS CON COPLE, INSTALACIÓN AÉREA, DE DIAMETRO 63 MM (2 1/2”) Ø, INCLUYE SUMINISTRO, ACARREO, CARGA Y DESCARGA DE MATERIAL DESDE EL ALMACEN DEL CONTRATISTA AL SITIO DE INSTALACION DE PLATAFORMA, MANO DE OBRA, EQUIPO Y HERRAMIENTA Y CONSUMIBLES, LIMPIEZA FINAL, RECOGER MATERIAL SOBRANTE Y EQUIPO DE SEÑALIZACION.</t>
  </si>
  <si>
    <t>C3EXT-0159</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</si>
  <si>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“GUAL”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</si>
  <si>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C3EXT-0160</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</si>
  <si>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“GUAT”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</si>
  <si>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C3EXT-0161</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</si>
  <si>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“GUAC”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</si>
  <si>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C3EXT-0162</t>
  </si>
  <si>
    <t>SUMINISTRO E INSTALACIÓN COSTA FUERA DE MEYER DE ALUMINIO LIBRE DE COBRE TIPO “STA” CON RECUBRIMIENTO EXTERIOR DE PVC, DE 40 MILÉSIMAS DE PULGADA E INTERIOR DE URETANO DE 2 MILÉSIMAS DE PULGADA, A PRUEBA DE EXPLOSIÓN CLASE 1, DIV. 2, DE TAMAÑO NPT 3/4” (21mm) Ø CAT. STA-2-DBR, INCLUYE SUMINISTRO, ACARREO, CARGA Y DESCARGA DE MATERIAL DESDE EL ALMACEN DEL CONTRATISTA AL SITIO DE INSTALACION DE PLATAFORMA, MANO DE OBRA, EQUIPO Y HERRAMIENTA Y CONSUMIBLES, LIMPIEZA FINAL, RECOGER MATERIAL SOBRANTE Y EQUIPO DE SEÑALIZACION.</t>
  </si>
  <si>
    <t>C3EXT-0163</t>
  </si>
  <si>
    <t>SUMINISTRO E INSTALACIÓN COSTA FUERA DE MEYER DE ALUMINIO LIBRE DE COBRE TIPO “STA” CON RECUBRIMIENTO EXTERIOR DE PVC, DE 40 MILÉSIMAS DE PULGADA E INTERIOR DE URETANO DE 2 MILÉSIMAS DE PULGADA, A PRUEBA DE EXPLOSIÓN CLASE 1, DIV. 2, DE TAMAÑO NPT 1” (27MM) Ø INCLUYE SUMINISTRO, ACARREO, CARGA Y DESCARGA DE MATERIAL DESDE EL ALMACEN DEL CONTRATISTA AL SITIO DE INSTALACION DE PLATAFORMA, MANO DE OBRA, EQUIPO Y HERRAMIENTA Y CONSUMIBLES, LIMPIEZA FINAL, RECOGER MATERIAL SOBRANTE Y EQUIPO DE SEÑALIZACION.</t>
  </si>
  <si>
    <t>C3EXT-0164</t>
  </si>
  <si>
    <t>SUMINISTRO E INSTALACIÓN COSTA FUERA DE MEYER DE ALUMINIO LIBRE DE COBRE TIPO “STA” CON RECUBRIMIENTO EXTERIOR DE PVC, DE 40 MILÉSIMAS DE PULGADA E INTERIOR DE URETANO DE 2 MILÉSIMAS DE PULGADA, A PRUEBA DE EXPLOSIÓN CLASE 1, DIV. 2, DE TAMAÑO NPT 2 1/2” (63mm) ØINCLUYE SUMINISTRO, ACARREO, CARGA Y DESCARGA DE MATERIAL DESDE EL ALMACEN DEL CONTRATISTA AL SITIO DE INSTALACION DE PLATAFORMA, MANO DE OBRA, EQUIPO Y HERRAMIENTA Y CONSUMIBLES, LIMPIEZA FINAL, RECOGER MATERIAL SOBRANTE Y EQUIPO DE SEÑALIZACION.</t>
  </si>
  <si>
    <t>C3EXT-0165</t>
  </si>
  <si>
    <t>SUMINISTRO E INSTALACIÓN COSTA FUERA DE SELLO EZS MACHO-HEMBRA EN ALUMINIO LIBRE DE COBRE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</si>
  <si>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C3EXT-0166</t>
  </si>
  <si>
    <t>SUMINISTRO E INSTALACIÓN COSTA FUERA DE TUERCA UNION TIPO UNY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</si>
  <si>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C3EXT-0167</t>
  </si>
  <si>
    <t>SUMINISTRO E INSTALACIÓN COSTA FUERA DE ABRAZADERA TIPO “U” CON RECUBRIMIENTO EXTERIOR DE PVC, DE 40 MILÉSIMAS DE PULGADA, PARA TUBERÍA CONDUIT DE ALUMINIO LIBRE DE COBRE CON RECUBRIMIENTO EXTERIOR DE PVC E INTERIOR DE URETANO DE 63 MM (2 1/2”) DIÁMETRO, INCLUYE: TUERCAS ENCAPSULADAS CON RECUBRIMIENTO EXTERIOR DE PVC. INCLUYE SUMINISTRO, ACARREO, CARGA Y DESCARGA DE MATERIAL DESDE EL ALMACÉN DEL CONTRATISTA AL SITIO DE INSTALACIÓN DE PLATAFORMA, MANO DE OBRA, EQUIPO Y HERRAMIENTA Y CONSUMIBLES, LIMPIEZA FINAL, RECOGER MATERIAL SOBRANTE Y EQUIPO DE SEÑALIZACIÓN.</t>
  </si>
  <si>
    <t>C3EXT-0168</t>
  </si>
  <si>
    <t>SUMINISTRO E INSTALACIÓN COSTA FUERA DE CAJA DE CONEXIONES DE ALUMINIO LIBRE DE COBRE TIPO WJB (CAT WJB-181202-DBR) 18" LARGO X 12" ANCHO X 8" PROFUNDIDAD CON RECUBRIMIENTO EXTERIOR DE PVC DE 40 MILÉSIMAS DE PULGADA E INTERIOR DE URETANO DE 2 MILÉSIMAS DE PULGADA, INCLUYE SUMINISTRO, ACARREO, CARGA Y DESCARGA DE MATERIAL DESDE EL ALMACEN DEL CONTRATISTA AL SITIO DE INSTALACION DE PLATAFORMA, MANO DE OBRA, EQUIPO Y HERRAMIENTA Y CONSUMIBLES, LIMPIEZA FINAL, RECOGER MATERIAL SOBRANTE Y EQUIPO DE SEÑALIZACION.</t>
  </si>
  <si>
    <t>C3EXT-0169</t>
  </si>
  <si>
    <t>SUMINISTRO E INSTALACIÓN COSTA FUERA DE SELLO ROXTEC RS Mod.- RS 100 AISI316, PARA CABLE/TUBERÍA DIÁMETRO (mm) 48 - 70, PARA UN DIÁMETRO DE APERTURA DE DIÁMETRO (mm)100 - 102, Peso (kg)1, INCLUYE SUMINISTRO, ACARREO, CARGA Y DESCARGA DE MATERIAL DESDE EL ALMACÉN DEL CONTRATISTA AL SITIO DE INSTALACIÓN DE PLATAFORMA, MANO DE OBRA, EQUIPO Y HERRAMIENTA Y CONSUMIBLES, LIMPIEZA FINAL, RECOGER MATERIAL SOBRANTE Y EQUIPO DE SEÑALIZACIÓN.</t>
  </si>
  <si>
    <t>C3EXT-0171</t>
  </si>
  <si>
    <t>SUMINISTRO E INSTALACIÓN COSTA FUERA DE REDUCCIÓN BUSHING TIPO RE DE ALUMINIO LIBRE DE COBRE CON RECUBRIMIENTO INTERIOR DE URETANO DE 2 MILÉSIMAS DE PULGADA DE 63 mm DIÁMETRO A 27 mm DIÁMETRO (2 1/2" A 1"), INCLUYE SUMINISTRO, ACARREO, CARGA Y DESCARGA DE MATERIAL DESDE EL ALMACÉN DEL CONTRATISTA AL SITIO DE INSTALACIÓN DE PLATAFORMA, MANO DE OBRA, EQUIPO Y HERRAMIENTA Y CONSUMIBLES, LIMPIEZA FINAL, RECOGER MATERIAL SOBRANTE Y EQUIPO DE SEÑALIZACIÓN.</t>
  </si>
  <si>
    <t>C3EXT-0172</t>
  </si>
  <si>
    <t>SUMINISTRO E INSTALACIÓN COSTA FUERA DE DREN RESPIRADERO UNIVERSAL DE ACERO INOXIDABLE DE 19 mm (3/4”) Ø.  INCLUYE SUMINISTRO, ACARREO, CARGA Y DESCARGA DE MATERIAL DESDE EL ALMACEN DEL CONTRATISTA AL SITIO DE INSTALACION DE PLATAFORMA, MANO DE OBRA, EQUIPO Y HERRAMIENTA Y CONSUMIBLES, LIMPIEZA FINAL, RECOGER MATERIAL SOBRANTE Y EQUIPO DE SEÑALIZACION.</t>
  </si>
  <si>
    <t>C3EXT-0173</t>
  </si>
  <si>
    <t>SUMINISTRO E INSTALACIÓN COSTA FUERA DE CABLE MONOPOLAR DE COBRE SUAVE, CABLEADO TIPO B, CON AISLAMIENTO DE PVC Y CUBIERTA DE NYLON, COLOR NEGRO TIPO THW-LS TENSIÓN DE OPERACIÓN 600 V, TEMPERATURA DE 75°C, CALIBRE 127 mm² (250 KCMIL). INCLUYE SUMINISTRO, ACARREO, CARGA Y DESCARGA DE MATERIAL DESDE EL ALMACÉN DEL CONTRATISTA AL SITIO DE INSTALACIÓN DE PLATAFORMA, MANO DE OBRA, EQUIPO Y HERRAMIENTA Y CONSUMIBLES, LIMPIEZA FINAL, RECOGER MATERIAL SOBRANTE Y EQUIPO DE SEÑALIZACIÓN.</t>
  </si>
  <si>
    <t>C3EXT-0175</t>
  </si>
  <si>
    <t>SUMINISTRO E INSTALACIÓN COSTA FUERA DE CABLE MONOPOLAR DE COBRE SUAVE, CABLEADO TIPO B, CON AISLAMIENTO DE PVC Y CUBIERTA DE NYLON, COLOR BLANCO TIPO THW-LS TENSIÓN DE OPERACIÓN 600 V, TEMPERATURA DE 75°C, CALIBRE 21.2 mm² (4 AWG). INCLUYE SUMINISTRO, ACARREO, CARGA Y DESCARGA DE MATERIAL DESDE EL ALMACÉN DEL CONTRATISTA AL SITIO DE INSTALACIÓN DE PLATAFORMA, MANO DE OBRA, EQUIPO Y HERRAMIENTA Y CONSUMIBLES, LIMPIEZA FINAL, RECOGER MATERIAL SOBRANTE Y EQUIPO DE SEÑALIZACIÓN.</t>
  </si>
  <si>
    <t>C3EXT-0176</t>
  </si>
  <si>
    <t>SUMINISTRO E INSTALACIÓN COSTA FUERA DE TERMINAL DE COBRE ELECTROLITICO A COMPRESION PARA CABLE CALIBRE 2/0 AWG. DOBLE OJILLO.  INCLUYE SUMINISTRO, ACARREO, CARGA Y DESCARGA DE MATERIAL DESDE EL ALMACEN DEL CONTRATISTA AL SITIO DE INSTALACION DE PLATAFORMA, MANO DE OBRA, EQUIPO Y HERRAMIENTA Y CONSUMIBLES, LIMPIEZA FINAL, RECOGER MATERIAL SOBRANTE Y EQUIPO DE SEÑALIZACION.</t>
  </si>
  <si>
    <t>C3EXT-0180</t>
  </si>
  <si>
    <t>SUMINISTRO E INSTALACIÓN COSTA FUERA DE TERMINAL DE COBRE ELECTROLITICO A COMPRESION PARA CABLE CALIBRE 2 AWG. DOBLE OJILLO.  INCLUYE SUMINISTRO, ACARREO, CARGA Y DESCARGA DE MATERIAL DESDE EL ALMACEN DEL CONTRATISTA AL SITIO DE INSTALACION DE PLATAFORMA, MANO DE OBRA, EQUIPO Y HERRAMIENTA Y CONSUMIBLES, LIMPIEZA FINAL, RECOGER MATERIAL SOBRANTE Y EQUIPO DE SEÑALIZACION.</t>
  </si>
  <si>
    <t>C3EXT-0181</t>
  </si>
  <si>
    <t>SUMINISTRO E INSTALACIÓN COSTA FUERA DE ABRAZADERA DE COBRE PARA CABLE DE COBRE DESNUDO CAL 2-4/0.  INCLUYE SUMINISTRO, ACARREO, CARGA Y DESCARGA DE MATERIAL DESDE EL ALMACEN DEL CONTRATISTA AL SITIO DE INSTALACION DE PLATAFORMA, MANO DE OBRA, EQUIPO Y HERRAMIENTA Y CONSUMIBLES, LIMPIEZA FINAL, RECOGER MATERIAL SOBRANTE Y EQUIPO DE SEÑALIZACION.</t>
  </si>
  <si>
    <t>C3EXT-0182</t>
  </si>
  <si>
    <t>SUMINISTRO E INSTALACIÓN COSTA FUERA DE REDUCCIÓN BUSHING TIPO RE DE ALUMINIO LIBRE DE COBRE CON RECUBRIMIENTO INTERIOR DE URETANO DE 2 MILÉSIMAS DE PULGADA DE 63 mm Ø A 21 mmØ (2 1/2" A 3/4"), CAT. RE-73 REC. URETANO ROJO, INCLUYE SUMINISTRO, ACARREO, CARGA Y DESCARGA DE MATERIAL DESDE EL ALMACEN DEL CONTRATISTA AL SITIO DE INSTALACION DE PLATAFORMA, MANO DE OBRA, EQUIPO Y HERRAMIENTA Y CONSUMIBLES, LIMPIEZA FINAL, RECOGER MATERIAL SOBRANTE Y EQUIPO DE SEÑALIZACION.</t>
  </si>
  <si>
    <t>C3EXT-0183</t>
  </si>
  <si>
    <t>SUMINISTRO E INSTALACIÓN COSTA FUERA DE ESTACIÓN DE ACTIVACIÓN DE ALARMA Y VOCEO POR ZONAS CON PANTALLA (EAVP).   ESTACIÓN DE ACTIVACIÓN DE ALARMA Y VOCEO POR ZONAS CON PANTALLA (EAVP) CON 5 LÍNEAS DE INTERCOMUNICACIÓN Y UNA DE VOCEO.  VOLTAJE DE ENTRADA 12 / 57 VCD.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133 MM X ANCHO 285 MM X PROFUNDO 234 MM RANGO DE TEMPERATURA 0 ºC A +50 ºC CLASIFICACIÓN AL AMBIENTE TIPO NEMA 4X PESO POR PROVEEDOR PROTOCOLO DE SEÑALIZACIÓN PROTOCOLO SIP. INCLUYE SUMINISTRO, ACARREO, CARGA Y DESCARGA DE MATERIAL DESDE EL ALMACEN DEL CONTRATISTA AL SITIO DE INSTALACION DE PLATAFORMA, MANO DE OBRA, EQUIPO, HERRAMIENTA Y CONSUMIBLES,  INCLUYE PRUEBA DE FUNCIONAMIENTO,LIMPIEZA FINAL, RECOGER MATERIAL SOBRANTE DEL AREA DE TRABAJO.</t>
  </si>
  <si>
    <t>C3EXT-0184</t>
  </si>
  <si>
    <t>SUMINISTRO E INSTALACIÓN COSTA FUERA DE CONECTOR TIPO MC GLÁNDULA 1/2”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</si>
  <si>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C3EXT-0186</t>
  </si>
  <si>
    <t>SUMINISTRO E INSTALACIÓN COSTA FUERA DE CONECTOR TIPO MC GLÁNDULA 3/4”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</si>
  <si>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C3EXT-0187</t>
  </si>
  <si>
    <t>SUMINISTRO E INSTALACIÓN COSTA FUERA DE CAJA DE MULTILÍNEA IP PARA USO EXTERIOR CON 5 LÍNEAS DE INTERCOMUNICACIÓN Y UNA DE VOCEO. VOLTAJE DE ENTRADA 24 / 48 VCD. Y/O POE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270 MM X ANCHO 230 MM X PROFUNDO 140 MM RANGO DE TEMPERATURA -40 ºC A +55 ºC CLASIFICACIÓN AL AMBIENTE IP66 / TIPO NEMA 4X PESO POR PROVEEDOR PROTOCOLO DE SEÑALIZACIÓN PROTOCOLO SIP APROBACIONES ÁREAS PELIGROSAS CLASE I, DIVISIÓN 1, GRUPOS B, C, D, CLASE II, DIVISIÓN 1 GRUPOS F, G, CLASE III, DIVISIÓN 1; T6 TIPO 4X. INCLUYE SUMINISTRO, CARGA Y DESCARGA DE MATERIAL DESDE EL ALMACEN DEL CONTRATISTA AL SITIO DE INSTALACION DE PLATAFORMA, MANO DE OBRA, EQUIPO, HERRAMIENTA Y CONSUMIBLES, LIMPIEZA FINAL, RECOGER MATERIAL SOBRANTE DEL AREA DE TRABAJO.</t>
  </si>
  <si>
    <t>C3EXT-0188</t>
  </si>
  <si>
    <t>SUMINISTRO E INSTALACIÓN COSTA FUERA DE TERMINALES PREAISLADAS TIPO DE UNA SOLA PIEZA CON AISLAMIENTO DE VINYL, RETARDANTE A LA LLAMA, 600 VOLTS PARA CABLE 16 AWG-14 AWG  INCLUYE SUMINISTRO, ACARREO, CARGA Y DESCARGA DE MATERIAL DESDE EL ALMACEN DEL CONTRATISTA AL SITIO DE INSTALACION DE PLATAFORMA, MANO DE OBRA, EQUIPO Y HERRAMIENTA Y CONSUMIBLES, LIMPIEZA FINAL, RECOGER MATERIAL SOBRANTE Y EQUIPO DE SEÑALIZACION.</t>
  </si>
  <si>
    <t>C3EXT-0189</t>
  </si>
  <si>
    <t>SUMINISTRO E INSTALACIÓN COSTA FUERA DE CABLE MONOCONDUCTOR CALIBRE 14 AWG, DE COBRE SUAVE, CABLEADO CONCENTRICO TIPO B, CON AISLAMIENTO INDIVIDUAL TERMOPLASTICO COLOR VERDE CON FRANJAS AMARILLAS TENCION 600 VOLTS  INCLUYE SUMINISTRO, ACARREO, CARGA Y DESCARGA DE MATERIAL DESDE EL ALMACEN DEL CONTRATISTA AL SITIO DE INSTALACION DE PLATAFORMA, MANO DE OBRA, EQUIPO Y HERRAMIENTA Y CONSUMIBLES, LIMPIEZA FINAL, RECOGER MATERIAL SOBRANTE Y EQUIPO DE SEÑALIZACION.</t>
  </si>
  <si>
    <t>C3EXT-0190</t>
  </si>
  <si>
    <t>SUMINISTRO E INSTALACIÓN COSTA FUERA DE TAQUETES DE EXPANSIÓN , EXPANSOR SEGMENTADO MOLDEADO DE ALEACION DE ZINC CON ROSCA INTERNA,RESISTENTE ALA CORROSION ROSCA DE 1/8 PULG. PROFUNDIDAD  DE ANCLAJE 1 1/2", LARGO DEL TAQUETE 1 1/2 (CAJA GABINETE PRINCIPAL) INCLUYE SUMINISTRO, ACARREO, CARGA Y DESCARGA DE MATERIAL DESDE EL ALMACEN DEL CONTRATISTA AL SITIO DE INSTALACION DE PLATAFORMA, MANO DE OBRA, EQUIPO Y HERRAMIENTA Y CONSUMIBLES, LIMPIEZA FINAL, RECOGER MATERIAL SOBRANTE Y EQUIPO DE SEÑALIZACION.</t>
  </si>
  <si>
    <t>C3EXT-0191</t>
  </si>
  <si>
    <t>SUMINISTRO E INSTALACIÓN COSTA FUERA DE TORNILLO DE ACERO INOXIDABLE CABEZA HEXAGONAL  ROSCA ESTANDAR  CUERDA  DE 1/8"  DE DIAMETRO X 1" DE LONGITUD CON 1 TUERCA HEXAGONAL, 1 ARANDELA PLANA  Y 1 ARANDELA DE PRESIÓN  INCLUYE SUMINISTRO, ACARREO, CARGA Y DESCARGA DE MATERIAL DESDE EL ALMACEN DEL CONTRATISTA AL SITIO DE INSTALACION DE PLATAFORMA, MANO DE OBRA, EQUIPO Y HERRAMIENTA Y CONSUMIBLES, LIMPIEZA FINAL, RECOGER MATERIAL SOBRANTE Y EQUIPO DE SEÑALIZACION.</t>
  </si>
  <si>
    <t>C3EXT-0192</t>
  </si>
  <si>
    <t>SUMINISTRO E INSTALACIÓN COSTA FUERA DE CABLE MONOPOLAR DE COBRE SUAVE, CABLEADO TIPO B, CON AISLAMIENTO DE PVC Y CUBIERTA DE NYLON, COLOR VERDE TIPO THW-LS TENSIÓN DE OPERACIÓN 600 V, TEMPERATURA DE 75°C, CALIBRE 8.37 mm 8AWG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</si>
  <si>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C3EXT-0194</t>
  </si>
  <si>
    <t>SUMINISTRO E INSTALACIÓN COSTA FUERA DE CABLE MONOPOLAR DE COBRE SUAVE, CABLEADO TIPO B, CON AISLAMIENTO DE PVC Y CUBIERTA DE NYLON, COLOR BLANCO TIPO THW-LS TENSIÓN DE OPERACIÓN 600 V, TEMPERATURA DE 75°C, CALIBRE 127 mm² (250 KCMIL).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</si>
  <si>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C3EXT-0195</t>
  </si>
  <si>
    <t>SUMINISTRO E INSTALACIÓN COSTA FUERA DE ALTAVOZ DE CAJA ACUSTICA PARA USO INTERIOR. ALTAVOZ PARA MONTAJE EN PARED. POTENCIA 15 WATTS COMO MÍNIMO O BIEN APEGARSE A LO INDICADO EN IMPEDANCIA 8?  DIÁMETRO DE LA BOCINA 165 MM  NIVEL DE PRESIÓN DEL SONIDO (SPL) POR PROVEEDOR MONTAJE EN PARED DIMENSIONES APROXIMADAS 165 (A) X 250 (F) X 220 (A) MM. NOTA 4. INCLUYE CONTROL DE VOLUMEN INCORPORADO INCLUYE SUMINISTRO, CARGA Y DESCARGA DE MATERIAL DESDE EL ALMACEN DEL CONTRATISTA AL SITIO DE INSTALACION DE PLATAFORMA, MANO DE OBRA, EQUIPO, HERRAMIENTA Y CONSUMIBLES, INCLUYE PRUEBA DE FUNCIONAMIENTO, LIMPIEZA FINAL, RECOGER MATERIAL SOBRANTE DEL AREA DE TRABAJO.</t>
  </si>
  <si>
    <t>C3EXT-0197</t>
  </si>
  <si>
    <t>SUMINISTRO E INSTALACIÓN COSTA FUERA DE CONECTOR A PRUEBA DE EXPLOSIÓN PARA CABLE ARMADO CUERPO, FUNDA Y TUERCA DE LOS PRENSAESTOPAS EN ALUMINIO LIBRE DE COBRE (4/10 DE 1% MÁX.), LATÓN NIQUELADO O ACERO NOXIDABLE. RESORTE EL RESORTE DE CONEXIÓN A TIERRA ES DE ACERO INOXIDABLE. EL BUJE ES LSF-TPE (SIN HALÓGENO). LA ARANDELA DE TOPE FINAL ES DE NAILON. CERTIFICACIÓN UL-6A, ANSI C 80.5 TIPO DE SELLADO SELLO EPÓXICO TEMPERATURA DE OPERACIÓN -25° A 60°C ROSCA N.P.T. DE 3/4" DE DIÁMETRO RECUBRIMIENTO EXTERIOR DE PVC 0.040¨ NOMINAL. RECUBRIMIENTO INTERIOR DE URETANO AMARRILLO 0.002¨ NOMINAL. FABRICADA EN ALUMINIO LIBRE DE COBRE (4/10 DE 1% MÁX.). NORMA NEC CLASE I, DIVISIÓN 1 Y 2, GRUPOS A, B, C, D; CLASE I, ZONA 1, AEXD IIC ÁREAS PELIGROSAS CLASE II, DIVISIÓN 1 Y 2, GRUPOS E, F, G; CLASE III; INCLUYE SUMINISTRO, CARGA Y DESCARGA DE MATERIAL DESDE EL ALMACEN DEL CONTRATISTA AL SITIO DE INSTALACION DE PLATAFORMA, MANO DE OBRA, EQUIPO, HERRAMIENTA Y CONSUMIBLES, LIMPIEZA FINAL, RECOGER MATERIAL SOBRANTE DEL AREA DE TRABAJO.</t>
  </si>
  <si>
    <t>C3EXT-0198</t>
  </si>
  <si>
    <t>SUMINISTRO E INSTALACIÓN COSTA FUERA DE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INDUSTRIAL.DATOS Y PROTOCOLOS DE ENRUTAMIENTO IEEE802.3 (10BASET), IEEE802.3U (100BASE-TX) INCLUYE SUMINISTRO, CARGA Y DESCARGA DE MATERIAL DESDE EL ALMACEN DEL CONTRATISTA AL SITIO DE INSTALACION DE PLATAFORMA, MANO DE OBRA, EQUIPO, HERRAMIENTA Y CONSUMIBLES, LIMPIEZA FINAL, RECOGER MATERIAL SOBRANTE DEL AREA DE TRABAJO.</t>
  </si>
  <si>
    <t>C3EXT-0199</t>
  </si>
  <si>
    <t>SUMINISTRO E INSTALACIÓN COSTA FUERA DE CONECTOR A PRUEBA DE EXPLOSIÓN PARA CABLE ARMADO 3/4"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CONSUMIBLES,LIMPIEZA FINAL, RECOGER MATERIAL SOBRANTE DEL AREA DE TRABAJO.</t>
  </si>
  <si>
    <t>C3EXT-0201</t>
  </si>
  <si>
    <t>SUMINISTRO E INSTALACIÓN COSTA FUERA DE CONECTOR A PRUEBA DE EXPLOSIÓN PARA CABLE ARMADO 1/2"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 IIMPIEZA FINAL, RECOGER MATERIAL SOBRANTE DEL AREA DE TRABAJO.</t>
  </si>
  <si>
    <t>C3EXT-0202</t>
  </si>
  <si>
    <t>SUMINISTRO E INSTALACIÓN COSTA FUERA DE CONECTOR RJ45 CATEGORIA 6 X-CASE  PARA CABLE UTP INCLUYE SUMINISTRO, ACARREO, CARGA Y DESCARGA DE MATERIAL DESDE EL ALMACEN DEL CONTRATISTA AL SITIO DE INSTALACION DE PLATAFORMA, MANO DE OBRA, EQUIPO Y HERRAMIENTA Y CONSUMIBLES, LIMPIEZA FINAL, RECOGER MATERIAL SOBRANTE Y EQUIPO DE SEÑALIZACION.</t>
  </si>
  <si>
    <t>C3EXT-0204</t>
  </si>
  <si>
    <t>SUMINISTRO E INSTALACIÓN COSTA FUERA DE CONDUCTOR DE COBRE SUAVE CON AISLAMIENTO TERMOPLÁSTICO THW-LS/THHW-LS PARA 600 V, 75°C DE TEMPERATURA DE OPERACIÓN: CALIBRE 12 AWG, COLOR NEGRO, INCLUYE SUMINISTRO, ACARREO, CARGA Y DESCARGA DE MATERIAL DESDE EL ALMACÉN DEL CONTRATISTA AL SITIO DE INSTALACIÓN DE PLATAFORMA, MANO DE OBRA, EQUIPO, HERRAMIENTA, CONSUMIBLES, PRUEBAS DE CONTINUIDAD Y RESISTENCIA DE AISLAMIENTO, LIMPIEZA FINAL, RECOGER MATERIAL SOBRANTE Y EQUIPO DE SEÑALIZACIÓN.</t>
  </si>
  <si>
    <t>C3EXT-0207</t>
  </si>
  <si>
    <t>SUMINISTRO E INSTALACIÓN COSTA FUERA DE BRIDA CIEGA DE  3” Ø 600# ACERO AL CARBONO ASTM A105, ASME B16.5., INCLUYE: EMPAQUE Y ESPARRAGOS</t>
  </si>
  <si>
    <t>C3EXT-0210</t>
  </si>
  <si>
    <t>SUMINISTRO E INSTALACIÓN COSTA FUERA DE BRIDA CIEGA DE  2” Ø 600# ACERO AL CARBONO ASTM A105, ASME B16.5., INCLUYE: EMPAQUE Y ESPARRAGOS.</t>
  </si>
  <si>
    <t>C3EXT-0211</t>
  </si>
  <si>
    <t>SUMINISTRO E INSTALACIÓN COSTA FUERA DE BRIDA CIEGA DE  4” Ø 300# ACERO AL CARBONO ASTM A105, ASME B16.5., INCLUYE: EMPAQUE Y ESPARRAGOS.</t>
  </si>
  <si>
    <t>C3EXT-0212</t>
  </si>
  <si>
    <t>SUMINISTRO E INSTALACIÓN COSTA FUERA DE BRIDA CIEGA DE  4” Ø 600# ACERO AL CARBONO ASTM A105, ASME B16.5., INCLUYE: EMPAQUE Y ESPARRAGOS.</t>
  </si>
  <si>
    <t>C3EXT-0213</t>
  </si>
  <si>
    <t>SUMINISTRO E INSTALACIÓN COSTA FUERA DE BRIDA CIEGA DE 10” Ø 600# ACERO AL CARBONO ASTM A105, ASME B16.5., INCLUYE: EMPAQUE Y ESPARRAGOS.</t>
  </si>
  <si>
    <t>C3EXT-0214</t>
  </si>
  <si>
    <t>SERVICIO DE PROTOCOLOS DE PRUEBAS FAT ALCANCE: RECOPILACIÓN DE NÚMEROS DE SERIE, REVISIÓN CON EL CLIENTE LA CORRECTA   OPERACIÓN   DE LOS   EQUIPOS   REALIZANDO   PRUEBAS   DE FUNCIONALIDAD EN EL HARDWARE Y SOFTWARE MEDIANTE PROTOCOLOS DE PRUEBAS ELABORADOS PREVIAMENTE, ASEGURANDO CON ESTO LA FUNCIONALIDAD Y OPERACIÓN DE TODO EL SISTEMA   CONECTADO   DE ACUERDO CON LA ARQUITECTURA PROPUESTA.</t>
  </si>
  <si>
    <t>C3EXT-0215</t>
  </si>
  <si>
    <t>SERVICIO DE ASISTENCIA TECNICA PARA IDENTIFICAR EL ESTADO ACTUAL DEL SISTEMA DE INTERCOMUNICACIÓN Y VOCEO EXISTENTE. ALCANCES: LEVANTAMIENTO EN CAMPO DE LOS EQUIPOS EXISTENTES ,VERIFICACION DEL GABINETE EXISTENTE,VERIFICACION DE ESTADO EN LO FUNCIONAL Y OPERATIVO DE LAS ESTACIONES DE INTERCOMUNICACIÓN Y VOCEO EXISTENTES.</t>
  </si>
  <si>
    <t>C3EXT-0216</t>
  </si>
  <si>
    <t>SERVICIO DE INTERCONEXION, CONFIGURACION, PRUEBAS DE PRECOMISIONAMIENTO CON PERSONAL TECNICO ESPECIALIZADO DE GABINETE DIGITAL DE CONTROL PRINCIPAL IP (GDCP).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CONFIGURACION DE SERVIDOR PRINCIPAL CON LOS DISPOSITIVOS INTERNOS QUE INTEGRAN EL GABINETE, CONFIGURACION DE INTERFACES PARA INTERACCION DE SISTEMAS ANALOGOS A SWITCHES DE COMUNICACIÓN.</t>
  </si>
  <si>
    <t>C3EXT-0217</t>
  </si>
  <si>
    <t>SERVICIO DE INTERCONEXION, CONFIGURACION, PRUEBAS DE PRECOMISIONAMIENTO CON PERSONAL TECNICO ESPECIALIZADO DE GABINETE DIGITAL DE CONTROL DE EXPANSION.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CABLEADO DE EQUIPOS INTERNOS DEL GABINETE,  REMATES DE PATCH CORD DE SWITCH A PANEL DE PARCHEO CON PUERTOS RJ45, CONFIGURACION DE SWITCHES PARA COMUNICACIÓN CON LOS DISPOSITIVOS INTERNOS QUE INTEGRAN EL GABINETE, INCLUYENDO LICENCIAS Y ACCESORIOS EN ESQUEMA DE ALTA DISPONIBILIDAD INTERNA DEL GABINETE, CONFIGURACION DE INTERFAZ COMBINACION DE DATOS Y ENERGIA A SWITCHES DE COMUNICACIÓN.</t>
  </si>
  <si>
    <t>C3EXT-0218</t>
  </si>
  <si>
    <t>SERVICIO DE ASISTENCIA TECNICA PARA LA INSTALACION E INTERCONEXIÓN DE LOS EQUIPOS FITRE, CON PERSONAL TECNICO ESPECIALIZADO. ALCANCES: ASISTENCIA TECNICA, PARA LA INSTALACION DE LOS EQUIPOS DEL SISTEMA DE INTERCOMUNICACION Y VOCEO, CONFORMADOS POR: GABINETE PRINCIPAL, CAJA DE CONEXIONES CRCE, UNIDAD DE CAMPO, ESTACION DE VOCEO (INTERIOR, EXTERIOR, DE MESA Y GRUA), ALTAVOZ (INTERIOR PARED Y PLAFON, EXTERIOR), LUZ ESTROBOSCOPICA, BOTONERA DE ALARMAS, CABINA ACUSTICA,ASISTENCIA TECNICA, PARA LA INTERCONEXIÓN DE LOS EQUIPOS DEL SISTEMA DE INTERCOMUNICACION Y VOCEO, CONFORMADOS POR: GABINETE PRINCIPAL, CAJA DE CONEXIONES CRCE, UNIDAD DE CAMPO, ESTACION DE VOCEO (INTERIOR, EXTERIOR, DE MESA Y GRUA), ALTAVOZ (INTERIOR PARED Y PLAFON, EXTERIOR), LUZ ESTROBOSCOPICA, BOTONERA DE ALARMAS, CABINA ACUSTICA, VERIFICACION DE CONEXIONES DE LOS EQUIPOS QUE INTEGRAN EL SISTEMA.</t>
  </si>
  <si>
    <t>C3EXT-0219</t>
  </si>
  <si>
    <t>SERVICIO DE CONFIGURACION Y PRUEBAS DE PRECOMISIONAMIENTO DEL SISTEMA DE INTERCOMUNICACION Y VOCEO IP. ALCANCES: LEVANTAMIENTO EN CAMPO DE LOS EQUIPOS INSTALADOS, CONFIGURACION DE DIRECCIONES IP EN SERVIDOR, CONFIGURACION Y PUESTA A PUNTO DE SWITCHES DE ACCESO Y ACCESORIOS EN ESQUEMA DE ALTA DISPONIBILIDAD Y DE CONFORMIDAD CON SOLICITUD   Y NORMATIVIDAD DEL USUARIO FINAL, CONFIGURACIÓN DE DIRECCIONES IP DE ADMINISTRACIÓN EN SWITCHES,  CONFIGURACIÓN DE PUERTAS DE ENLACE  CREACIÓN DE VLAN´S, CONFIGURACIÓN DE PUERTO DE TRUNK (TRANSPORTE DE VARIAS VLANS), CONFIGURACIÓN DE LINEAS DE INTERCOMUNICACION,CONFIGURACION DE LINEA DE VOCEO, CONFIGURACION DE INTERFACES, CONFIGURACION ENTRE DISPOSITIVOS DE RED (SWITCHES) DEL SISTEMA DE INTERCOMUNICACION Y VOCEO, CONFIGURACION DE BOTONERAS DE ALARMA INTEGRADAS EN LA ESTACION MULTILINEA, CONFIGURACION DE UNIDADES DE CAMPO DE COMBINACION DE DATOS Y ENERGIA, CONFIGURACION E INTEGRACION DEL SISTEMA DE INTERCOMUNICACION Y VOCEO ANALOGICO EXISTENTE, PRUEBAS DE COMUNICACIÓN DE LOS EQUIPOS EN CAMPO (ESTACIONES DE INTERCOMUNICACION Y VOCEO VOIP, ESTACIONES MANUALES DE BOTONES DE ALARMAS, UNIDADES DE CAMPO DE COMBINACION DE DATOS Y ENERGIA Y ALTAVOCES), PRUEBA ENTRE DISPOSITIVOS DE RED (SWITCHES) DEL SISTEMA DE INTERCOMUNICACION Y VOCEO, DESARROLLO E INTEGRACION DE ALERTAS APARTIR DE CAMBIOS DE COLORES E INDICADORES PARPADEANTES, PARA MOSTRAR EL ESTADO DE LOS COMPONENTES DEL SISTEMA.</t>
  </si>
  <si>
    <t>C3EXT-0220</t>
  </si>
  <si>
    <t>SERVICIO DE PRUEBAS PREOPERACIONALES Y PUESTA EN OPERACIÓN DEL SISTEMA DE INTERCOMUNICACION Y VOCEO IP, INCLUYE: ELABORACION DE PROTOCOLO DE COMUNICACIONES DEL SISTEMA. ALCANCES DE PRUEBAS: PRUEBAS EN CAMPO DE LINEAS DE INTERCOMUNICACION,   PRUEBAS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PUESTA EN OPERACION EN CAMPO DE BOTONERAS DE ALARMA INTEGRADAS EN LA ESTACION MULTILINEA, PUESTA EN OPERACION EN CAMPO DE BOTONERAS DE ALARMA EXTERNAS, PUESTA EN OPERACION EN CAMPO DEL SISTEMA DE INTERCOMUNICACION Y VOCEO ANALOGICO EXISTENTE PARA LA CONVIVENCIA CON EL SISTEMA NUEVO IP,ELABORACION DE PROTOCOLO DE PRUEBAS PARA TODA LA SOLUCION DE LA PLATAFORMA SISTEMA DE COMUNICACIONES CON ALTA DISPONIBILIDAD.</t>
  </si>
  <si>
    <t>C3EXT-0221</t>
  </si>
  <si>
    <t>ADIESTRAMIENTO CON PERSONAL TECNICO ESPECIALIZADO (PARA DOS GUARDIAS DE PEMEX) PARA LA OPERACION, MANTENIMIENTO Y PROGRAMACION DEL SISTEMA DE INTERCOMUNICACION Y VOCEO IP. ALCANCES:  CURSO DE CAPACITACION AL PERSONAL OPERATIVO EN AREA PARA LA OPERACIÓN, MANTENIMIENTO Y PROGRAMACION BASICA DEL SISTEMA DE INTERCOMUNICACION Y VOCEO IP, ELABORACION Y ENTREGA DE INSTRUCTIVOS DE OPERACIÓN, ELABORACION Y ENTREGA DE MANUAL DE MANTENIMIENTO DE EQUIPOS.</t>
  </si>
  <si>
    <t>C3EXT-0222</t>
  </si>
  <si>
    <t>SERVICIO DE FUSIONADO A 48 HILOS DE F.O. CORRESPONDIENTE A 24 HILOS EN GABINETE PRINCIPAL Y 24 HILOS EN GABINETE DE EXPANSIÓN.  (INCLUYE: CONSUMIBLES, PIGTAIL, MANGAS) ALCANCES: PEINADO DE CABLES DE FIBRA OPTICA EN DISTRIBUIDOR DE FIBRA OPTICA, PREPARADO DE EMPALME DE FIBRA OPTICA CON MANGAS Y FERULAS, FUSIONADO DE FIBRA OPTICA.</t>
  </si>
  <si>
    <t>C3EXT-0223</t>
  </si>
  <si>
    <t>SERVICIO DE PRUEBAS DE MEDICION A 48 HILOS FIBRA OPTICA MONOMODO CON EQUIPO OTDR, CON PERSONAL CERTIFICADO.  CORRESPONDIENTE A 24 HILOS EN GABINETE PRINCIPAL Y 24 HILOS EN GABINETE DE EXPANSIÓN. ALCANCES:PRUEBA DE CONTINUIDAD A CADA HILO DE F.O. FUSIONADO.</t>
  </si>
  <si>
    <t>C3EXT-0224</t>
  </si>
  <si>
    <t>SUMINISTRO E INSTALACIÓN COSTA FUERA DE ESTACION MANUAL DE BOTONES DE ALARMAS, CON 03 BOTONES PULSADORES PARA ACTIVAR ALARMAS, CERTIFICACION ATEX. INCLUYE: TORNILLOS DE ACERO INOXIDABLE PARA FIJACION Y EMPAQUE DE SILICONA +60°C.</t>
  </si>
  <si>
    <t>C3EXT-0225</t>
  </si>
  <si>
    <t>SUMINISTRO E INSTALACIÓN COSTA FUERA DE BLOQUE DE DISTRIBUCION DE ENERGIA DE 1 POLO, 2 LINEAS, 2 CARGAS, 620 AMP. CU, 600 VCA., MONTAJE SUPERFICIAL., INCLUYE ACCESORIOS PARA SU INSTALACION. INCLUYE SUMINISTRO, ACARREO, CARGA Y DESCARGA DE MATERIAL DESDE EL ALMACEN DEL CONTRATISTA AL AL SITIO DE INSTALACION DE PLATAFORMA, MANO DE OBRA, EQUIPO Y HERRAMIENTA Y CONSUMIBLES, LIMPIEZA FINAL, RECOGER MATERIAL SOBRANTE Y EQUIPO DE SEÑALIZACION.</t>
  </si>
  <si>
    <t>C3EXT-0226</t>
  </si>
  <si>
    <t>SUMINISTRO E INSTALACIÓN COSTA FUERA DE  PANEL DE PARCHEO ÓPTICO (DISTRIBUIDOR DE FIBRA ÓPTICA) TIPO CHAROLA DESLIZABLE, CON CAPACIDAD DE 12 FIBRAS ÓPTICAS MONOMODO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</si>
  <si>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C3EXT-0227</t>
  </si>
  <si>
    <t>SUMINISTRO E INSTALACIÓN COSTA FUERA DE  PANEL DE PARCHEO CAT6A DE 48 PUERTOS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</si>
  <si>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C3EXT-0228</t>
  </si>
  <si>
    <t>SUMINISTRO E INSTALACIÓN COSTA FUERA DE ESTACIÓN DE CONTROL CON CAJA DOBLE DE PASO EFS DE 3/4", CON UNA TAPA DE DOS BOTONES Y DOS CIRCUITOS Y OTRA TAPA CON DOS LUCES PILOTO (COLOR VEDE Y ROJO) FABRICADA EN ALUMINIO LIBRE DE COBRE CON RECUBRIMIENTO EXTERIOR DE PVC E INTERIOR DE URETANO, 600 VCA SERVICIO PESADO PARA ÁREAS CLASIFICADAS CLASE I DIV. 2 GRUPOS B,C,D. 01 CAJA DOBLE: EFSC-272 SA DBR + 01 TAPA: 01 DSD-921 SA DBR + 01 TAPA: 01 DSD-947-J3 -J1 SA DBR; INCLUYE: ACARREO, CARGA Y DESCARGA DE MATERIAL DESDE EL ALMACÉN DEL CONTRATISTA AL SITIO DE INSTALACIÓN DE PLATAFORMA, MANO DE OBRA, EQUIPO, HERRAMIENTA Y CONSUMIBLES, LIMPIEZA FINAL, RECOGER MATERIAL SOBRANTE DEL ÁREA DE TRABAJO.</t>
  </si>
  <si>
    <t>C3EXT-0229</t>
  </si>
  <si>
    <t>SUMINISTRO E INSTALACIÓN COSTA FUERA DE COMBINACIÓN DE ESTACIÓN CON SELECTOR DE TRES POSICIONES MANUAL FUERA Y AUTOMÁTICO CON CAJA EFS CUERPO TERMINAL SENCILLA, FABRICADA EN ALUMINIO LIBRE DE COBRE CON RECUBRIMIENTO EXTERIOR DE PVC E INTERIOR DE URETANO, 600 VCA SERVICIO PESADO PARA ÁREAS CLASIFICADAS CLASE I DIV. 2 GRUPOS B,C,D. 01 CAJA SENCILLA: EFS-271 DBR + 01 TAPA: 01 DSD-925 SA DBR; INCLUYE: ACARREO, CARGA Y DESCARGA DE MATERIAL DESDE EL ALMACÉN DEL CONTRATISTA AL SITIO DE INSTALACIÓN DE PLATAFORMA, MANO DE OBRA, EQUIPO, HERRAMIENTA Y CONSUMIBLES, LIMPIEZA FINAL, RECOGER MATERIAL SOBRANTE DEL ÁREA DE TRABAJO.</t>
  </si>
  <si>
    <t>C3EXT-0230</t>
  </si>
  <si>
    <t>SUMINISTRO E INSTALACIÓN COSTA FUERA DE COPLE FLEXIBLE, DE 21MM 3/4" DE DIÁMETRO NOMINAL X 21" DE LONGITUD, DE LATÓN FORJADO CON MALLA TRENZADA DE BRONCE, CON RECUBRIMIENTO EXTERIOR DE PVC, PARA ÁREAS PELIGROSAS CLASE I, DIVISIÓN 1 &amp; 2, GRUPOS A, B, C, D, CONEXIÓN ROSCA MACHO EN AMBOS EXTREMOS; INCLUYE: ACARREO, CARGA Y DESCARGA DE MATERIAL DESDE EL ALMACÉN DEL CONTRATISTA AL SITIO DE INSTALACIÓN DE PLATAFORMA, MANO DE OBRA, EQUIPO, HERRAMIENTA Y CONSUMIBLES, LIMPIEZA FINAL, RECOGER MATERIAL SOBRANTE DEL ÁREA DE TRABAJO.</t>
  </si>
  <si>
    <t>C3EXT-0231</t>
  </si>
  <si>
    <t>SUMINISTRO E INSTALACIÓN COSTA FUERA DE CANAL ESTRUCTURAL (CE) DE ACERO AL CARBONO DE 102mm X 8.04kg/m ASTM A-572 gr.50; INCLUYE: ACARREO, CARGA Y DESCARGA DE MATERIAL DESDE EL ALMACÉN DEL CONTRATISTA AL SITIO DE INSTALACIÓN DE PLATAFORMA, MANO DE OBRA, EQUIPO, HERRAMIENTA Y CONSUMIBLES, LIMPIEZA FINAL, RECOGER MATERIAL SOBRANTE DEL ÁREA DE TRABAJO.</t>
  </si>
  <si>
    <t>C3EXT-0232</t>
  </si>
  <si>
    <t>SUMINISTRO E INSTALACIÓN COSTA FUERA DE CAJA DE REGISTRO, OVALADA, DE 35 mm(1 1/4") DIÁMETRO, TIPO: L, PARA ÁREAS NO PELIGROSAS, DE ALUMINIO LIBRE DE COBRE, ACABADO CON PINTURA EPÓXICA GRIS APLICADA ELECTROSTATICAMENTE, CON TAPA CIEGA, EMPAQUE Y TORNILLOS. PRUEBAS DE ACUERDO A UL Y CSA; INCLUYE: ACARREO, CARGA Y DESCARGA DE MATERIAL DESDE EL ALMACÉN DEL CONTRATISTA AL SITIO DE INSTALACIÓN DE PLATAFORMA, MANO DE OBRA, EQUIPO, HERRAMIENTA Y CONSUMIBLES, LIMPIEZA FINAL, RECOGER MATERIAL SOBRANTE DEL ÁREA DE TRABAJO.</t>
  </si>
  <si>
    <t>C3EXT-0233</t>
  </si>
  <si>
    <t>SUMINISTRO E INSTALACIÓN COSTA FUERA DE CABLE ARMADO TIPO MC CON CONDUCTORES DE COBRE SUAVE, AISLAMIENTO DE POLIETILENO DE CADENA CRUZADA (XLP), TIPO RHH/RHW-2, 90°C, 600 V, CON CUATRO (4) CONDUCTORES CALIBRE 2.08 MM2 172 (14 AWG) MÁS UN (1) CONDUCTOR CALIBRE 2.08 MM2 172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</si>
  <si>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C3EXT-0234</t>
  </si>
  <si>
    <t>SUMINISTRO E INSTALACIÓN COSTA FUERA DE CABLE ARMADO TIPO MC CON CONDUCTORES DE COBRE SUAVE, AISLAMIENTO DE POLIETILENO DE CADENA CRUZADA (XLP), TIPO RHH/RHW-2, 90°C, 600 V, CON SIETE (7) CONDUCTORES CALIBRE 2.08 MM2 (14 AWG) MÁS UN (1) CONDUCTOR CALIBRE 2.08 MM2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</si>
  <si>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C3EXT-0235</t>
  </si>
  <si>
    <t>SUMINISTRO E INSTALACIÓN COSTA FUERA DE CABLE ARMADO TIPO MC CON CONDUCTORES DE COBRE SUAVE, AISLAMIENTO DE POLIETILENO DE CADENA CRUZADA (XLP), TIPO RHH/RHW-2, 90°C, 600 V, CON TRES (3) CONDUCTORES CALIBRE 13.3 MM2 (6 AWG) MÁS UN (1) CONDUCTOR CALIBRE 8.37 MM2 (8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</si>
  <si>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C3EXT-0236</t>
  </si>
  <si>
    <t>SUMINISTRO E INSTALACIÓN COSTA FUERA DE CABLE ARMADO TIPO MC CON CONDUCTORES DE COBRE SUAVE, AISLAMIENTO DE POLIETILENO DE CADENA CRUZADA (XLP), TIPO RHH/RHW-2, 90°C, 600 V, CON TRES (3) CONDUCTORES CALIBRE 5.26 MM2 (10 AWG) MÁS UN (1) CONDUCTOR CALIBRE 5.26 MM2(10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</si>
  <si>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C3EXT-0237</t>
  </si>
  <si>
    <t>SUMINISTRO E INSTALACIÓN COSTA FUERA DE CABLE ARMADO TIPO MC CON CONDUCTORES DE COBRE SUAVE, AISLAMIENTO DE POLIETILENO DE CADENA CRUZADA (XLP), TIPO RHH/RHW-2, 90°C, 600 V, CON TRES (3) CONDUCTORES CALIBRE 107 MM2 (4/0 AWG) MÁS UN (1) CONDUCTOR CALIBRE 33.62 MM2 (2 AWG) DE PUESTA A TIERRA COLOR VERDE, CINTA REUNIDORA NO HIGROSCÓPICA, ARMADURA ENGARGOLADA DE ALUMINIO, CUBIERTA EXTERIOR DE PVC, PARA ÁREAS CLASIFICADAS CLASE I, DIVISIÓN 2; INCLUYE: ACARREO, CARGA Y DESCARGA DE MATERIAL DESDE EL ALMACÉN DEL CONTRATISTA AL SITIO DE INSTALACIÓN DE PLATAFORMA, MANO DE OBRA, EQUIPO, HERRAMIENTA Y CONSUMIBLES, LIMPIEZA FINAL, RECOGER MATERIAL SOBRANTE DEL ÁREA DE TRABAJO.</t>
  </si>
  <si>
    <t>C3EXT-0238</t>
  </si>
  <si>
    <t>SUMINISTRO E INSTALACIÓN COSTA FUERA DE CONECTOR TIPO TMCX DE ALUMINIO LIBRE DE COBRE CON RECUBRIMIENTO ELECTROGALVANIZADO Y CON RECUBRIMIENTO EXTERIOR DE PVC E INTERIOR DE URETANO, DIÁMETRO NOMINAL DE ( 1/2 " DIÁMETRO), EXTREMOS O.D. X ROSCADO MACHO (NPT), RANGO DE 11.176 mm (.440") A 16.51 mm(.650"), INCLUYE EMPAQUE DE NEOPRENO, ÁREAS CLASIFICADAS, CLASE I, DIVISIÓN 2, GRUPOS A, B, C, D, CAT.TMCX-165 DE 1/2" DIÁMETRO, DEBE CUMPLIR CON NRF-048-PEMEX ÚLTIMA EDICIÓN, UL LISTADO DE LA CUBIERTA EXTERIOR DE POLICLORURO DE VINILO (PVC);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</si>
  <si>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C3EXT-0239</t>
  </si>
  <si>
    <t>SUMINISTRO E INSTALACIÓN COSTA FUERA DE CONECTOR TIPO TMCX DE ALUMINIO LIBRE DE COBRE CON RECUBRIMIENTO ELECTROGALVANIZADO Y CON RECUBRIMIENTO EXTERIOR DE PVC E INTERIOR DE URETANO, DIÁMETRO NOMINAL DE (1" DIÁMETRO), EXTREMOS O.D. X ROSCADO MACHO (NPT), RANGO DE 20.32mm (.800") A 28.448 mm(1.120"), INCLUYE EMPAQUE DE NEOPRENO, ÁREAS CLASIFICADAS, CLASE I, DIVISIÓN 2, GRUPOS A, B, C, D, CAT.TMCX-3112 DE 1" DIÁMETRO. DEBE CUMPLIR CON NRF-048-PEMEX ÚLTIMA EDICIÓN, UL LISTADO DE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</si>
  <si>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C3EXT-0240</t>
  </si>
  <si>
    <t>SUMINISTRO E INSTALACIÓN COSTA FUERA DE CONECTOR TIPO TMCX DE ALUMINIO LIBRE DE COBRE CON RECUBRIMIENTO ELECTROGALVANIZADO Y CON RECUBRIMIENTO EXTERIOR DE PVC E INTERIOR DE URETANO, DIÁMETRO NOMINAL DE (2 1 /2" DIÁMETRO), EXTREMOS O.D. X ROSCADO MACHO (NPT), RANGO DE 49.022 2mm (1.930") A 62.738 mm(2.470"), INCLUYE EMPAQUE DE NEOPRENO, ÁREAS CLASIFICADAS, CLASE I, DIVISIÓN 2, GRUPOS A, B, C, D, CAT.TMCX-7247 DE 2 1/2" DIÁMETRO. DEBE CUMPLIR CON NRF-048-PEMEX ÚLTIMA EDICIÓN, UL LISTADO 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</si>
  <si>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C3EXT-0241</t>
  </si>
  <si>
    <t>SUMINISTRO E INSTALACIÓN COSTA FUERA DE CINCHO (FLEJE) DE ACERO INOXIDABLE GRADO 304, AJUSTABLE, CON CABEZA DE AUTO BLOQUEO, DE 5/16" (7.9 MM) DE ANCHO POR 14-1/4" (362 MM) DE LARGO, ESPESOR DE 0.010" (0.25 MM); INCLUYE: ACARREO, CARGA Y DESCARGA DE MATERIAL DESDE EL ALMACÉN DEL CONTRATISTA AL SITIO DE INSTALACIÓN DE PLATAFORMA, MANO DE OBRA, EQUIPO, HERRAMIENTA Y CONSUMIBLES, LIMPIEZA FINAL, RECOGER MATERIAL SOBRANTE DEL ÁREA DE TRABAJO.</t>
  </si>
  <si>
    <t>C3EXT-0242</t>
  </si>
  <si>
    <t>SUMINISTRO E INSTALACIÓN COSTA FUERA DE TORNILLO DE CABEZA HEXAGONAL DE 7.9mm DIÁMETRO X 25mm DE LONGITUD, (5/16" DIÁMETRO x 1" DE LONGITUD) EN MATERIAL DE BRONCE, INCLUYE: TUERCA, ROLDANA PLANA Y DE PRESIÓN; INCLUYE: ACARREO, CARGA Y DESCARGA DE MATERIAL DESDE EL ALMACÉN DEL CONTRATISTA AL SITIO DE INSTALACIÓN DE PLATAFORMA, MANO DE OBRA, EQUIPO, HERRAMIENTA Y CONSUMIBLES, LIMPIEZA FINAL, RECOGER MATERIAL SOBRANTE DEL ÁREA DE TRABAJO.</t>
  </si>
  <si>
    <t>C3EXT-0243</t>
  </si>
  <si>
    <t>SUMINISTRO E INSTALACIÓN COSTA FUERA DE BARRA DE COBRE ELECTROLÍTICO, DE 2" (50.80 MM) DE ANCHO X 10" (254.0 MM) DE LONGITUD X 1/4" (6.35 MM) DE ESPESOR, SIN BARRENOS, INCLUYE 02 AISLADORES DE BARRIL DE RESINA EPÓXICA, 19/15X25MM, 600V, INCLUYE ACCESORIOS DE FIJACIÓN DE AISLADORES CON LA BARRA; INCLUYE: ACARREO, CARGA Y DESCARGA DE MATERIAL DESDE EL ALMACÉN DEL CONTRATISTA AL SITIO DE INSTALACIÓN DE PLATAFORMA, MANO DE OBRA, EQUIPO, HERRAMIENTA Y CONSUMIBLES, LIMPIEZA FINAL, RECOGER MATERIAL SOBRANTE DEL ÁREA DE TRABAJO.</t>
  </si>
  <si>
    <t>C3EXT-0244</t>
  </si>
  <si>
    <t>SUMINISTRO E INSTALACIÓN COSTA FUERA DE LUMINARIA CON TECNOLOGÍA LED DE 43 WATTS, PARA OPERAR A 220 V, 60 HZ, TEMPERATURA DE COLOR 5000 K (BLANCO FRÍO), ÓPTICA TIPO 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ENTRADA ROSCADA DE 1 1/2” DIÁMETRO; INCLUYE: ACARREO, CARGA Y DESCARGA DE MATERIAL DESDE EL ALMACÉN DEL CONTRATISTA AL SITIO DE INSTALACIÓN DE PLATAFORMA, PRUEBAS DE FUNCIONAMIENTO, MANO DE OBRA, EQUIPO, HERRAMIENTA Y CONSUMIBLES, LIMPIEZA FINAL, RECOGER MATERIAL SOBRANTE DEL ÁREA DE TRABAJO.</t>
  </si>
  <si>
    <t>C3EXT-0245</t>
  </si>
  <si>
    <t>SUMINISTRO E INSTALACIÓN COSTA FUERA DE ABRAZADERA TIPO UÑA DE ACERO GALVANIZADO, DE 21 mm (3/4") DE DIÁMETRO, INCLUYE PIJA DE ACERO GALVANIZADO; INCLUYE: ACARREO, CARGA Y DESCARGA DE MATERIAL DESDE EL ALMACÉN DEL CONTRATISTA AL SITIO DE INSTALACIÓN DE PLATAFORMA, MANO DE OBRA, EQUIPO, HERRAMIENTA Y CONSUMIBLES, LIMPIEZA FINAL, RECOGER MATERIAL SOBRANTE DEL ÁREA DE TRABAJO.</t>
  </si>
  <si>
    <t>C3EXT-0246</t>
  </si>
  <si>
    <t>SUMINISTRO E INSTALACIÓN COSTA FUERA DE NIPLE DE ALUMINIO LIBRE DE COBRE CON RECUBRIMIENTO DE URETANO DE 2 MIL DE PULGADA DE ESPESOR, DEBERÁ CUMPLIR DE ACUERDO A NEMA RN1, DE 41 mm (1 1/2”) DIÁMETRO; INCLUYE: ACARREO, CARGA Y DESCARGA DE MATERIAL DESDE EL ALMACÉN DEL CONTRATISTA AL SITIO DE INSTALACIÓN DE PLATAFORMA, MANO DE OBRA, EQUIPO, HERRAMIENTA Y CONSUMIBLES, LIMPIEZA FINAL, RECOGER MATERIAL SOBRANTE DEL ÁREA DE TRABAJO.</t>
  </si>
  <si>
    <t>C3EXT-0247</t>
  </si>
  <si>
    <t>SUMINISTRO E INSTALACIÓN COSTA FUERA DE REDUCCIÓN BUSHING DE 41mm A 16mm (1 1/2” A 1/2”) DE DIÁMETRO, DE ALUMINIO LIBRE DE COBRE CON RECUBRIMIENTO DE URETANO DE 2 MILÍMETROS DE PULGADA DE ESPESOR, DEBERÁ CUMPLIR DE ACUERDO A NEMA RN1; INCLUYE: ACARREO, CARGA Y DESCARGA DE MATERIAL DESDE EL ALMACÉN DEL CONTRATISTA AL SITIO DE INSTALACIÓN DE PLATAFORMA, MANO DE OBRA, EQUIPO, HERRAMIENTA Y CONSUMIBLES, LIMPIEZA FINAL, RECOGER MATERIAL SOBRANTE DEL ÁREA DE TRABAJO.</t>
  </si>
  <si>
    <t>C3EXT-0248</t>
  </si>
  <si>
    <t>SUMINISTRO E INSTALACIÓN COSTA FUERA DE CONDUCTOR MONOPOLAR CABLEADO TIPO B DE COBRE SUAVE DE BAJA TENSIÓN CON AISLAMIENTO DE PVC TIPO THW-LS PARA 600 VOLTS, TEMPERATURA MÁXIMA EN EL CONDUCTOR EN AMBIENTE HÚMEDO, 75°C., AMBIENTE SECO 90°C. CALIBRE No. 14 AWG. COLOR NEGRO;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</si>
  <si>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C3EXT-0249</t>
  </si>
  <si>
    <t>SUMINISTRO E INSTALACIÓN COSTA FUERA DE CONDUCTOR MONOPOLAR CABLEADO TIPO B DE COBRE SUAVE DE BAJA TENSIÓN CON AISLAMIENTO DE PVC TIPO THW-LS PARA 600 VOLTS, TEMPERATURA MÁXIMA EN EL CONDUCTOR EN AMBIENTE HÚMEDO, 75°C., AMBIENTE SECO 90°C. CALIBRE No. 14 AWG. AZUL;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</si>
  <si>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C3EXT-0250</t>
  </si>
  <si>
    <t>SUMINISTRO E INSTALACIÓN COSTA FUERA DE NIPLE CONDUIT DE ALUMINIO LIBRE DE COBRE DE DESIGNACIÓN 21mm (3/4" DIÁMETRO) X 6" DE LONGITUD, CON RECUBRIMIENTO EXTERIOR DE PVC DE 40 MILÉSIMAS DE PULGADA Y RECUBRIMIENTO INTERIOR DE URETANO DE 2 MILÉSIMAS DE PULGADA; INCLUYE: ACARREO, CARGA Y DESCARGA DE MATERIAL DESDE EL ALMACÉN DEL CONTRATISTA AL SITIO DE INSTALACIÓN DE PLATAFORMA, MANO DE OBRA, EQUIPO, HERRAMIENTA Y CONSUMIBLES, LIMPIEZA FINAL, RECOGER MATERIAL SOBRANTE DEL ÁREA DE TRABAJO.</t>
  </si>
  <si>
    <t>C3EXT-0253</t>
  </si>
  <si>
    <t>SUMINISTRO E INSTALACIÓN COSTA FUERA DE COPLE DE ACERO AL CARBONO ASTM-A36, DE 1 1/2" DIÁMETRO SIN ROSCA; INCLUYE: ACARREO, CARGA Y DESCARGA DE MATERIAL DESDE EL ALMACÉN DEL CONTRATISTA AL SITIO DE INSTALACIÓN DE PLATAFORMA, MANO DE OBRA, EQUIPO, HERRAMIENTA Y CONSUMIBLES, LIMPIEZA FINAL, RECOGER MATERIAL SOBRANTE DEL ÁREA DE TRABAJO.</t>
  </si>
  <si>
    <t>C3EXT-0254</t>
  </si>
  <si>
    <t>SUMINISTRO E INSTALACIÓN COSTA FUERA DE ABRAZADERA, TIPO UÑA, DE 3/4" TROQUELADA DE ALUMINIO LIBRE DE COBRE CON RECUBRIMIENTO DE PVC, PARA FIJACIÓN DE TUBERÍA CONDUIT, INCLUYE: TORNILLO, TIPO PIJA PARA LÁMINA DE CABEZA; INCLUYE: ACARREO, CARGA Y DESCARGA DE MATERIAL DESDE EL ALMACÉN DEL CONTRATISTA AL SITIO DE INSTALACIÓN DE PLATAFORMA, MANO DE OBRA, EQUIPO, HERRAMIENTA Y CONSUMIBLES, LIMPIEZA FINAL, RECOGER MATERIAL SOBRANTE DEL ÁREA DE TRABAJO.</t>
  </si>
  <si>
    <t>C3EXT-0255</t>
  </si>
  <si>
    <t>SUMINISTRO E INSTALACIÓN COSTA FUERA DE ESPÁRRAGO ASTM A 193 Gr. B7M RECUBRIMIENTO NIC-CO DE 7/8" DIÁMETRO x 4 3/4"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</si>
  <si>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C3EXT-0256</t>
  </si>
  <si>
    <t>SUMINISTRO E INSTALACIÓN COSTA FUERA DE BRIDA CIEGA DE ACERO AL CARBONO, ASTM A A105 CLASE 150# R.F. DE 1 1/2" DIÁMETRO; INCLUYE: ACARREO, CARGA Y DESCARGA DE MATERIAL DESDE EL ALMACÉN DEL CONTRATISTA AL SITIO DE INSTALACIÓN DE PLATAFORMA, MANO DE OBRA, EQUIPO, HERRAMIENTA Y CONSUMIBLES, LIMPIEZA FINAL, RECOGER MATERIAL SOBRANTE DEL ÁREA DE TRABAJO.</t>
  </si>
  <si>
    <t>C3EXT-0257</t>
  </si>
  <si>
    <t>SUMINISTRO E INSTALACIÓN COSTA FUERA DE ESPÁRRAGO ASTM A 193 Gr. B7M RECUBRIMIENTO NIC-CO DE 1/2" DIÁMETRO x 3" DE LONGITUD, CON 02 TUERCAS HEXAGONALES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</si>
  <si>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C3EXT-0258</t>
  </si>
  <si>
    <t>SUMINISTRO E INSTALACIÓN COSTA FUERA DE ESPÁRRAGO ASTM A 193 Gr. B7M RECUBRIMIENTO NIC-CO DE 3/4" DIÁMETRO x 4 1/4"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</si>
  <si>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C3EXT-0259</t>
  </si>
  <si>
    <t>SUMINISTRO E INSTALACIÓN COSTA FUERA DE ESPÁRRAGO ASTM A 193 Gr. B7M RECUBRIMIENTO NIC-CO DE 5/8" DIÁMETRO x 3 1/2"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</si>
  <si>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C3EXT-0260</t>
  </si>
  <si>
    <t>SUMINISTRO E INSTALACIÓN COSTA FUERA DE ESPÁRRAGO ASTM A 193 Gr. 8M DE 1/2" DIÁMETRO x 2 3/4" DE LONGITUD. CON 02 TUERCAS HEXAGONALES DE ASTM A 194 Gr. 8M; INCLUYE: ACARREO, CARGA Y DESCARGA DE MATERIAL DESDE EL ALMACÉN DEL CONTRATISTA AL SITIO DE INSTALACIÓN DE PLATAFORMA, MANO DE OBRA, EQUIPO, HERRAMIENTA Y CONSUMIBLES, LIMPIEZA FINAL, RECOGER MATERIAL SOBRANTE DEL ÁREA DE TRABAJO.</t>
  </si>
  <si>
    <t>C3EXT-0261</t>
  </si>
  <si>
    <t>SUMINISTRO E INSTALACIÓN COSTA FUERA DE TE ENVOLVENTE DE 4" X 4" CON BRIDA LOCK-O-RING CÉDULA STD. PARA STOPPLE ASTM CLASE 150# R.F; INCLUYE: ACARREO, CARGA Y DESCARGA DE MATERIAL DESDE EL ALMACÉN DEL CONTRATISTA AL SITIO DE INSTALACIÓN DE PLATAFORMA, MANO DE OBRA, EQUIPO, HERRAMIENTA Y CONSUMIBLES, LIMPIEZA FINAL, RECOGER MATERIAL SOBRANTE DEL ÁREA DE TRABAJO.</t>
  </si>
  <si>
    <t>C3EXT-0262</t>
  </si>
  <si>
    <t>SUMINISTRO E INSTALACIÓN COSTA FUERA DE ESPÁRRAGO ASTM A 193 Gr. B7M RECUBRIMIENTO NIC-CO DE 5/8" DIÁMETRO x 3 3/4" DE LONGITUD, CON 02 TUERCAS HEXAGONALES ASTM A 194 Gr. 2HM RECUBRIMIENTO NIC-COB; INCLUYE: ACARREO, CARGA Y DESCARGA DE MATERIAL DESDE EL ALMACÉN DEL CONTRATISTA AL SITIO DE INSTALACIÓN DE PLATAFORMA, MANO DE OBRA, EQUIPO, HERRAMIENTA Y CONSUMIBLES, LIMPIEZA FINAL, RECOGER MATERIAL SOBRANTE DEL ÁREA DE TRABAJO.</t>
  </si>
  <si>
    <t>C3EXT-0263</t>
  </si>
  <si>
    <t>SUMINISTRO E INSTALACIÓN COSTA FUERA DE BRIDA CIEGA DE ACERO AL CARBONO ASTM A105 CLASE 150# R.F. DE 3" DE DIÁMETRO; INCLUYE: ACARREO, CARGA Y DESCARGA DE MATERIAL DESDE EL ALMACÉN DEL CONTRATISTA AL SITIO DE INSTALACIÓN DE PLATAFORMA, MANO DE OBRA, EQUIPO, HERRAMIENTA Y CONSUMIBLES, LIMPIEZA FINAL, RECOGER MATERIAL SOBRANTE DEL ÁREA DE TRABAJO.</t>
  </si>
  <si>
    <t>C3EXT-0264</t>
  </si>
  <si>
    <t>SERVICIO COSTA FUERA DE STOPPLE LINEA DE 4" DIÁMETRO; INCLUYE: ACARREO, CARGA Y DESCARGA DE MATERIAL DESDE EL ALMACÉN DEL CONTRATISTA AL SITIO DE INSTALACIÓN DE PLATAFORMA, MANO DE OBRA, EQUIPO, HERRAMIENTA Y CONSUMIBLES, LIMPIEZA FINAL, RECOGER MATERIAL SOBRANTE DEL ÁREA DE TRABAJO.</t>
  </si>
  <si>
    <t>C3EXT-0265</t>
  </si>
  <si>
    <t>DISEÑO, PROCURA, FABRICACIÓN, PRUEBAS FAT, TRANSPORTE, EMBARQUE, IZAJE, MONTAJE, ALINEACIÓN Y COLOCACIÓN EN SITIO DE LA PLANTA DE TRATAMIENTO DE AGUAS CONGÉNITAS PA-5600 C PARA PLATAFORMA CB-LIT-A DEL C.P. LITORAL-A CONFORME A LA BASES DE DISEÑO, BD-CB-LIT-A-A-001_REV.0 Y FILOSOFIA DE OPERACIÓN: FO-CB-LIT-A-A-014_REV.0.</t>
  </si>
  <si>
    <t>PAQUETE</t>
  </si>
  <si>
    <t>C3EXT-0266</t>
  </si>
  <si>
    <t>SERVICIO DE RECONFIGURACIÓN, PRUEBAS EN SITIO E INTEGRACIÓN DEL SISTEMA DIGITAL DE MONITOREO Y CONTROL (SDMC)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TECNOLOGIA DEL FABRICANTE LA FILOSOFÍA DE OPERACIÓN (FO-CB-LIT-A-A-014_REV.0) Y LOGICA DEL SISTEMA EXISTENTE, INCLUYE CONFIGURACIÓN, REPROGRAMACIÓN, ACTUALIZACIÓN DE GRÁFICOS DINÁMICOS, PROTOCOLOS DE PRUEBAS, CONSUMIBLES, MANO DE OBRA ESPECIALIZADA, RESPALDO DE LÓGICA, PRUEBAS DE COMUNICACIÓN Y PUESTA EN OPERACIÓN.</t>
  </si>
  <si>
    <t>C3EXT-0267</t>
  </si>
  <si>
    <t>SERVICIO DE RECONFIGURACIÓN, PRUEBAS EN SITIO E INTEGRACIÓN DEL SISTEMA PARO POR EMERGENCIA (SPPE)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TECNOLOGÍA DEL FABRICANTE LA FILOSOFÍA DE OPERACIÓN (FO-CB-LIT-A-A-014_REV.0) Y LOGÍCA DEL SISTEMA EXISTENTE, INCLUYE CONFIGURACIÓN, REPROGRAMACIÓN, ACTUALIZACIÓN DE GRÁFICOS DINÁMICOS, PROTOCOLOS DE PRUEBAS, CONSUMIBLES, MANO DE OBRA ESPECIALIZADA, RESPALDO DE LÓGICA, PRUEBAS DE COMUNICACIÓN Y PUESTA EN OPERACIÓN.</t>
  </si>
  <si>
    <t>C3EXT-0268</t>
  </si>
  <si>
    <t>SERVICIO COSTA FUERA DE ANÁLISIS DE TRANSFERENCIA DE CALOR Y CÁLCULO DE ESPESOR MÍNIMO REQUERIDO PARA LA INSTALACIÓN DE ACCESORIOS O ENVOLVENTES METÁLICAS DE REFUERZOS EN LÍNEAS EN OPERACIÓN DE DIFERENTES DIÁMETROS EXISTENTES.</t>
  </si>
  <si>
    <t>C3EXT-0269</t>
  </si>
  <si>
    <t>SUMINISTRO E INSTALACIÓN COSTA FUERA DE ESTROBO (ES-1) DE 1 1/2" DIÁMETRO X 34.07 PIES DE LONGITUD (10385 MM) CON CABLE TIPO CASCABEL SERIE 3 X 36 CON ALMA DE ACERO, ARADO EXTRAMEJORADO EN ACABADO GALVANIZADO (CARGA DE RUPTURA 103 TON); INCLUYE: ACARREO, CARGA Y DESCARGA DE MATERIAL DESDE EL ALMACÉN DEL CONTRATISTA AL SITIO DE INSTALACIÓN DE PLATAFORMA, MANO DE OBRA, EQUIPO, HERRAMIENTA Y CONSUMIBLES, LIMPIEZA FINAL, RECOGER MATERIAL SOBRANTE DEL ÁREA DE TRABAJO.</t>
  </si>
  <si>
    <t>C3EXT-0270</t>
  </si>
  <si>
    <t>SUMINISTRO E INSTALACIÓN COSTA FUERA DE ESTROBO (ES-2) DE 1" DIÁMETRO X 34.36 PIES DE LONGITUD (10474 MM) CON CABLE TIPO CASCABEL SERIE 3 X 36 CON ALMA DE ACERO, ARADO EXTRA MEJORADO EN ACABADO GALVANIZADO (CARGA DE RUPTURA 47 TON); INCLUYE: ACARREO, CARGA Y DESCARGA DE MATERIAL DESDE EL ALMACÉN DEL CONTRATISTA AL SITIO DE INSTALACIÓN DE PLATAFORMA, MANO DE OBRA, EQUIPO, HERRAMIENTA Y CONSUMIBLES, LIMPIEZA FINAL, RECOGER MATERIAL SOBRANTE DEL ÁREA DE TRABAJO.</t>
  </si>
  <si>
    <t>C3EXT-0271</t>
  </si>
  <si>
    <t>SERVICIO DE PRUEBA DE CARGA Y CERTIFICACIÓN DE BARRA ESPACIADORA DE IZAJE PARA SKID DE PLANTA TRATADORA DE AGUAS CONGENITAS.</t>
  </si>
  <si>
    <t>C3EXT-0274</t>
  </si>
  <si>
    <t>SUMINISTRO E INSTALACIÓN COSTA FUERA DE LUMINARIA LED DE 48 W, 110 V. CON LENTE DE ACRÍLICO, MONTAJE DE SOBREPONER EN TECHO, A UNA ALTURA DE 3.00 M. S.N.P.T.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ELEVACIÓN DE LUMINARIA HASTA SITIO DE INSTALACIÓN, LIMPIEZA FINAL, RECOGER MATERIAL SOBRANTE DEL AREA DE TRABAJO.</t>
  </si>
  <si>
    <t>C3EXT-0276</t>
  </si>
  <si>
    <t>INTERCONEXIÓN, PRUEBAS PREOPERACIONALES, PUESTA EN OPERACIÓN Y PRUEBAS DE DESEMPEÑO DE PLANTA DE TRATAMIENTO DE AGUAS CONGÉNITAS PA-5600 C EN PLATAFORMA CB-LIT-A DEL C.P. LITORAL-A CONFORME A LA BASES DE DISEÑO, BD-CB-LIT-A-A-001_REV.0 Y FILOSOFÍA DE OPERACIÓN: FO-CB-LIT-A-A-014_REV.0   INCLUYE: ASISTENCIA TÉCNICA PARA LA INSTALACIÓN, INTERCONEXIÓN, PRUEBAS PREOPERACIONALES, PUESTA EN OPERACIÓN DEL EQUIPO.</t>
  </si>
  <si>
    <t>C3EXT-0277</t>
  </si>
  <si>
    <t>SUMINISTRO, CARGA, ACARREO, DESCARGA Y PUESTA EN SITIO COSTA FUERA DE  BRIDA CIEGA DE 6” DE DIAMETRO NOMINAL, DE ACERO AL CARBONO CLASE 600# R.F. ASTM A105. DIMENSIONES DE ACUERDO CON ASME B16.5. PARA SERVICIO AMARGO.</t>
  </si>
  <si>
    <t>C3EXT-0278</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</si>
  <si>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</si>
  <si>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</si>
  <si>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C3EXT-0963</t>
  </si>
  <si>
    <t>SUMINISTRO, CARGA, ACARREO, DESCARGA Y PUESTA EN SITIO COSTA FUERA DE TORNILLO DE ACERO GALVANIZADO 31 MM DE DIAMETRO X 241 MM DE LONGITUD. ASTM A193 GR B7M TUERCAS HEXAGONALES ASTM A 194 GR 2HM ROLDANAS DE PRESION ASTM F 436 TIPO 3, CON RECUBRIIENTO CADMINIZADO CLASE 25 TIPO II STD. ASME B766.</t>
  </si>
  <si>
    <t>C3EXT-0283</t>
  </si>
  <si>
    <t>SUMINISTRO, CARGA, ACARREO, DESCARGA Y PUESTA EN SITIO COSTA FUERA DE ABRAZADERA TENSORA A BASE DE SOLERA DE 25 mm x 6 mm ESP. PARA TUBERIA DE 48 MM DE Ø.</t>
  </si>
  <si>
    <t>C3EXT-0286</t>
  </si>
  <si>
    <t>SUMINISTRO, CARGA, ACARREO, DESCARGA Y PUESTA EN SITIO COSTA FUERA DE ABRAZADERA TENSORA A BASE DE SOLERA DE 25 mm x 3 mm ESP. PARA TUBERIA DE 48 MM DE Ø.</t>
  </si>
  <si>
    <t>C3EXT-0287</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</si>
  <si>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</si>
  <si>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</si>
  <si>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DE 12” DE DIAMETRO NOMINAL CLASE 600# R.F.</t>
  </si>
  <si>
    <t>C3EXT-0289</t>
  </si>
  <si>
    <t>8C-11</t>
  </si>
  <si>
    <t>GIROCOMPAS CON SENSOR DE MOVIMIENTO, PARA MEDICIÓN DE GIRO, PITCH Y ROLL CON PRECISIÓN SURVEY. INCLUYE PERSONAL ESPECIALIZADO, MOVILIZACIÓN Y DESMOVILIZACIÓN DEL SITIO DE ORIGEN O RESGUARDO AL SITIO DE EMBARQUE Y VICEVERSA.</t>
  </si>
  <si>
    <t>BME-3801-037-2023</t>
  </si>
  <si>
    <t>OT-GRZ-801-23-013.1-TENTOK-A</t>
  </si>
  <si>
    <t>C5EXT-0010</t>
  </si>
  <si>
    <t>013.1-TENTOK-A</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</si>
  <si>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</si>
  <si>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</si>
  <si>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BME-3801-038-2023</t>
  </si>
  <si>
    <t>OT-GRZ-801-24-09.1- Atoyatl-A</t>
  </si>
  <si>
    <t>C3EXT-0976</t>
  </si>
  <si>
    <t>09.1-ATOYATL-A</t>
  </si>
  <si>
    <t>C-12</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</si>
  <si>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</si>
  <si>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HD-811.0003-YAXCHE-C-P-001, RANGO 0 – 25 KG/CM2.</t>
  </si>
  <si>
    <t>C3EXT-0395</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</si>
  <si>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</si>
  <si>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HD-811.0003-YAXCHE-C-P-001 RANGO  0 – 16 KG/CM2.</t>
  </si>
  <si>
    <t>C3EXT-0436</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</si>
  <si>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</si>
  <si>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</si>
  <si>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C3EXT-0335</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</si>
  <si>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</si>
  <si>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</si>
  <si>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C3EXT-0337</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</si>
  <si>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</si>
  <si>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TRIM-10, LOS MATERIALES DEBEN DE CUMPLIR CON ANSI / NACE MR-0175, ISO 15156-1 Y 2, Y EL ESTANDAR PEMEX-EST-TD-142-2022 Ó VERSION ACTUAL,  DE 6" DE DIAMETRO, CLASE 600.</t>
  </si>
  <si>
    <t>C3EXT-0350</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</si>
  <si>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2" DE DIAMETRO  X 24" LONGITUD.</t>
  </si>
  <si>
    <t>C3EXT-0297</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</si>
  <si>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</si>
  <si>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</si>
  <si>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C3EXT-0371</t>
  </si>
  <si>
    <t>16C-12</t>
  </si>
  <si>
    <t>SUMINISTRO, CARGA, ACARREO, DESCARGA Y PUESTA EN SITIO COSTA FUERA DE TUBING DE 1/4" DE DIAMETRO, DE ACERO INOXIDABLE 316L, SIN COSTURA, ESPESOR DE 0.065" ASTM A269 Y CON CUBIERTA DE MATERIAL DE HULE (VULCANIZADO).</t>
  </si>
  <si>
    <t>C3EXT-0401</t>
  </si>
  <si>
    <t>17C-12</t>
  </si>
  <si>
    <t>SUMINISTRO, CARGA, ACARREO, DESCARGA Y PUESTA EN SITIO COSTA FUERA DE VÁLVULA DE AGUJA HEMBRA DE 1/2" Ø NPT, CUERPO, VÁSTAGO Y ASIENTO DE ACERO INOXIDABLE 316L DE 10000#.</t>
  </si>
  <si>
    <t>C3EXT-0403</t>
  </si>
  <si>
    <t>18C-12</t>
  </si>
  <si>
    <t>SUMINISTRO, CARGA, ACARREO, DESCARGA Y PUESTA EN SITIO COSTA FUERA DE VÁLVULA CHECK DE 1/2"Ø O.D.X 1/2"Ø O.D. DE ACERO INOXIDABLE 316 6000#.</t>
  </si>
  <si>
    <t>C3EXT-0404</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</si>
  <si>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</si>
  <si>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C3EXT-0302</t>
  </si>
  <si>
    <t>19C-12</t>
  </si>
  <si>
    <t>SUMINISTRO, CARGA, ACARREO, DESCARGA Y PUESTA EN SITIO COSTA FUERA DE TE CONECTOR DE 1/4" O.D. X 1/4" O.D. X 1/4" O.D. DE ACERO INOXIDABLE 316L, ALTO SELLO Y DOBLE FERULA, ASTM A182/ASME SA-182.</t>
  </si>
  <si>
    <t>C3EXT-0406</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</si>
  <si>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</si>
  <si>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</si>
  <si>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C3EXT-0290</t>
  </si>
  <si>
    <t>20C-12</t>
  </si>
  <si>
    <t>SUMINISTRO, CARGA, ACARREO, DESCARGA Y PUESTA EN SITIO COSTA FUERA DE CONECTOR MACHO DE 1"Ø NPT X 1/2" O.D., DE ACERO INOXIDABLE 316L, ALTO SELLO Y DOBLE FERULA, ASTM A276/ASME SA479.</t>
  </si>
  <si>
    <t>C3EXT-0408</t>
  </si>
  <si>
    <t>21C-12</t>
  </si>
  <si>
    <t>SUMINISTRO, CARGA, ACARREO, DESCARGA Y PUESTA EN SITIO COSTA FUERA DE CONECTOR REDUCTOR MACHO DE 1/2"Ø NPT X 1/4" O.D., DE ACERO INOXIDABLE 316L, ALTO SELLO Y DOBLE FERULA, ASTM A276/ASME SA479.</t>
  </si>
  <si>
    <t>C3EXT-0409</t>
  </si>
  <si>
    <t>22C-12</t>
  </si>
  <si>
    <t>SUMINISTRO, CARGA, ACARREO, DESCARGA Y PUESTA EN SITIO COSTA FUERA DE CONECTOR HEMBRA DE 1/2"Ø NPTF X 1/4" O.D., DE ACERO INOXIDABLE 316L, ALTO SELLO Y DOBLE FERULA, ASTM A276/ASME SA479.</t>
  </si>
  <si>
    <t>C3EXT-0410</t>
  </si>
  <si>
    <t>MOVILIZACION  EQUIPO DE BUCEO DE SUPERFICIE (PARA 08 BUZOS y 01 CAMARA DE DESCOMPRESION)</t>
  </si>
  <si>
    <t>EVENTO</t>
  </si>
  <si>
    <t>C3EXT-0308</t>
  </si>
  <si>
    <t>DESMOVILIZACION EQUIPO DE BUCEO DE SUPERFICIE (PARA 08 BUZOS y 01 CAMARA DE DESCOMPRESION)</t>
  </si>
  <si>
    <t>C3EXT-0309</t>
  </si>
  <si>
    <t>23C-12</t>
  </si>
  <si>
    <t>SUMINISTRO, CARGA, ACARREO, DESCARGA Y PUESTA EN SITIO COSTA FUERA DE CONECTOR HEMBRA DE 1/2"Ø NPTF X 3/8" O.D., DE ACERO INOXIDABLE 316L, ALTO SELLO Y DOBLE FERULA, ASTM A276/ASME SA479.</t>
  </si>
  <si>
    <t>C3EXT-0411</t>
  </si>
  <si>
    <t>24C-12</t>
  </si>
  <si>
    <t>SUMINISTRO, CARGA, ACARREO, DESCARGA Y PUESTA EN SITIO COSTA FUERA DE CONECTOR UNIÓN PASAMUROS DE 3/8" O.D. X 3/8" O.D. DE ACERO INOXIDABLE 316L, ALTO SELLO DE DOBLE FERULA, ASTM A276/ASME SA479.</t>
  </si>
  <si>
    <t>C3EXT-0413</t>
  </si>
  <si>
    <t>25C-12</t>
  </si>
  <si>
    <t>SUMINISTRO, CARGA, ACARREO, DESCARGA Y PUESTA EN SITIO COSTA FUERA DE TAPÓN TIPO O.D. DE 1/4", DE ACERO INOXIDABLE 316L, ASTM A276/ASME SA479.</t>
  </si>
  <si>
    <t>C3EXT-0414</t>
  </si>
  <si>
    <t>SUMINISTRO, CARGA, ACARREO, DESCARGA Y PUESTA EN SITIO COSTA FUERA DE TORNILLO CABEZA HEXAGONAL DE ACERO INOXIDABLE GRADO 316, CUERDA CORRIDA INCLUYE : 1 TUERCA HEXAGONAL, 2 ARANDELAS PLANAS Y 1 ARANDELA DE PRESIÓN DEL MISMO MATERIAL DEL TORNILLO, DE 3/8" DE DIÁMETRO X 2" DE LONGITUD.</t>
  </si>
  <si>
    <t>C3EXT-0314</t>
  </si>
  <si>
    <t>26C-12</t>
  </si>
  <si>
    <t>SUMINISTRO, CARGA, ACARREO, DESCARGA Y PUESTA EN SITIO COSTA FUERA DE TAPÓN TIPO O.D. DE 1/2", DE ACERO INOXIDABLE 316L, ASTM A276/ASME SA479.</t>
  </si>
  <si>
    <t>C3EXT-0416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</si>
  <si>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1/2" DE DIAMETRO X 7" LONGITUD.</t>
  </si>
  <si>
    <t>C3EXT-0316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</si>
  <si>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1/4" DE DIAMETRO X 6" LONGITUD.</t>
  </si>
  <si>
    <t>C3EXT-0317</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</si>
  <si>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3/8" DE DIAMETRO X 4" LONGITUD.</t>
  </si>
  <si>
    <t>C3EXT-0318</t>
  </si>
  <si>
    <t>SUMINISTRO, CARGA, ACARREO, DESCARGA Y PUESTA EN SITIO COSTA FUERA DE ESPÁRRAGO DE ACERO AL CARBON ASTM A193 GR. B7, ROSCA ASME B1.1 CLASE 2A, CON 2 TUERCAS HEXAGONALES DE ACERO AL CARBONO ASTM A194 GR. 2H, ROSCA ASME B1.1 CLASE 2A, CON RECUBRIMIENTO A BASE DE CADMIO (25 MICRAS DE ESPESOR ASTM B766), LOS MATERIALES DEBEN CUMPLIR CON EL ESTÁNDAR PEMEX-EST-TD-027-2022, DE 5/8” DE DIAMETRO X 3 5/8" DE LONGITUD.</t>
  </si>
  <si>
    <t>C3EXT-0319</t>
  </si>
  <si>
    <t>SUMINISTRO, CARGA, ACARREO, DESCARGA Y PUESTA EN SITIO COSTA FUERA DE ESPÁRRAGO DE ACERO AL CARBON ASTM A193 GR. B7 , CON TUERCAS Y CONTRATUERCAS HEXAGONALES A-194 GR. 2H Y DOS ROLDANAS DE PRESION F 436 TIPO 3, EL RECUBRIMIENTO SERÁ A BASE DE CADMIO POR ELECTRODEPOSITO, DE 3/4" DE DIAMETRO X 12" DE LONGITUD.</t>
  </si>
  <si>
    <t>C3EXT-0320</t>
  </si>
  <si>
    <t>27C-12</t>
  </si>
  <si>
    <t>SUMINISTRO, CARGA, ACARREO, DESCARGA Y PUESTA EN SITIO COSTA FUERA DE TAPÓN MACHO 1/2" NPT, DE CABEZA HEXAGONAL DE ACERO INOXIDABLE 316L, DE 6000#, ASTM A276/ASME SA479.</t>
  </si>
  <si>
    <t>C3EXT-0417</t>
  </si>
  <si>
    <t>28C-12</t>
  </si>
  <si>
    <t>SUMINISTRO, CARGA, ACARREO, DESCARGA Y PUESTA EN SITIO COSTA FUERA DE TAPÓN MACHO 1/2" NPT, DE CABEZA HEXAGONAL DE ACERO INOXIDABLE 316L, DE 10000#, ASTM A276/ASME SA479.</t>
  </si>
  <si>
    <t>C3EXT-0418</t>
  </si>
  <si>
    <t>SUMINISTRO, CARGA, ACARREO, DESCARGA Y PUESTA EN SITIO COSTA FUERA DE ESPARRAGO DE ACERO AL CARBON ASTM A193 GR. B7, CON TUERCAS Y CONTRATUERCAS HEXAGONALES A-194 GR. 2H Y DOS ROLDANAS DE PRESION F 436 TIPO 3, EL RECUBRIMIENTO SERÁ A BASE DE CADMIO POR ELECTRODEPOSITO, DE 1" DE DIAMETRO X 9" DE LONGITUD.</t>
  </si>
  <si>
    <t>C3EXT-0323</t>
  </si>
  <si>
    <t>29C-12</t>
  </si>
  <si>
    <t>SUMINISTRO, CARGA, ACARREO, DESCARGA Y PUESTA EN SITIO COSTA FUERA DE LAMINA DE ACERO INOXIDABLE 304 DE 6.35 MM DE ESPESOR.</t>
  </si>
  <si>
    <t>C3EXT-0424</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</si>
  <si>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</si>
  <si>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</si>
  <si>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C3EXT-0298</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</si>
  <si>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</si>
  <si>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C3EXT-0326</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</si>
  <si>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</si>
  <si>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</si>
  <si>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C3EXT-0460</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</si>
  <si>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</si>
  <si>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</si>
  <si>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C3EXT-0461</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</si>
  <si>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</si>
  <si>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</si>
  <si>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C3EXT-0462</t>
  </si>
  <si>
    <t>SUMINISTRO, CARGA, ACARREO, DESCARGA Y PUESTA EN SITIO COSTA FUERA DE ESPÁRRAGO DE ACERO AL CARBON ASTM A193 GR. B7, CON TUERCAS Y CONTRATUERCAS HEXAGONALES A-194 GR. 2H Y DOS ROLDANAS DE PRESIÓN F 436 TIPO 3, EL RECUBRIMIENTO SERÁ A BASE DE CADMIO POR ELECTRODEPOSITO DE 2" DE DIAMETRO X 16" DE LONGITUD.</t>
  </si>
  <si>
    <t>C3EXT-0330</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</si>
  <si>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</si>
  <si>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</si>
  <si>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C3EXT-0303</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</si>
  <si>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</si>
  <si>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</si>
  <si>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C3EXT-0304</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</si>
  <si>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</si>
  <si>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</si>
  <si>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C3EXT-0305</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</si>
  <si>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</si>
  <si>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</si>
  <si>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C3EXT-0306</t>
  </si>
  <si>
    <t>7C-12</t>
  </si>
  <si>
    <t>SUMINISTRO, CARGA, ACARREO, DESCARGA Y PUESTA EN SITIO COSTA FUERA DE SOPORTE DE TRES PUNTOS EN MATERIAL DE ALUMINO GRADO MARINO DE 1" ANCHO X 1/8" ESPESOR, PARA ARO SALVAVIDAS DE 800 MM DE DIAMETRO EXTERIOR.</t>
  </si>
  <si>
    <t>C3EXT-0307</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</si>
  <si>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</si>
  <si>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C3EXT-0336</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</si>
  <si>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</si>
  <si>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</si>
  <si>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C3EXT-0393</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</si>
  <si>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</si>
  <si>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C3EXT-0338</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</si>
  <si>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</si>
  <si>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RANGO 0 – 250 KG/CM2.</t>
  </si>
  <si>
    <t>C3EXT-0394</t>
  </si>
  <si>
    <t>C-13</t>
  </si>
  <si>
    <t>10C-13</t>
  </si>
  <si>
    <t>SUMINISTRO, CARGA, ACARREO, DESCARGA Y PUESTA EN SITIO COSTA FUERA DE ABRAZADERA TIPO "U" DE 1/4" GALV. A.C ASTM A-307 GR A CON RECUBRIMIENTO DE PVC, PARA TUBO DE 1" DE DIAMETRO, CON 04 TUERCAS ASTM A563 GR. A Y 04 ARANDELAS PLANAS GALVANIZADAS.</t>
  </si>
  <si>
    <t>C3EXT-0770</t>
  </si>
  <si>
    <t>11C-13</t>
  </si>
  <si>
    <t>SUMINISTRO, CARGA, ACARREO, DESCARGA Y PUESTA EN SITIO COSTA FUERA DE ABRAZADERA TIPO "U" DE 3/8" GALV. A.C ASTM A-307 GR A CON RECUBRIMIENTO DE PVC, PARA TUBO DE 2" DE DIAMETRO, CON 04 TUERCAS ASTM A563 GR. A Y 04 ARANDELAS PLANAS GALVANIZADAS.</t>
  </si>
  <si>
    <t>C3EXT-0771</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</si>
  <si>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1” DE DIAMETRO NPS (25 DN), CLASE 600.</t>
  </si>
  <si>
    <t>C3EXT-0342</t>
  </si>
  <si>
    <t>12C-13</t>
  </si>
  <si>
    <t>SUMINISTRO, CARGA, ACARREO, DESCARGA Y PUESTA EN SITIO COSTA FUERA DE MEDIA CAÑA PARA TUBERIA DE 3/4" DE DIAMETRO, DE 120° X 200MM DE LONGITUD DE ELASTOMERO DE POLIURETANO DE 1/4" DE ESP. DE PARED ADHERIDA AL TUBO</t>
  </si>
  <si>
    <t>C3EXT-0808</t>
  </si>
  <si>
    <t>13C-13</t>
  </si>
  <si>
    <t>SUMINISTRO, CARGA, ACARREO, DESCARGA Y PUESTA EN SITIO COSTA FUERA DE MEDIA CAÑA PARA TUBERIA DE 1" DE DIAMETRO, DE 120° X 200MM DE LONGITUD DE ELASTOMERO DE POLIURETANO DE 1/4" DE ESP. DE PARED ADHERIDA AL TUBO</t>
  </si>
  <si>
    <t>C3EXT-0809</t>
  </si>
  <si>
    <t>SUMINISTRO, CARGA, ACARREO, DESCARGA Y PUESTA EN SITIO COSTA FUERA DE VÁLVULA DE COMPUERTA CUERPO ASTM A105, TRIM 10, CUERDA TORNILLO EXTERIOR Y YUGO, BONETE TORNILLADO, CUÑA SÓLIDA, ASIENTOS RECAMBIABLES, OPERADA CON VOLANTE. ISO 15761. CLASE 1500, DE 1/2" DE DIAMETRO CAJA PARA SOLDAR.</t>
  </si>
  <si>
    <t>C3EXT-0345</t>
  </si>
  <si>
    <t>SUMINISTRO, PRUEBA HIDROSTÁTICA, CARGA, ACARREO, DESCARGA Y PUESTA EN SITIO COSTA FUERA DE VÁLVULA DE COMPUERTA, CUERPO DE ACERO AL CARBONO FORJADO ASTM A105, TRIM 16, DISCO Y ASIENTO RECUBIERTO DE ESTELITA, CUERDA EXTERIOR Y YUGO, BONETE ATORNILLADO, CUÑA SÓLIDA, ASIENTOS RECAMBIABLES, OPERADA CON VOLANTE, ISO 15761, EXTREMOS CAJA SOLDABLE, LOS MATERIALES DEBEN CUMPLIR CON ANSI/NACE MR-0175, ISO 15156-1 Y 2, API STD 602 Y EL ESTÁNDAR PEMEX-EST-TD-142-2022  Ó VERSION ACTUAL, DE 3/4” DE DIAMETRO NPS (20 DN), CLASE 800.</t>
  </si>
  <si>
    <t>C3EXT-0346</t>
  </si>
  <si>
    <t>14C-13</t>
  </si>
  <si>
    <t>SUMINISTRO, CARGA, ACARREO, DESCARGA Y PUESTA EN SITIO COSTA FUERA DE MEDIA CAÑA PARA TUBERIA DE 4" DE DIAMETRO, DE 120° X 200MM DE LONGITUD DE ELASTOMERO DE POLIURETANO DE 3/8" DE ESP. DE PARED ADHERIDA AL TUBO</t>
  </si>
  <si>
    <t>C3EXT-0811</t>
  </si>
  <si>
    <t>15C-13</t>
  </si>
  <si>
    <t>SUMINISTRO, CARGA, ACARREO, DESCARGA Y PUESTA EN SITIO COSTA FUERA DE MEDIA CAÑA PARA TUBERIA DE 4" DE DIAMETRO, DE 120° X 200MM DE LONGITUD DE ACERO AL CARBONO DE 1/4" (6.35 MM) DE ESPESOR DE PARED</t>
  </si>
  <si>
    <t>C3EXT-0812</t>
  </si>
  <si>
    <t>16C-13</t>
  </si>
  <si>
    <t>SUMINISTRO, CARGA, ACARREO, DESCARGA Y PUESTA EN SITIO COSTA FUERA DE MEDIA CAÑA PARA TUBERIA DE 6" DE DIAMETRO, DE 120° X 200MM DE LONGITUD DE ACERO AL CARBONO DE 3/8" (9.525 MM) DE ESPESOR DE PARED</t>
  </si>
  <si>
    <t>C3EXT-0813</t>
  </si>
  <si>
    <t>17C-13</t>
  </si>
  <si>
    <t>SUMINISTRO, CARGA, ACARREO, DESCARGA Y PUESTA EN SITIO COSTA FUERA DE TUBING DE 1/2" DE DIAMETRO, DE ACERO INOXIDABLE 316L, SIN COSTURA, ESPESOR DE 0.065" ASTM A269.</t>
  </si>
  <si>
    <t>C3EXT-0402</t>
  </si>
  <si>
    <t>18C-13</t>
  </si>
  <si>
    <t>SUMINISTRO, CARGA, ACARREO, DESCARGA Y PUESTA EN SITIO COSTA FUERA DE TORNILLO DE ACERO INOXIDABLE 304 DE CABEZA HEXAGONAL ROSCA ESTANDAR. INCLUYE DOS ARANDELAS PLANA Y TUERCA, ASTMA182 DE 3/8" DE DIAMETRO X 1 1/2" DE LONGITUD.</t>
  </si>
  <si>
    <t>C3EXT-0313</t>
  </si>
  <si>
    <t>19C-13</t>
  </si>
  <si>
    <t>SUMINISTRO, CARGA, ACARREO, DESCARGA Y PUESTA EN SITIO COSTA FUERA DE NIPLE DE ACERO AL CARBÓN ASTM A106 GR. B, DE 89 MM (3.5 IN), ASME B36.10M, EXTREMOS PLANOS DE 1/2" DE DIAMETRO, CEDULA 160.</t>
  </si>
  <si>
    <t>C3EXT-0362</t>
  </si>
  <si>
    <t>1C-13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</si>
  <si>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7” DE LONGITUD CON 2 TUERCAS ASTM A194 GR. 2HM, CABEZA HEXAGONAL, ROSCA ASME B1.1 CLASE 2B, CON RECUBRIMIENTO RESISTENTE A LA CORROSIÓN.</t>
  </si>
  <si>
    <t>C3EXT-0292</t>
  </si>
  <si>
    <t>20C-13</t>
  </si>
  <si>
    <t>SUMINISTRO, CARGA, ACARREO, DESCARGA Y PUESTA EN SITIO COSTA FUERA DE NIPLE DE ACERO AL CARBÓN ASTM A106 GR. B, DE 152 MM (6 IN), ASME B36.10M, EXTREMOS PLANOS DE 1/2" DE DIAMETRO, CEDULA 160.</t>
  </si>
  <si>
    <t>C3EXT-0363</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</si>
  <si>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</si>
  <si>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</si>
  <si>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C3EXT-0372</t>
  </si>
  <si>
    <t>2C-13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</si>
  <si>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13” DE LONGITUD CON 2 TUERCAS ASTM A194 GR. 2HM, CABEZA HEXAGONAL, ROSCA ASME B1.1 CLASE 2B, CON RECUBRIMIENTO RESISTENTE A LA CORROSIÓN.</t>
  </si>
  <si>
    <t>C3EXT-0293</t>
  </si>
  <si>
    <t>3C-13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</si>
  <si>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1 1/4” DE DIAMETRO X  8” DE LONGITUD CON 2 TUERCAS ASTM A194 GR. 2HM, CABEZA HEXAGONAL, ROSCA ASME B1.1 CLASE 2B, CON RECUBRIMIENTO RESISTENTE A LA CORROSIÓN.</t>
  </si>
  <si>
    <t>C3EXT-0294</t>
  </si>
  <si>
    <t>SUMINISTRO, CARGA, ACARREO, DESCARGA Y PUESTA EN SITIO COSTA FUERA DE COPLE ROSCADO DE ACERO AL CARBÓN ASTM A-865 DE 21MM X 51MM DE LONG. (3/4" DE DIAMETRO X 2" DE LONGITUD).</t>
  </si>
  <si>
    <t>C3EXT-0358</t>
  </si>
  <si>
    <t>SUMINISTRO, CARGA, ACARREO, DESCARGA Y PUESTA EN SITIO COSTA FUERA DE COPLE ROSCADO DE ACERO AL CARBÓN FORJADO ASTM A-105, DE 3000# DE 51 MM DE LONGITUD Y 21 MM DE Ø (3/4") DE DIAMETRO.</t>
  </si>
  <si>
    <t>C3EXT-0359</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</si>
  <si>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</si>
  <si>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</si>
  <si>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C3EXT-0295</t>
  </si>
  <si>
    <t>5C-13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</si>
  <si>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3/8” DE DIAMETRO X 10 1/2” DE LONGITUD CON 2 TUERCAS ASTM A194 GR. 2HM, CABEZA HEXAGONAL, ROSCA ASME B1.1 CLASE 2B, CON RECUBRIMIENTO RESISTENTE A LA CORROSIÓN.</t>
  </si>
  <si>
    <t>C3EXT-0296</t>
  </si>
  <si>
    <t>6C-13</t>
  </si>
  <si>
    <t>SUMINISTRO, CARGA, ACARREO, DESCARGA Y PUESTA EN SITIO COSTA FUERA DE REDUCCIÓN CONCÉNTRICA DE ACERO AL CARBONO, ASTM A234 GR. WPB S/C, ASME B16.9 ESPESOR 0.375” x ESTÁNDAR, EXTREMOS BISELADOS. DIAMETRO 18” x 16”.</t>
  </si>
  <si>
    <t>C3EXT-0751</t>
  </si>
  <si>
    <t>7C-13</t>
  </si>
  <si>
    <t>SUMINISTRO, CARGA, ACARREO, DESCARGA Y PUESTA EN SITIO COSTA FUERA DE ABRAZADERA PARA TUBERIA DE 4"Ø, PREFABRICADA A BASE DE SOLERA PLANA DE 38 mm DE ANCHO, 6.35mm DE ESPESOR Y ESPECIFICACION ASTM A 36.</t>
  </si>
  <si>
    <t>C3EXT-0766</t>
  </si>
  <si>
    <t>SUMINISTRO, CARGA, ACARREO, DESCARGA Y PUESTA EN SITIO COSTA FUERA DE CONCRETO HIDRÁULICO CON RESISTENCIA A LA COMPRESION DE F'C=350 KG/CM2 , INCLUYE: ACARREO, CARGA, DESCARGA, MANIOBRAS.</t>
  </si>
  <si>
    <t>C3EXT-0364</t>
  </si>
  <si>
    <t>SUMINISTRO, CARGA, ACARREO, DESCARGA Y PUESTA EN SITIO COSTA FUERA DE CONCRETO HIDRÁULICO CON RESISTENCIA A LA COMPRESION DE F'C=100 KG/CM2 , INCLUYE: ACARREO, CARGA, DESCARGA, MANIOBRAS.</t>
  </si>
  <si>
    <t>C3EXT-0365</t>
  </si>
  <si>
    <t>SUMINISTRO, CARGA, ACARREO, DESCARGA Y PUESTA EN SITIO COSTA FUERA DE SISTEMA FOTOVOLTAICO PARA GENERACIÓN DE ENERGÍA ELÉCTRICA EN 12 VOLTS CORRIENTE DIRECTA PARA ALIMENTAR SISTEMA DE INSTRUMENTOS. EL SISTEMA SERÁ DISEÑADO Y FABRICADO PARA MANTENER UNA AUTONOMÍA DE 5 (CINCO) DÍAS EN EL SUMINISTRO ELÉCTRICO A FALTA DE ENERGÍA SOLAR.EL ARREGLO DE MÓDULOS FOTOVOLTAICOS DE LAS SIGUIENTES CARACTERÍSTICAS: CANTIDAD DE PANELES 01 PZA. POTENCIA NOMINAL DE 85 WATTS. CORRIENTE A POTENCIA MAXIMA: 4.78 A. VOLTAJE A POTENCIA MAXIMA: 17.8 V. VOLTAJE DE CIRCUITO ABIERTO: 22.2 V. VOLTAJE NOMINAL DEL SISTEMA: 12.0 V. CORRIENTE DE CORTO CIRCUITO 5.35 A.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</si>
  <si>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SISTEMA</t>
  </si>
  <si>
    <t>C3EXT-0366</t>
  </si>
  <si>
    <t>SUMINISTRO, CARGA, ACARREO, DESCARGA Y PUESTA EN SITIO COSTA FUERA DE GABINETE DE CONTROL DE ACERO INOXIDABLE 316, NEMA 4X, ROTULADO “GFV-YXC-01”, SALIDAS ROSCADA PARA ACOMETIDA CON TUBERÍA CONDUIT, ELEMENTOS DE FIJACIÓN DE ACERO INOXIDABLE, PLACAS INTERIORES PARA MONTAJE DE ACCESORIOS Y COMPONENTES ELÉCTRICOS, DIMENSIONES ADECUADAS, CON LOS SIGUIENTES COMPONENTES:• CONTROLADOR DE CARGA FOTOVOLTAICO DE ESTADO SÓLIDO DEL TIPO PMW (MODULACIÓN POR ANCHO DE PULSO). INCLUYE,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 REGULADOR DE VOLTAJE CD/ CD, ENTRADA DE CORRIENTE DIRECTA DE 12 VCD, CON SALIDA DE CORRIENTE DIRECTA DE 12 VCD, DE 30 WATTS, NOMINAL REGULACIÓN DE VOLTAJE DE 5 %, EFICIENCIA MÍNIMA DEL 90 %, PROTECCIÓN POR CORTO CIRCUITO A LA SALIDA Y TEMPERATURA DE OPERACIÓN DE 10 A 45°C. INGENIERÍA FINAL DEL FABRICANTE, DOSSIER DE CALIDAD DE FABRICACIÓN, MANUAL DE OPERACIÓN Y MANTENIMIENTO, LISTADO DE REFACCIONAMIENTO PARA OPERACIÓN Y MANTENIMIENTO. DEBE CUMPLIR LOS REQUERIMIENTOS DE DISEÑO.• CENTRO DE CARGA ROTULADO: CC-01; TIPO SOBREPONER NEMA 1, PARA 12 V.C.D., 2P-3 HILOS, 2 POLOS, ALIMENTACIÓN A ZAPATA PRINCIPAL 60 AM, CAPACIDAD INTERRUPTIVA DE 5 KA. INCLUYE: INTERRUPTOR TERMOMAGNÉTICO DE 1P X 15 A. • INTERRUPTORES TERMOMAGNÉTICO PARA CORRIENTE DIRECTA INSTALADOS EN GABINETE O EN RIEL DIN, DE LAS SIGUIENTES CAPACIDADES: ? 03 DE 1X15A. • SUPRESORES DE SOBRETENSIONES (SST), PARA CORRIENTE DIRECTA.• BARRAS DE TIERRA.• TERMINALES DE CONEXIÓN.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</si>
  <si>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C3EXT-0367</t>
  </si>
  <si>
    <t>SUMINISTRO, CARGA, ACARREO, DESCARGA Y PUESTA EN SITIO COSTA FUERA DE BANCO DE BATERÍAS DE LAS SIGUIENTES CARACTERÍSTICAS: TIPO: NÍQUEL-CADMIO, ESTACIONARIA SERVICIO INDUSTRIAL. MONTAJE: EN GABINETE METÁLICO DE ACERO INOXIDABLE 316, NEMA 4X, VASO DE POLIPROPILENO RESISTENTE Y TAPONES DE VENTEO ARRESTA FLAMA, COMPUESTO DE 02 BLOQUES DE 5 CELDAS CADA UNA PARA UN TOTAL DE 10 CELDAS. VOLTAJE NOMINAL DE 1.2 V/CELDA. VOLTAJE DEL SISTEMA: 12 VCD. CAPACIDAD NOMINAL DE 140 AH. OPERACIÓN NOMINAL DE 24 VCD. AUTONOMÍA: 120 HRS (5 DÍAS). CAPACIDAD DE DESCARGA MÍNIMA DE 8 HORAS, PARA TRABAJAR A UN RÉGIMEN DE 24 HORAS CONTINUAS. INCLUYE, PRUEBAS EN FABRICA, INGENIERIA FINAL DEL FABRICANTE, DOSSIER DE CALIDAD DE FABRICACIÓN, MANUAL DE OPERACIÓN Y MANTENIMIENTO, LISTADO DE REFACCIONAMIENTO PARA OPERACIÓN Y MANTENIMIENTO. DEBE CUMPLIR LOS REQUERIMIENTOS DE DISEÑO, FABRICACIÓN Y PRUEBAS. DE ACUERDO A ESPECIFICACIÓN EPI-811.003-YAXCHE-C-L-001 Y PLANOS D-811.003-YAXCHE-C-L-001 Y D-811.003-YAXCHE-C-L-305.</t>
  </si>
  <si>
    <t>C3EXT-0368</t>
  </si>
  <si>
    <t>8C-13</t>
  </si>
  <si>
    <t>SUMINISTRO, CARGA, ACARREO, DESCARGA Y PUESTA EN SITIO COSTA FUERA DE ABRAZADERA PARA TUBERIA DE 6"Ø, PREFABRICADA A BASE DE SOLERA PLANA DE 38 mm DE ANCHO, 6.35mm DE ESPESOR Y ESPECIFICACION ASTM A 36.</t>
  </si>
  <si>
    <t>C3EXT-0767</t>
  </si>
  <si>
    <t>9C-13</t>
  </si>
  <si>
    <t>SUMINISTRO, CARGA, ACARREO, DESCARGA Y PUESTA EN SITIO COSTA FUERA DE ABRAZADERA TIPO "U" DE 1/4" GALV. A.C ASTM A-307 GR A CON RECUBRIMIENTO DE PVC, PARA TUBO DE 3/4" DE DIAMETRO, CON 04 TUERCAS ASTM A563 GR. A Y 04 ARANDELAS PLANAS GALVANIZADAS.</t>
  </si>
  <si>
    <t>C3EXT-0769</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</si>
  <si>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</si>
  <si>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</si>
  <si>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MOVILIZACION, DESMOVILIZACION, INSTALACION Y PRUEBAS DE LOS EQUIPOS COSTA AFUERA, MOVILIZACION, DESMOVILIZACION DE PERSONAL, TIEMPO EN ESPERA POR CONDICIONES METEREOLOGICAS ADVERSAS O PAROS OPERATIVOS.</t>
  </si>
  <si>
    <t>C3EXT-0964</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</si>
  <si>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</si>
  <si>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</si>
  <si>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C3EXT-0965</t>
  </si>
  <si>
    <t>SUMINISTRO, CARGA, ACARREO, DESCARGA Y PUESTA EN SITIO COSTA FUERA DE CONECTOR A COMPRESIÓN, DE COBRE, FIGURA OCHO, PARA DERIVAR EN SISTEMA DE TIERRAS DE VARILLA DE 15.9 MM (5/8") DE DIÁMETRO A CABLE CALIBRE 2 A 2/0 AWG, CAT. NO. YGLR29C58.</t>
  </si>
  <si>
    <t>C3EXT-0373</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</si>
  <si>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</si>
  <si>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LOS EQUIPOS DEBEN SER OPERADOS POR PERSONAL SURVEY ESPECIALISTA MARINOS EN TOPOGRAFIA, REPORTE FOTOGRAFICO, MOVILIZACION, DESMOVILIZACION, CALIBRACION Y PRUEBAS DE LOS EQUIPOS COSTA AFUERA, MOVILIZACION, DESMOVILIZACION DE PERSONAL, TIEMPO EN ESPERA POR CONDICIONES METEREOLOGICAS ADVERSAS O PAROS OPERATIVOS</t>
  </si>
  <si>
    <t>C3EXT-0966</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</si>
  <si>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</si>
  <si>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</si>
  <si>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C3EXT-0968</t>
  </si>
  <si>
    <t>SUMINISTRO, CARGA, ACARREO, DESCARGA Y PUESTA EN SITIO COSTA FUERA DE ZAPATA TERMINAL TIPO “YA” DE COBRE ELECTROLÍTICO ESTAÑADO, DE CAÑÓN LARGO, UNA PERFORACIÓN, PARA CABLE CAL.2/0 AWG, CAT. YA26N.</t>
  </si>
  <si>
    <t>C3EXT-0376</t>
  </si>
  <si>
    <t>SUMINISTRO, CARGA, ACARREO, DESCARGA Y PUESTA EN SITIO COSTA FUERA DE CONECTOR A TIERRA TIPO VARILLA DE ACERO ESTRUCTURAL DE 5/8" DE DIÁMETRO NOMINAL CON UNA LONGITUD DE 144.3 MM (5.68"), CAT. NO. GSTUD916HY.</t>
  </si>
  <si>
    <t>C3EXT-0377</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</si>
  <si>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</si>
  <si>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</si>
  <si>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C3EXT-0969</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</si>
  <si>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</si>
  <si>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MOVILIZACION, CALIBRACION Y PRUEBAS DE LOS EQUIPOS COSTA AFUERA, MOVILIZACION DE PERSONAL, TIEMPO EN ESPERA POR CONDICIONES METEREOLOGICAS ADVERSAS O PAROS OPERATIVOS</t>
  </si>
  <si>
    <t>C3EXT-0970</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</si>
  <si>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</si>
  <si>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</si>
  <si>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C3EXT-0973</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</si>
  <si>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</si>
  <si>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NIVELACIÓN, CABINA DE CONTROL Y PERSONAL SURVEYOR EN GEOPOSICIONAMIENTO MARINOS, REPORTE FOTOGRAFICO, INSTALACION, CALIBRACION Y PRUEBAS DE LOS EQUIPOS COSTA AFUERA, TIEMPO EN ESPERA POR CONDICIONES METEREOLOGICAS ADVERSAS O PAROS OPERATIVOS.</t>
  </si>
  <si>
    <t>C3EXT-0974</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</si>
  <si>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</si>
  <si>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 MOVILIZACION Y DESMOVILIZACION DE PERSONALY EQUIPOS, TIEMPO EN ESPERA POR CONDICIONES METEREOLOGICAS ADVERSAS O PAROS OPERATIVOS.</t>
  </si>
  <si>
    <t>C3EXT-0975</t>
  </si>
  <si>
    <t>C-15</t>
  </si>
  <si>
    <t>10C-15</t>
  </si>
  <si>
    <t>SUMINISTRO, CARGA, ACARREO, DESCARGA Y PUESTA EN SITIO COSTA FUERA DE REDUCCIÓN BUSHING DE 1" X 3/4" DE DIAMETRO DE ALUMINIO LIBRE DE COBRE  RECUBRIMIENTO  EXTERIOR  E  INTERIOR  DE URETANO CLASE 1 DIV. 1 Y 2 Gr. C.</t>
  </si>
  <si>
    <t>C3EXT-0905</t>
  </si>
  <si>
    <t>24-016.7-J-NHA</t>
  </si>
  <si>
    <t>11C-15</t>
  </si>
  <si>
    <t>SUMINISTRO, CARGA, ACARREO, DESCARGA Y PUESTA EN SITIO COSTA FUERA DE REDUCCIÓN BUSHING DE 1" X 2" DE DIAMETRO DE ALUMINIO LIBRE DE COBRE  RECUBRIMIENTO  EXTERIOR  E  INTERIOR  DE URETANO CLASE 1 DIV. 1 Y 2 Gr. C.</t>
  </si>
  <si>
    <t>C3EXT-0906</t>
  </si>
  <si>
    <t>12C-15</t>
  </si>
  <si>
    <t>SUMINISTRO, CARGA, ACARREO, DESCARGA Y PUESTA EN SITIO COSTA FUERA DE REDUCCIÓN BUSHING DE 1 1/2" X 1/2" DE DIAMETRO DE ALUMINIO LIBRE DE COBRE RECUBRIMIENTO EXTERIOR E INTERIOR DE URETANO CLASE 1 DIV. 1 Y 2 Gr. C.</t>
  </si>
  <si>
    <t>C3EXT-0907</t>
  </si>
  <si>
    <t>13C-15</t>
  </si>
  <si>
    <t>SUMINISTRO, CARGA, ACARREO, DESCARGA Y PUESTA EN SITIO COSTA FUERA DE CONECTOR MEYER HUB DE ALUMINIO LIBRE DE COBRE DE 3/4" DE DIAMETRO (21MM), MODELO STA 2.</t>
  </si>
  <si>
    <t>C3EXT-0911</t>
  </si>
  <si>
    <t>SUMINISTRO, CARGA, ACARREO, DESCARGA Y PUESTA EN SITIO COSTA FUERA DE CIRCUITO DE FUERZA Y CONTROL PARA ALIMENTACIÓN DE LUCES DE AYUDA A LA NAVEGACIÓN.</t>
  </si>
  <si>
    <t>C3EXT-0387</t>
  </si>
  <si>
    <t>SUMINISTRO, CARGA, ACARREO, DESCARGA Y PUESTA EN SITIO COSTA FUERA DE CABLE UTP, 4 PARES TRENZADOS CATEGORÍA 5E, CALIBRE 24 AWG.</t>
  </si>
  <si>
    <t>C3EXT-0388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</si>
  <si>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1034 KG/CM2.</t>
  </si>
  <si>
    <t>C3EXT-0390</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</si>
  <si>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285 KG/CM2.</t>
  </si>
  <si>
    <t>C3EXT-0391</t>
  </si>
  <si>
    <t>SUMINISTRO, CARGA, ACARREO, DESCARGA Y PUESTA EN SITIO COSTA FUERA DE TRANSMISOR INDICADOR DE TEMPERATURA INALÁMBRICO NO INTRUSIVO. EXACTITUD MÍNIMA DE REFERENCIA UTILIZANDO ELEMENTO SENSOR TIPO RTD, PT 100, DEBE SER ±0,2 °C DE CONVERSIÓN DEL VALOR DIGITAL Y ± 0,1% DEL INTERVALO DE MEDICIÓN “SPAN” PARA CONVERSIÓN DIGITAL/ANALÓGICA. EL SENSOR SERÁ DEL TIPO NO INTRUSIVO, CON ABRAZADERA DE ACERO AL CARBÓN Y SE DEBE CONSIDERAR AISLAMIENTO TÉRMICO PARA DICHA ABRAZADERA; EN CONFIGURACIÓN DE MONTAJE REMOTO. EL TRANSMISOR DEBE DE CONTAR CON FUNCIONES DE DIAGNÓSTICO Y CONFIGURACIÓN. LA TARJETA DEL MÓDULO ELECTRÓNICO DEL INSTRUMENTO TRANSMISOR DE TEMPERATURA DEBE CONTAR CON LAS PROTECCIONES ADECUADAS PARA SER INSTALADOS EN AMBIENTE HÚMEDO, MARINO Y SALINOCORROSIVO PROPIO DE LAS PLATAFORMAS.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EPI-811.0003-YAXCHE-C-P-004, HD-811.0003-YAXCHE-C-P-004 RANGO 0 – 100° C.</t>
  </si>
  <si>
    <t>C3EXT-0392</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</si>
  <si>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</si>
  <si>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</si>
  <si>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C3EXT-0929</t>
  </si>
  <si>
    <t>15C-15</t>
  </si>
  <si>
    <t>SUMINISTRO, CARGA, ACARREO, DESCARGA Y PUESTA EN SITIO COSTA FUERA DE ESTACIÓN MANUAL DE ALARMA POR FUEGO, DE ALUMINIO LIBRE DE COBRE COLOR ROJO BERMELLON,IP 66, NEMA 4X, CLASE I, DIV.1 GPO C Y D, CONEXIÓN  ELÉCTRICA DE 3/4” NPT, VOLTAJE DE OPERACIÓN DE 24 VCD, TIPO DE DOBLE ACCIÓN EMPUJAR Y JALAR, RESTABLECIMIENTO MANUAL CON LLAVE.</t>
  </si>
  <si>
    <t>C3EXT-0930</t>
  </si>
  <si>
    <t>16C-15</t>
  </si>
  <si>
    <t>SUMINISTRO, CARGA, ACARREO, DESCARGA Y PUESTA EN SITIO COSTA FUERA DE TAPON CACHUCHA DE ACERO AL CARBONO, ASTM A105, ASME B16.11 CLASE 6000#, EXTREMOS CAJA PARA SOLDAR, DE 3/4” DE DIAMETRO.</t>
  </si>
  <si>
    <t>C3EXT-0938</t>
  </si>
  <si>
    <t>SUMINISTRO, CARGA, ACARREO, DESCARGA Y PUESTA EN SITIO COSTA FUERA DE MEDIDORES DE FLUJO DE TIPO PLACA DE ORIFICIO DEBEN CUMPLIR CON LA NORMATIVIDAD NACIONAL E INTERNACIONAL VIGENTE Y APLICABLE, ASÍ COMO CON LA AGA3/API MPMS14.3 Y ISO 5167 PLACA DE ORIFICIO CONCENTRICA; MATERIAL 316 SS; BETA 0.49074; DIÁMETRO DEL ORIFICIO 1.977; DIÁMETRO INT. DE LA LÍNEA 1.503; ESPESOR DE LA PLACA 0.125”; BRIDA DE ORIFICIO PORTA PLACAS, TOMAS EN BRIDA, TAMAÑO TOMAS 1/2”; TIPO CUELLO SOLADABLE; MATERIAL DE ACERO AL CARBON; RANGO DE BRIDAS DE 1500#RTJ. DE ACUERDO CON LA HOJA DE DATOS HD-811.003-YAXCHE-C-P-008 Y ESPECIFICACION TECNICA EPI-811.003-YAXCHE-C-P-008.</t>
  </si>
  <si>
    <t>C3EXT-0396</t>
  </si>
  <si>
    <t>SUMINISTRO, CARGA, ACARREO, DESCARGA Y PUESTA EN SITIO COSTA FUERA DE REGISTRADOR DE PRESIÓN DIFERENCIAL DE UNA PLUMILLA PARA GRAFICA DE 12"Ø. CAJA RECTANGULAR DE ALUMINIO FORJADO CON RECUBRIMIENTO DE POLVO ELECTROSTÁTICO DE POLIURETANO COLOR NEGRO, CON ALTA RESISTENCIA AL AMBIENTE Y VAPORES INDUSTRIALES, PUERTA CON VENTANA DE TRANSPARENTE (PLEXIGLASS), CON BISAGRA DE ACERO INOXIDABLE 302, CON EMPAQUE DE NEOPRENO NO ABSORBENTE A FLUIDOS Y RESISTENTE A LOS ACEITES PARA EL AISLAMIENTO DE LA CAJA. CON CERRADURA DE SEGURIDAD DE APERTURA RÁPIDA. · MONTAJE: EN YUGO PARA TUBO DE 2"Ø. · NO. DE PUNTOS DE REGISTRO: UNA · TIPO DE PLUMILLAS: DESECHABLES. · COLOR DE PLUMILLAS: AZUL. · GRAFICA CIRCULAR DE 12”, LIBRE DE ERRORES DEL TIPO EXCÉNTRICO Y ELÍPTICO CON IMPRESIÓN FINA Y PAPEL DE ALTA RESISTENCIA. RELOJ CONDUCTOR DE GRÁFICA TIPO MECÁNICO DE CUERDA CON VELOCIDAD DE ROTACIÓN SELECCIONABLE DE 24 HRS / 7 DÍAS. ELEMENTO DE PRESIÓN ESTÁTICA: · TIPO: BOURDON HELICOIDAL DE ALTA PRECISIÓN. · MATERIAL DEL ELEMENTO: ACERO INOXIDABLE 316, COMO MÍNIMO. · RANGO DE PRESIÓN ESTÁTICA: DE ACUERDO A SELECCIÓN. · CONEXIÓN A PROCESO DE 1/4" NPT (F) EN LA PARTE POSTERIOR INFERIOR.</t>
  </si>
  <si>
    <t>C3EXT-0397</t>
  </si>
  <si>
    <t>SUMINISTRO, CARGA, ACARREO, DESCARGA Y PUESTA EN SITIO COSTA FUERA DE VÁLVULA REGULADORA DE FLUJO TIPO AGUJA (DE AJUSTE MANUAL), MONTAJE EN LÍNEA, CONEXIÓN DE ENTRADA Y SALIDA DE 2” Ø, EXTREMOS BRIDADOS, DE 1500# RTJ, DIMENSIONES CARA A CARA DE BRIDA SEGÚN ASME B16.10., DISEÑADOS PARA OPERAR EN CUALQUIER POSICION. EL MATERIAL DEL CUERPO DEBERÁN SER DE ACERO AL CARBÓN ASTM A106 GR. B, ASME B36.10, EL MATERIAL DE INTERNOS EN ACERO INOXIDABLE 316, EXCEPTO DONDE EL PROCESO REQUIERA UN MATERIAL ESPECIAL DE ACUERDO A LA ESPECIFICACIÓN DE TUBERÍAS. LAS VÁLVULAS REGULADORAS DE FLUJO DEBERÁN CONTAR CON CERTIFICADOS DE CALIBRACIÓN Y DE MATERIALES DE CONSTRUCCIÓN.</t>
  </si>
  <si>
    <t>C3EXT-0398</t>
  </si>
  <si>
    <t>SUMINISTRO, CARGA, ACARREO, DESCARGA Y PUESTA EN SITIO COSTA FUERA DE NIPLE DE INYECCIÓN.TAMAÑO: 2” DE DIAMETRO; CUERPO: SA - 105; TE DE INYECCIÓN: 2” X 2” X 1/2”; EMPAQUE Y SELLOS TEFLÓN/VITÓN; RANGO DE PRESIÓN: 6000 PSI; MONTAJE: FLARWELD; CUBIERTA PROTECTORA: REQUERIDA. TUBO DE INYECCIÓN. MATERIAL: 316 SS; CONEXIÓN: POR PROVEEDOR; TAMAÑO (DIAM. Y LONG.): POR PROVEEDOR. BOQUILLA DE ATOMIZACIÓN. MATERIAL: 316 SS; PATRÓN DE ATOMIZACIÓN: ESPREADO; POSICIÓN DE LA DESCARGA: PERPENDICULAR A LA TUBERÍA; TIPO DE BOQUILLA: POR PROVEEDOR. ANGULO DE ESPREADO: POR PROVEEDOR; DIÁMETRO DE ORIFICIO: POR PROVEEDOR. ACCESORIOS: VÁLVULA DE SERVICIO: TIPO BOLA DE 1/2” DE DIAMETRO, DE ACERO INOXIDABLE 316. TUBERÍA: 2” DE DIAMETRO.</t>
  </si>
  <si>
    <t>C3EXT-0399</t>
  </si>
  <si>
    <t>SUMINISTRO, CARGA, ACARREO, DESCARGA Y PUESTA EN SITIO COSTA FUERA DE CONCENTRADOR DE SEÑALES INALAMBRICAS, CERTIFICACION: FM FACTORY MUTUAL, TIPO DE MONTAJE: MONTAJE REMOTO, SE REQUIEREN ACCESORIOS, TIPO DE ANTENA: OMNIDIRECCIONAL, GANANCIA DE LA ANTENA: POR LO MENOS +6Db, CABLE DE ANTENA: REQUERIDO PARA MONTAJE REMOTO, 15.2 m DE LONGITUD, ARRESTADOR DE RAYOS: 50 OHM TIPO TUBO DE GAS, CLASIFICACION ELÉCTRICA: NEMA 4X, MONTAJE: EN SUPERFICIE, ENSAMBLADO CON CABLE DE ANTENA MONTADA REMOTAMENTE, FRECUENCIA DE TRANSMISION Y PROTOCOLO: RED AUTO CONFIGURABLE 2.4-2.5 Ghz. DSS, ESTANDAR DE CONTROL O INFORMACION: IEEE 802.15.4, RANGO DE TEMPERATURA DE FUNCIONAMIENTO: -40 °C A 60°C, SEÑAL DE SALIDA CON OTROS DISPOSITIVOS: 1 PUERTO MODBUS RTU + 2 PUERTOS ETHERNET 10 Base T / 100 MPS, VELOCIDAD DE TRANSMISION (PARA PUERTO MODBUS): CONFIGURABLE DE 9600 A 57600 BPS, ENTRADAS / SALIDAS DE DISPOSITIVOS DE CAMPO: TIPO INALAMBRICO.PROTOCOLO HART WIRELESS, SUMINSTRO ELÉCTRICO: 12 VCD NOMINALES, TAMAÑO DE CONEXIÓN ELECTRICA: 1/2” NPT, PROTECCIÓN CONTRA ENTRADA DE AGENTES EXTERNOS: NEMA 4X, MATERIAL DE LA CUBIERTA (CAJA): ALUMINO BAJO EN COBRE (NOTA 2). CON RECUBRIMIENTO EPÓXICO QUE DEBERÁ SER EL ADECUADO PARA UN AMBIENTE MARINO Y CORROSIVO, NUMERO DE DISPOSITIVOS A CONECTAR: DE 50 A 100 DISPOSITIVOS MAX, LATENCIA PERMITIDA PARA 100 DISPOSITIVOS INALAMBRICOS: 10 s, SOFTWARE DE CONFIGURACION: REQUERIDO,  CONFIGURACION: CON COMPUTADOR A TRAVES DEL PUERTO ETHERNET. DE ACUERDO CON LA HOJA DE DATOS HD-811.003-YAXCHE-C-P-002 Y ESPECIFICACION TECNICA EPI-811.003-YAXCHE-C-P-002.</t>
  </si>
  <si>
    <t>C3EXT-0400</t>
  </si>
  <si>
    <t>1C-15</t>
  </si>
  <si>
    <t>SUMINISTRO, PRUEBA HIDROSTÁTICA, CARGA, ACARREO, DESCARGA Y PUESTA EN SITIO COSTA FUERA DE VÁLVULA DE RETENCÓN DE 6” DE DIÁMETRO NOMINAL DOBLE DISCO TIPO LUG (OREJADA), CUERPO DE ACERO AL CARBÓN FUNDIDO, ESPECIFICACIÓN ASTM A 216 GR. WCB, DISEÑO CONFORME API-594 TIPO “A”, CARA REALZADA (RF) Y DIMENSIONES DE BRIDAS DE ACUERDO CON ASME B16.5, DISTANCIA ENTRE CARAS CONFORME API-594, SELLOS METAL A METAL CON DOBLE DISCO EN ACERO INOXIDABLE ASTM A351 CF8M (TRIM 10), ANILLO DE ASIENTO INTEGRAL AL CUERPO CON RECUBRIMIENTO DE ACERO INOXIDABLE AWS A5.9 (ER-316), PERNO DE ACERO INOXIDABLE ASTM A276 GRADO 316, PERNO TOPE DE ACERO INOXIDABLE ASTM A276 GRADO 316, PRUEBAS CONFORME API-598, DEBE CUMPLIR CON LOS REQUISITOS TÉCNICOS Y DOCUMENTALES DE PEMEX-EST-TD-142-2022 Ó VERSIÓN ACTUAL, NACE MR-0175/ISO 15156.</t>
  </si>
  <si>
    <t>C3EXT-0299</t>
  </si>
  <si>
    <t>2C-15</t>
  </si>
  <si>
    <t>SUMINISTRO, PRUEBA HIDROSTÁTICA, CARGA, ACARREO, DESCARGA Y PUESTA EN SITIO COSTA FUERA DE VÁLVULA DE BOLA EXTREMOS BRIDADOS DE 12"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VALVULA DE PTFE (TEFLÓN),EMPAQUETADURA DEL VÁSTAGO: DE PTFE (TEFLON),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TÉCNICO PEMEX-EST-TD-142-2022 O VERSIÓN ACTUAL.</t>
  </si>
  <si>
    <t>C3EXT-0301</t>
  </si>
  <si>
    <t>3C-15</t>
  </si>
  <si>
    <t>SUMINISTRO, PRUEBA HIDROSTÁTICA, CARGA, ACARREO, DESCARGA Y PUESTA EN SITIO COSTA FUERA DE VÁLVULA ESFÉRICA DE 6”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VÁLVULA DE PTFE (TEFLÓN),EMPAQUETADURA DEL VÁSTAGO: DE PTFE (TEFLÓN),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TECNICO PEMEX-EST-TD-142-2022 O VERSIÓN ACTUAL.</t>
  </si>
  <si>
    <t>C3EXT-0300</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</si>
  <si>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</si>
  <si>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</si>
  <si>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C3EXT-0899</t>
  </si>
  <si>
    <t>SUMINISTRO, CARGA, ACARREO, DESCARGA Y PUESTA EN SITIO COSTA FUERA DE CÁMARA DE CONDENSADOS DE ACERO INOXIDABLE 316, CON 3 ENTRADAS (INFERIOR SUPERIOR Y MEDIA) DE 1/2"NPT. 6000 PSI, SIN COSTURA.</t>
  </si>
  <si>
    <t>C3EXT-0405</t>
  </si>
  <si>
    <t>5C-15</t>
  </si>
  <si>
    <t>SUMINISTRO, CARGA, ACARREO, DESCARGA Y PUESTA EN SITIO COSTA FUERA DE CAJA DE REGISTRO A PRUEBA DE EXPLOSIÓN, PARA ÁREAS PELIGROSAS, USO INTEMPERIE, CLASE I, DIVISIÓN 2, GRUPOS B, C y D, SERIE REDONDA, TIPO "L" DE 51 mm (2") DE DIAMETRO; FABRICADA EN ALUMINIO LIBRE DE COBRE, CON RECUBRIMIENTO EXTERIOR DE PVC DE 40 MILÉSIMAS DE PULGADA E INTERIOR CON 2 MILÉSIMAS DE PULGADA DE URETANO.</t>
  </si>
  <si>
    <t>C3EXT-0900</t>
  </si>
  <si>
    <t>SUMINISTRO, CARGA, ACARREO, DESCARGA Y PUESTA EN SITIO COSTA FUERA DE TE CONECTOR DE 3/8" O.D. X 3/8" O.D. X 3/8" O.D. DE ACERO INOXIDABLE 316L, ALTO SELLO Y DOBLE FERULA, ASTM A182/ASME SA-182.</t>
  </si>
  <si>
    <t>C3EXT-0407</t>
  </si>
  <si>
    <t>6C-15</t>
  </si>
  <si>
    <t>SUMINISTRO, CARGA, ACARREO, DESCARGA Y PUESTA EN SITIO COSTA FUERA DE CAJA DE REGISTRO A PRUEBA DE EXPLOSIÓN, PARA ÁREAS PELIGROSAS, USO INTEMPERIE, CLASE I, DIVISIÓN 2, GRUPOS B, C y D, SERIE REDONDA, TIPO "T" DE 51 mm (2") DE DIAMETRO; FABRICADA EN ALUMINIO LIBRE DE COBRE, CON RECUBRIMIENTO EXTERIOR DE PVC DE 40 MILÉSIMAS DE PULGADA E INTERIOR CON 2 MILÉSIMAS DE PULGADA DE URETANO.</t>
  </si>
  <si>
    <t>C3EXT-0901</t>
  </si>
  <si>
    <t>7C-15</t>
  </si>
  <si>
    <t>SUMINISTRO, CARGA, ACARREO, DESCARGA Y PUESTA EN SITIO COSTA FUERA DE SELLO MACHO-HEMBRA PARA ÁREAS PELIGROSAS CLASE I, DIVISIÓN 2, GRUPOS B, C y D, DE 51mm (2" DE DIAMETRO) PARA SELLAR TUBERÍA EN POSICIÓN VERTICAL U HORIZONTAL DE ALUMINIO LIBRE DE COBRE CED-40 CON RECUBRIMIENTO EXTERIOR DE 40 MILÉSIMAS DE PULGADA DE PVC E INTERIOR DE 2 MILÉSIMAS DE PULGADA.</t>
  </si>
  <si>
    <t>C3EXT-0902</t>
  </si>
  <si>
    <t>8C-15</t>
  </si>
  <si>
    <t>SUMINISTRO, CARGA, ACARREO, DESCARGA Y PUESTA EN SITIO COSTA FUERA DE TUERCA UNIÓN  HEMBRA-MACHO DE 51mm (2" DE DIAMETRO), PARA USO EN ÁREAS PELIGROSAS, CLASE I, DIVISIÓN 2, GRUPOS B, C y D, FABRICADO EN ALUMINIO LIBRE DE COBRE CON RECUBRIMIENTO EXTERIOR DE PVC E INTERIOR CON URETANO.</t>
  </si>
  <si>
    <t>C3EXT-0903</t>
  </si>
  <si>
    <t>9C-15</t>
  </si>
  <si>
    <t>SUMINISTRO, CARGA, ACARREO, DESCARGA Y PUESTA EN SITIO COSTA FUERA DE REDUCCIÓN BUSHING DE 3/4" X 2" DE DIAMETRO DE ALUMINIO LIBRE DE  COBRE  RECUBRIMIENTO  EXTERIOR  E  INTERIOR  DE URETANO CLASE 1 DIV. 1 Y 2 Gr. C.</t>
  </si>
  <si>
    <t>C3EXT-0904</t>
  </si>
  <si>
    <t>SUMINISTRO, CARGA, ACARREO, DESCARGA Y PUESTA EN SITIO COSTA FUERA DE CONECTOR HEMBRA DE 3/4"Ø NPTF X 1/4" O.D., DE ACERO INOXIDABLE 316L, ALTO SELLO Y DOBLE FERULA, ASTM A276/ASME SA479.</t>
  </si>
  <si>
    <t>C3EXT-0412</t>
  </si>
  <si>
    <t>C-16</t>
  </si>
  <si>
    <t>1C-16</t>
  </si>
  <si>
    <t>SUMINISTRO, CARGA, ACARREO, DESCARGA Y PUESTA EN SITIO COSTA FUERA DE TUBERÍA CONDUIT DE ALUMINIO CÉDULA 40, CON CUERDA ESTARDAR EN AMBOS EXTREMOS, CON RECUBRIMIENTO EXTERIOR DE PVC E INTERIOR DE URETANO DE 2" DIÁMETRO.</t>
  </si>
  <si>
    <t>C3EXT-0897</t>
  </si>
  <si>
    <t>2C-16</t>
  </si>
  <si>
    <t>SUMINISTRO, CARGA, ACARREO, DESCARGA Y PUESTA EN SITIO COSTA FUERA DE REDUCCIÓN BUSHING DE 1 1/2" X 2" DE DIAMETRO DE ALUMINIO LIBRE DE COBRE CON RECUBRIMIENTO EXTERIOR DE PVC E INTERIOR DE URETANO.CLASE 1 DIC. 1 Y 2 GR. C Y D.</t>
  </si>
  <si>
    <t>C3EXT-0908</t>
  </si>
  <si>
    <t>SUMINISTRO, CARGA, ACARREO, DESCARGA Y PUESTA EN SITIO COSTA FUERA DE TAPÓN TIPO O.D. DE 3/8", DE ACERO INOXIDABLE 316L, ASTM A276/ASME SA479.</t>
  </si>
  <si>
    <t>C3EXT-0415</t>
  </si>
  <si>
    <t>2C-010</t>
  </si>
  <si>
    <t>BARCO GRÚA CON POSICIONAMIENTO DINÁMICO CLASE 2 OMI  (EN ESPERA)</t>
  </si>
  <si>
    <t>C1EXT-0004</t>
  </si>
  <si>
    <t>C-18</t>
  </si>
  <si>
    <t>1C-18</t>
  </si>
  <si>
    <t>TÉCNICO ESPECIALISTA ROPE-ACCESS NIVEL 3 (MAR).</t>
  </si>
  <si>
    <t>BME-3801-007-2024</t>
  </si>
  <si>
    <t>OT-GRZ-801-24-028-NHA1-GBP-016</t>
  </si>
  <si>
    <t>C4EXT-0022</t>
  </si>
  <si>
    <t>028-NHA1-GBP-016</t>
  </si>
  <si>
    <t>2C-18</t>
  </si>
  <si>
    <t>TÉCNICO ESPECIALISTA ROPE-ACCESS NIVEL 2 (MAR).</t>
  </si>
  <si>
    <t>C4EXT-0023</t>
  </si>
  <si>
    <t>SUMINISTRO, CARGA, ACARREO, DESCARGA Y PUESTA EN SITIO COSTA FUERA DE TAPÓN MACHO 1" NPT, DE CABEZA HEXAGONAL DE ACERO AL CARBON ESPECIFICACION ASTM A-105, 6000#.</t>
  </si>
  <si>
    <t>C3EXT-0419</t>
  </si>
  <si>
    <t>SUMINISTRO, CARGA, ACARREO, DESCARGA Y PUESTA EN SITIO COSTA FUERA DE FLEJE DE ACERO INOXIDABLE CAL. 22, ASTM A240 GRADO 304, DE 3/8” DE ANCHO.</t>
  </si>
  <si>
    <t>C3EXT-0420</t>
  </si>
  <si>
    <t>SUMINISTRO, CARGA, ACARREO, DESCARGA Y PUESTA EN SITIO COSTA FUERA DE FLEJE DE ACERO INOXIDABLE 304, DE 1/2" DE ANCHO.</t>
  </si>
  <si>
    <t>C3EXT-0421</t>
  </si>
  <si>
    <t>SUMINISTRO, CARGA, ACARREO, DESCARGA Y PUESTA EN SITIO COSTA FUERA DE HEBILLA DE ACERO INOXIDABLE 304 PARA FLEJE DE ACERO INOXIDABLE 316, DE 1/2" DE ANCHO.</t>
  </si>
  <si>
    <t>C3EXT-0422</t>
  </si>
  <si>
    <t>SUMINISTRO, CARGA, ACARREO, DESCARGA Y PUESTA EN SITIO COSTA FUERA DE HEBILLA DE ACERO INOXIDABLE ASTM A240 GRADO 304 DE 3/8” DE ANCHO.</t>
  </si>
  <si>
    <t>C3EXT-0423</t>
  </si>
  <si>
    <t>C-19</t>
  </si>
  <si>
    <t>10C-19</t>
  </si>
  <si>
    <t>SUMINISTRO, CARGA, ACARREO, DESCARGA Y PUESTA EN SITIO COSTA FUERA DE COPLE FLEXIBLE APRUEBA DE EXPLOSIÓN CLASE I, DIVISIÓN 2, GRUPOS B, C Y D, COMPUESTO DE TUBO RETARDADO DE FLAMA, CUBIERTA EXTERIOR DE MALLA DE BRONCE TRENZADO CON CONECTORES EN LOS EXTREMOS ROSCA MACHO DE LATÓN FORJADO, CON RECUBRIMIENTO EXTERIOR DE PVC., DE 21 mm (3/4") DIÁMETRO x 15" DE LONGITUD.</t>
  </si>
  <si>
    <t>C3EXT-0860</t>
  </si>
  <si>
    <t>SUMINISTRO, CARGA, ACARREO, DESCARGA Y PUESTA EN SITIO COSTA FUERA DE PLACA DE IDENTIFICACION EN LAMINA DE ACERO INOXIDABLE CAL. 22 GRABADO EN BAJO RELIEVE EN COLOR NEGRO, TAMAÑO ESTANDAR DE 1/8"(38 MM X 16MM). INCLUYE DOS REMACHES DE 1/8" Ø X 1/2" LONG.</t>
  </si>
  <si>
    <t>C3EXT-0425</t>
  </si>
  <si>
    <t>SERVICIO DE INTEGRACIÓN DE SEÑALES DE LOS INSTRUMENTOS EN LA PLATAFORMA YAXCHE-C.</t>
  </si>
  <si>
    <t>C3EXT-0426</t>
  </si>
  <si>
    <t>SUMINISTRO, CARGA, ACARREO, DESCARGA Y PUESTA EN SITIO COSTA FUERA DE EXTINTOR POTÁTIL DE POLVO QUÍMICO SECO (PQS). CLASIFICACIÓN UL 10A-120B:C, AGENTE EXTINGUIDOR A BASE DE FOSFATO MONOAMÓNICO, CAPACIDAD DEL AGENTE EXTINGUIDOR 9.07 KG. (20 LB.), PRESIÓN DE OPERACIÓN 195 PSI, SUPERFICIE MÍNIMA DE EXTINCIÓN DE 6.97 M2 (75 PIES2), TIEMPO APROXIMADO DE DESCARGA 3.08 A 25 SEG., ALCANCE DE DESCARGA 6.4 M (21 PIES).DEBE RESISTIR LA CORROSIÓN Y EL AMBIENTE MARINO. TERMINADO EN COLOR ROJO BERMELLÓN. INCLUYE SOPORTE Y TORNILLOS PARA SUJECIÓN.</t>
  </si>
  <si>
    <t>C3EXT-0427</t>
  </si>
  <si>
    <t>SUMINISTRO, CARGA, ACARREO, DESCARGA Y PUESTA EN SITIO COSTA FUERA DE BOQUILLA DE ASPERSIÓN DE TIPO CONO LLENO FLUJO CONSTANTE, CON UN ÁNGULO DE APLICACIÓN FIJO DE 120°, PATRÓN DE ASPERSIÓN TIPO NIEBLA, CON UNA CAPACIDAD DE 60 GPM A 60-125 PSI (4.2-8.79 KG/CM2), CON CONEXIÓN DE 1 1/2” NPT MACHO, FABRICADAS EN ACERO INOXIDABLE ASTM 316.</t>
  </si>
  <si>
    <t>C3EXT-0428</t>
  </si>
  <si>
    <t>SUMINISTRO, CARGA, ACARREO, DESCARGA Y PUESTA EN SITIO COSTA FUERA DE LETRERO DE SEGURIDAD, MATERIAL ALUMINIO LIBRE DE COBRE CON ACABADO REFLEJANTE DE 3 MM DE ESPESOR MÍNIMO. DE SEÑAL DEL TIPO PROHIBICIÓN, IDENTIFICACIÓN SP-01, CON LA LEYENDA “PROHIBIDO FUMAR”. FONDO DE COLOR BLANCO, BANDAS CIRCULAR Y DIAGONAL EN COLOR ROJO Y SÍMBOLO EN COLOR NEGRO, FORMA GEOMÉTRICA CIRCULAR, DIMENSIONES 350 X 400 MM.</t>
  </si>
  <si>
    <t>C3EXT-0429</t>
  </si>
  <si>
    <t>SUMINISTRO, CARGA, ACARREO, DESCARGA Y PUESTA EN SITIO COSTA FUERA DE LETRERO DE SEGURIDAD, MATERIAL ALUMINIO LIBRE DE COBRE CON ACABADO REFLEJANTE DE 3 MM DE ESPESOR MÍNIMO. DE SEÑAL DEL TIPO OBLIGATORIA, IDENTIFICACIÓN SO-01, CON LA LEYENDA “USE EL EQUIPO DE PROTECCIÓN PERSONAL”. FONDO DE COLOR AZUL, COLOR DEL SÍMBOLO EN BLANCO, FORMA GEOMÉTRICA CIRCULAR, DIMENSIONES 350 X 400 MM.</t>
  </si>
  <si>
    <t>C3EXT-0430</t>
  </si>
  <si>
    <t>SUMINISTRO, CARGA, ACARREO, DESCARGA Y PUESTA EN SITIO COSTA FUERA DE LETRERO DE SEGURIDAD, MATERIAL ALUMINIO LIBRE DE COBRE CON ACABADO REFLEJANTE DE 3 MM DE ESPESOR MÍNIMO. DE SEÑAL DEL TIPO UBICACIÓN, IDENTIFICACIÓN SII-01, CON LA LEYENDA “RUTA DE EVACUACIÓN”, FLECHA A LA IZQUIERDA, FONDO DE COLOR VERDE, COLOR DEL SÍMBOLO EN BLANCO, FORMA GEOMÉTRICA RECTANGULAR. DIMENSIONES 400 X 300 MM.</t>
  </si>
  <si>
    <t>C3EXT-0431</t>
  </si>
  <si>
    <t>SUMINISTRO, CARGA, ACARREO, DESCARGA Y PUESTA EN SITIO COSTA FUERA DE LETRERO DE SEGURIDAD, MATERIAL ALUMINIO LIBRE DE COBRE CON ACABADO REFLEJANTE DE 3 MM DE ESPESOR MÍNIMO. DE SEÑAL DEL TIPO UBICACIÓN, IDENTIFICACIÓN SII-02, CON LA LEYENDA “RUTA DE EVACUACIÓN”, FLECHA A LA DERECHA, FONDO DE COLOR VERDE, COLOR DEL SÍMBOLO EN BLANCO, FORMA GEOMÉTRICA RECTANGULAR. DIMENSIONES 400 X 300 MM.</t>
  </si>
  <si>
    <t>C3EXT-0432</t>
  </si>
  <si>
    <t>MOVILIZACION  EQUIPO DE BUCEO DE SUPERFICIE (PARA 04 BUZOS y 01 CAMARA DE DESCOMPRESION)</t>
  </si>
  <si>
    <t>C3EXT-0433</t>
  </si>
  <si>
    <t>DESMOVILIZACION EQUIPO DE BUCEO DE SUPERFICIE (PARA 04 BUZOS y 01 CAMARA DE DESCOMPRESION)</t>
  </si>
  <si>
    <t>C3EXT-0434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</si>
  <si>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(½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EPI-811.0003-YAXCHE-C-P-003, HD-811.0003-YAXCHE-C-P-003 RANGO  0 – 21 KG/CM2.</t>
  </si>
  <si>
    <t>C3EXT-0435</t>
  </si>
  <si>
    <t>11C-19</t>
  </si>
  <si>
    <t>SUMINISTRO, CARGA, ACARREO, DESCARGA Y PUESTA EN SITIO COSTA FUERA DE CONECTOR MEYER HUB DE ALUMINIO LIBRE DE COBRE DE 1" DE DIÁMETRO (27MM), MODELO STA 3.</t>
  </si>
  <si>
    <t>C3EXT-0912</t>
  </si>
  <si>
    <t>SUMINISTRO, CARGA, ACARREO, DESCARGA Y PUESTA EN SITIO COSTA FUERA DE TORNILLO CABEZA HEXAGONAL AC INOX 316 CON TUERCA HEXAGONAL, ARANDELAS PLANAS Y DE PRESION DE 1/4" DE DIAMETRO X 1 1/2" DE LONGITUD.</t>
  </si>
  <si>
    <t>C3EXT-0437</t>
  </si>
  <si>
    <t>SERVICIO DE ENCHAQUETADO DE LAS ABRAZADERAS DE LOS SENSORES DE LOS TRANSMISORES DE TEMPERATURA, PARA TUBERÍA DE 6” DE DIAMETRO CON TERMOAISLANTE TIPO VIDRIO CELULAR, DE 1/2" DE ESPESOR, CONSTITUCIÓN SÍLICOALUMINOSO. ESPUMÁNDOLO CON CARBONO DURANTE SU PROCESO DE FABRICACIÓN.</t>
  </si>
  <si>
    <t>C3EXT-0438</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</si>
  <si>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TSCP-1000 EXISTENTE, DE LA PLATAFORMA YAXCHE -C., B. SE REQUIERE HABILITAR EN EL TABLERO TSCP-1001 POR PROYECTO (COSTADO IZQUIERDO), UNA SALIDA CON PASAMUROS Y ESTA SE DEBE CONECTAR AL CIRCUITO DE 50 PSI DE CONTROL DEL TABLERO EXISTENTE PARA CUANDO SE GENERE UN PARO EN CUALQUIERA DE LOS TABLEROS SE REFLEJE EL PARO EN AMBOS TABLEROS DE CONTROL DE POZOS., C. AMBAS CONEXIONES DEBEN INCLUIR VÁLVULA CHECK ANTES DE LA VÁLVULA DE CARGA DE LA RED DE CONTROL. VER PLANO B-811.003-YAXCHE-C-P-017.</t>
  </si>
  <si>
    <t>C3EXT-0439</t>
  </si>
  <si>
    <t>ADIESTRAMIENTO COSTA FUERA PARA LA OPERACIÓN Y MANTENIMIENTO MENOR DE DE PLANTA DE TRATAMIENTO DE AGUAS CONGÉNITAS PA-5600 C EN PLATAFORMA CB-LIT-A DEL C.P. LITORAL-A CONFORME A LA BASES DE DISEÑO, BD-CB-LIT-A-A-001_REV.0 Y FILOSOFÍA DE OPERACIÓN: FO-CB-LIT-A-A-014_REV.0   INCLUYE: MATERIAL DIDACTICO DEL EQUIPO.</t>
  </si>
  <si>
    <t>C3EXT-0457</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</si>
  <si>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</si>
  <si>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C3EXT-0459</t>
  </si>
  <si>
    <t>12C-19</t>
  </si>
  <si>
    <t>SUMINISTRO, CARGA, ACARREO, DESCARGA Y PUESTA EN SITIO COSTA FUERA DE CONECTOR MEYER HUB DE ALUMINIO LIBRE DE COBRE DE 2" DE DIÁMETRO (51MM), MODELO STA 6.</t>
  </si>
  <si>
    <t>C3EXT-0913</t>
  </si>
  <si>
    <t>13C-19</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</si>
  <si>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</si>
  <si>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C3EXT-0917</t>
  </si>
  <si>
    <t>14C-19</t>
  </si>
  <si>
    <t>SUMINISTRO, CARGA, ACARREO, DESCARGA Y PUESTA EN SITIO COSTA FUERA DE CONECTOR TMCX DE ALUMINIO LIBRE DE COBRE, CON RECUBRIMIENTO EXTERIOR DE PVC DE 40 MILÉSIMAS DE PULGADA E INTERIOR DE URETANO ROJO DE 2 MILÉSIMAS DE PULGADA, PARA UNOS DE ÁREAS CLASE I, GRUPOS C, D, CUERDA NPT DE 25 mm (1") DE DIÁMETRO, CAT. TMCX-3112 DBR.</t>
  </si>
  <si>
    <t>C3EXT-0920</t>
  </si>
  <si>
    <t>SUMINISTRO, CARGA, ACARREO, DESCARGA Y PUESTA EN SITIO COSTA FUERA DE TABLERO DE SEGURIDAD Y CONTROL DE POZOS DISEÑO MODULAR PARA CONTROLAR SEIS (6) POZOS.  EL TSCP QUE SE SUMINISTRE DEBERÁ CONTAR CON 3 MÓDULOS PARA CONTROL DE 3 POZOS DE PRODUCCIÓN Y CON TRES ESPACIOS DISPONIBLES PARA TRES MÓDULOS DE CONTROL DE 3 POZOS A FUTURO. LA OPERACIÓN LOCAL Y/O AUTOMÁTICA DE APERTURA Y CIERRE DE CADA UNO DE LOS POZOS DE LA PLATAFORMA, SE REALIZARÁ MEDIANTE EL SUMINISTRO DE LA ENERGÍA HIDRÁULICA A LOS ACTUADORES DE LAS SSSV (VÁLVULAS SUBSUPERFICIALES) Y NEUMÁTICA A LOS ACTUADORES DE LAS SSV (VÁLVULAS SUPERFICIALES), DEL SISTEMA DE VÁLVULAS DE CADA POZO. CONSTITUIDO POR. · GABINETE. · SISTEMA DE CONTROL Ü SECCIÓN MAESTRA. Ü SECCIÓN MÓDULOS DE CONTROLÜ SECCIÓN DE DESVIÓ · UNIDAD DE SUMINISTRO DE POTENCIA HIDRÁULICA · SISTEMA NEUMÁTICO DE TAPÓN FUSIBLE · ESTACIONES MANUALES DE PARO DE EMERGENCIA. · TUBING, ACCESORIOS Y ETIQUETAS DE IDENTIFICACIÓN. UNIDAD HIDRÁULICA PORTÁTIL. VER ESP. EPI-811.030-YAXCHE-C-P-007 REV.1 ., HOKA DE DATOS HD-811.030-YAXCHE-C-P-007 REV. 1 Y PLANO B-811.030-YAXCHE-C-P-008 REV. 1. NO  INCLUYE REFACCIONAMIENTO.</t>
  </si>
  <si>
    <t>C3EXT-0463</t>
  </si>
  <si>
    <t>SERVICIOS DE ASISTENCIA TÉCNICA COSTA FUERA POR PERSONAL ESPECIALIZADO DEL FABRICANTE DEL TABLERO DE SEGURIDAD DE CONTROL DE POZOS  (TSCP) DURANTE EL  ENSAMBLE, INSTALACIÓN, COMISIONAMIENTO, PRUEBAS PREOPERACIONALES, PRUEBAS OSAT Y ARRANQUE.</t>
  </si>
  <si>
    <t>C3EXT-0464</t>
  </si>
  <si>
    <t>ADIESTRAMIENTO COSTA FUERA POR PERSONAL ESPECIALIZADO DEL FABRICANTE DEL TABLERO DE SEGURIDAD DE CONTROL DE POZOS (TSCP) PARA LA CORRECTA OPERACIÓN Y MANTENIMIENTO PREVENTIVO MENOR DEL EQUIPO. ENTRENAMIENTO DEBERÁ REALIZARSE EN EL TSCP PREVIO AL PROCEDIMIENTO SAT.</t>
  </si>
  <si>
    <t>C3EXT-0465</t>
  </si>
  <si>
    <t>SUMINISTRO E INYECCIÓN DE GROUT SUBMARINO HPC MEDIANTE BOMBEO CONTROLADO CON UNA DENSIDAD PROMEDIO DE LA LECHADA DE 2300 KG/M3 CON UNA RESISTENCIA A LA COMPRESIÓN REQUERIDA A LAS 33 MPA A LAS 24 HORAS, DE 55 MPA A LAS 3 DÍAS DE 60 MPA A LOS 7 DÍAS Y DE 80 MPA A LOS 28 DÍAS  CON UNA RELACIÓN MODULAR DE ACERO GROUT DE 18, BASE DE CEMENTO PORTLAND, ALTA RESISTENCIA A LOS SULFATOS INCLUYE: EQUIPOS, MANO DE OBRA ESPECIALIZADA, CONSUMIBLES PARA LA PREPARACIÓN DE LA MEZCLA Y BOMBEO HACIA CONEXIÓN DE INYECCIÓN LOCALIZADO ENTRE LOS 20 M Y 40 M DE TIRANTE DE AGUA.</t>
  </si>
  <si>
    <t>C3EXT-0466</t>
  </si>
  <si>
    <t>SUMINISTRO, CARGA, ACARREO, DESCARGA Y PUESTA EN SITIO COSTA FUERA DE TORNILLO DE ACERO GALVANIZADO 1/2" DE DIAMETRO x 1 1/2" DE LONGITUD CON ROLDANAS DE PRESIÓN Y TUERCA HEXAGONAL.ASTM F3125.</t>
  </si>
  <si>
    <t>C3EXT-0469</t>
  </si>
  <si>
    <t>LEVANTAMIENTO CON EQUIPOS ESPECIALIZADOS; SCANNER LASER CON EQUIPO DRON EN SUPERESTRUCTURA DE PLATAFORMA EXCOMPRESION Y PUENTE DE INTERCONEXION CON PLATAFORMA ALEDAÑA, INCLUYE REPORTES RTK DRON CYCLONE, PARA LA ELABORACIÓN DE INGENIERIA DE DETALLE DE AISLAMIENTO DE EXCOMPRESION.</t>
  </si>
  <si>
    <t>C3EXT-0470</t>
  </si>
  <si>
    <t>SUMINISTRO, CARGA, ACARREO, DESCARGA Y PUESTA EN SITIO COSTA FUERA DE ABRAZADERA TIPO "U" PARA TUBERIA DE 4" DE DIÁMETRO CON VARILLA DE 3/8" DE DIÁMETRO DE ACERO GALVANIZADO CON ARANDELA Y TUERCAS.</t>
  </si>
  <si>
    <t>C3EXT-0484</t>
  </si>
  <si>
    <t>SUMINISTRO, CARGA, ACARREO, DESCARGA Y PUESTA EN SITIO COSTA FUERA DE ABRAZADERA TIPO "U" PARA TUBERIA DE 3" DE DIÁMETRO CON VARILLA DE 3/8" DE DIÁMETRO DE ACERO GALVANIZADO CON ARANDELA Y TUERCAS.</t>
  </si>
  <si>
    <t>C3EXT-0485</t>
  </si>
  <si>
    <t>SUMINISTRO, CARGA, ACARREO, DESCARGA Y PUESTA EN SITIO COSTA FUERA DE ABRAZADERA TIPO "U" PARA TUBERIA DE 2" DE DIÁMETRO CON VARILLA DE 3/8" DE DIÁMETRO DE ACERO GALVANIZADO CON ARANDELA Y TUERCAS.</t>
  </si>
  <si>
    <t>C3EXT-0486</t>
  </si>
  <si>
    <t>SUMINISTRO, CARGA, ACARREO, DESCARGA Y PUESTA EN SITIO COSTA FUERA DE ABRAZADERA TIPO "U" PARA TUBERIA DE 1 1/2" DE DIÁMETRO CON VARILLA DE 3/8" DE DIÁMETRO DE ACERO GALVANIZADO CON ARANDELA Y TUERCAS.</t>
  </si>
  <si>
    <t>C3EXT-0487</t>
  </si>
  <si>
    <t>SUMINISTRO E INSTALACIÓN COSTA FUERA DE COPLE FLEXIBLE DE LATÓN FORJADO PARA USO EN ÁREAS PELIGROSAS, EXTREMOS ROSCADOS DE 3/4" DIÁMETRO MACHO-HEMBRA, LONGITUD 15", CON RECUBRIMIENTO EXTERIOR DE PVC DE 40 MILÉSIMAS DE PULGADA E INTERIOR DE URETANO DE 2 MILÉSIMAS DE PULGADA.</t>
  </si>
  <si>
    <t>C3EXT-0488</t>
  </si>
  <si>
    <t>SUMINISTRO E INSTALACIÓN COSTA FUERA DE COPLE FLEXIBLE DE LATÓN FORJADO PARA USO EN ÁREAS PELIGROSAS, EXTREMOS ROSCADOS DE 2" DIÁMETRO MACHO-MACHO, LONGITUD 15", CON RECUBRIMIENTO EXTERIOR DE PVC DE 40 MILÉSIMAS DE PULGADA E INTERIOR DE URETANO DE 2 MILÉSIMAS DE PULGADA.</t>
  </si>
  <si>
    <t>C3EXT-0489</t>
  </si>
  <si>
    <t>SUMINISTRO E INSTALACIÓN COSTA FUERA DE CAJA DE REGISTRO PARA USO EN AREAS DE SERVICIOS GENERALES, DE ALUMINIO LIBRE DE COBRE, SERIE OVALADA, TIPO T, DE 21 MM (3/4" Ø) INCLUYE TAPA.</t>
  </si>
  <si>
    <t>C3EXT-0490</t>
  </si>
  <si>
    <t>SUMINISTRO E INSTALACIÓN COSTA FUERA DE CAJA DE REGISTRO PARA USO EN AREAS DE SERVICIOS GENERALES, SERIE RECTANGULAR TIPO FS DE ALUMINIO LIBRE DE COBRE CON RECUBRIMIENTO EXTERIOR DE PVC DE 40 MILÉSIMAS DE PULGADA E INTERIOR DE URETANO DE 2 MILÉSIMAS DE PULGADA CON ENTRADA DE 21MM (3/4"Ø)</t>
  </si>
  <si>
    <t>C3EXT-0491</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</si>
  <si>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3/4" Ø (21 mm)</t>
  </si>
  <si>
    <t>C3EXT-0492</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</si>
  <si>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53" Ø (2 mm)</t>
  </si>
  <si>
    <t>C3EXT-0493</t>
  </si>
  <si>
    <t>SUMINISTRO E INSTALACIÓN COSTA FUERA DE SELLO EYS HEMBRA-HEMBRA PARA USO EN AREAS DE SERVICIOS GENERALES EN ALUMINIO LIBRE DE COBRE CON RECUBRIMIENTO EXTERIOR DE PVC, DE 40 MILÉSIMAS DE PULGADA E INTERIOR DE URETANO DE 2 MILÉSIMAS DE PULGADA, DE TAMAÑO NPT 2 1/2” (63MM) Ø.</t>
  </si>
  <si>
    <t>C3EXT-0494</t>
  </si>
  <si>
    <t>SUMINISTRO E INSTALACIÓN COSTA FUERA DE TAPA PARA APAGADOR SENCILLO TIPO PALANCA PARA USO INTERPERIE, PARA INSTALACION EN CAJA TIPO FS, INCLUYE EMPAQUE DE NEUPRENO</t>
  </si>
  <si>
    <t>C3EXT-0495</t>
  </si>
  <si>
    <t>SUMINISTRO E INSTALACIÓN COSTA FUERA DE TUERCA UNIÓN TIPO "UNY" HEMBRA-HEMBRA PARA USO EN ÁREAS PELIGROSAS, DE ALUMINIO LIBRE DE COBRE CON RECUBRIMIENTO EXTERIOR DE PVC DE 40 MILÉSIMAS DE PULGADA E INTERIOR DE URETANO DE 2 MILÉSIMAS DE PULGADA, DE 21 MM (3/4" Ø)</t>
  </si>
  <si>
    <t>C3EXT-0496</t>
  </si>
  <si>
    <t>SUMINISTRO E INSTALACIÓN COSTA FUERA DE TUBO CONDUIT FLEXIBLE NO METALICO DE PVC DE 21 MM (3/4") DE DIAMETRO, PARA USO EN AREAS DE SERVICIOS GENERALES.</t>
  </si>
  <si>
    <t>C3EXT-0497</t>
  </si>
  <si>
    <t>SUMINISTRO E INSTALACIÓN COSTA FUERA DE LUMINARIA LED DE 45W, 220 VCA, DRIVER ELECTRÓNICO DE ESTADO SÓLIDO, FACTOR DE POTENCIA DE 0.90, ÓPTICA TIPO III, MONTAJE EN  PARED, ENTRADA PARA TUBERÍA CONDUIT DE 3/4", CLASE I, DIVISIÓN 2, GRUPOS C Y D, LENTE-CRISTAL RESISTENTE AL CALOR Y AL IMPACTO, TEMPERATURA DE OPERACIÓN T5.</t>
  </si>
  <si>
    <t>C3EXT-0498</t>
  </si>
  <si>
    <t>SUMINISTRO E INSTALACIÓN COSTA FUERA DE CONDUCTOR MONOPOLAR DE COBRE SUAVE CLASE TIPO B PARA 600 V CON AISLAMIENTO TIPO THW, THHW-LS TERMOPLASTICO RESISTENTE A LA HUMEDAD AL CALOR RETARDANTE A LA FLAMA, DE EMISION REDUCIDA DE HUMOS Y GASES ACIDOS, TEMPERATURA DE OPERACION 90°C EN AMBIENTE SECO Y 75°C AMBIENTE MOJADO COLOR NEGRO CALIBRE 33.6 MM2 (2 AWG.)</t>
  </si>
  <si>
    <t>C3EXT-0499</t>
  </si>
  <si>
    <t>SUMINISTRO E INSTALACIÓN COSTA FUERA DE TUERCA UNIÓN TIPO "UNY" HEMBRA-HEMBRA PARA USO EN ÁREAS PELIGROSAS, DE ALUMINIO LIBRE DE COBRE CON RECUBRIMIENTO EXTERIOR DE PVC DE 40 MILÉSIMAS DE PULGADA E INTERIOR DE URETANO DE 2 MILÉSIMAS DE PULGADA, DE 27 MM (1" Ø)</t>
  </si>
  <si>
    <t>C3EXT-0500</t>
  </si>
  <si>
    <t>SUMINISTRO E INSTALACIÓN COSTA FUERA DE TAPA DE 1 VENTANA PARA CAJA RECTANGULAR TIPO FS</t>
  </si>
  <si>
    <t>C3EXT-0501</t>
  </si>
  <si>
    <t>SUMINISTRO E INSTALACIÓN COSTA FUERA DE TAPA DE 3 VENTANAS PARA CAJA RECTANGULAR TIPO FS</t>
  </si>
  <si>
    <t>C3EXT-0502</t>
  </si>
  <si>
    <t>SUMINISTRO E INSTALACIÓN COSTA FUERA DE LUMINARIA LED DE 43W, 220 VCA, DRIVER ELECTRÓNICO DE ESTADO SÓLIDO, FACTOR DE POTENCIA DE 0.90, ÓPTICA TIPO III, MONTAJE EN PARED A 25°, ENTRADA PARA TUBERÍA CONDUIT DE 1 1/2", CLASE I, DIVISIÓN 2, GRUPOS C Y D, LENTE-CRISTAL RESISTENTE AL CALOR Y AL IMPACTO, TEMPERATURA DE OPERACIÓN T5 SERVICIO DE EMERGENCIA .</t>
  </si>
  <si>
    <t>C3EXT-0503</t>
  </si>
  <si>
    <t>SUMINISTRO E INSTALACIÓN COSTA FUERA DE ABRAZADERA TIPO SILBATO DE COBRE, PARA CONDUCTOR CALIBRE 2 A 2/0 AWG, CON ORIFICIO DE 6 MM DIAM.</t>
  </si>
  <si>
    <t>C3EXT-0504</t>
  </si>
  <si>
    <t>SUMINISTRO E INSTALACIÓN COSTA FUERA DE CABLE ARMADO MULTICONDUCTOR TIPO METAL CLAD (MC), CON CONDUCTORES DE COBRE SUAVE, AISLAMIENTO DE POLIETILENO DE CADENA CRUZADA (XLP), TIPO RHH/RHW-2, 90 C, 600 V, CON SEIS (6) CONDUCTORES CALIBRE (12 AWG) MÁS UN (1) CONDUCTOR CALIBRE 3.31 mm2 (12 AWG) DE PUESTA A TIERRA COLOR VERDE, CINTA REUNIDORA NO HIGROSCÓPICA, ARMADURA ENGARGOLADA DE ALUMINIO, CUBIERTA EXTERIOR DE PVC, PARA ÁREAS CLASIFICADAS CLASE I, DIVISIÓN 2.</t>
  </si>
  <si>
    <t>C3EXT-0505</t>
  </si>
  <si>
    <t>SUMINISTRO E INSTALACIÓN COSTA FUERA DE CABLE ARMADO MULTICONDUCTOR TIPO METAL CLAD (MC), CON CONDUCTORES DE COBRE SUAVE, AISLAMIENTO DE POLIETILENO DE CADENA CRUZADA (XLP), TIPO RHH/RHW-2, 90 C, 600 V, CON TRECE (13) CONDUCTORES CALIBRE (12 AWG) MÁS UN (1) CONDUCTOR CALIBRE 3.31 mm2 (12 AWG) DE PUESTA A TIERRA COLOR VERDE, CINTA REUNIDORA NO HIGROSCÓPICA, ARMADURA ENGARGOLADA DE ALUMINIO, CUBIERTA EXTERIOR DE PVC, PARA ÁREAS CLASIFICADAS CLASE I, DIVISIÓN 2.</t>
  </si>
  <si>
    <t>C3EXT-0506</t>
  </si>
  <si>
    <t>SUMINISTRO E INSTALACIÓN COSTA FUERA DE CAJA DE REGISTRO PARA USO EN AREAS DE SERVICIOS GENERALES, DE ALUMINIO LIBRE DE COBRE, SERIE OVALADA, TIPO T, DE 27 MM (1" Ø) IINCLUYE TAPA.</t>
  </si>
  <si>
    <t>C3EXT-0507</t>
  </si>
  <si>
    <t>SUMINISTRO E INSTALACIÓN COSTA FUERA DE CAJA DE REGISTRO SERIE RECTANGULAR TIPO FS PARA USO EN AREAS DE SERVICIOS GENERALES DE ALUMINIO LIBRE DE COBRE CON RECUBRIMIENTO EXTERIOR DE PVC DE 40 MILÉSIMAS DE PULGADA E INTERIOR DE URETANO DE 2 MILÉSIMAS DE PULGADA, CON ENTRADA DE 1" MM (1"Ø)</t>
  </si>
  <si>
    <t>C3EXT-0508</t>
  </si>
  <si>
    <t>SUMINISTRO E INSTALACIÓN COSTA FUERA DE TORNILLO DE CABEZA EXAGONAL DE ACERO INOXIDABLE DE 1/2"  DIAMETRO,  1" DE LONGITUD</t>
  </si>
  <si>
    <t>C3EXT-0509</t>
  </si>
  <si>
    <t>SUMINISTRO E INSTALACIÓN COSTA FUERA DE CABLE ARMADO MULTICONDUCTOR TIPO METAL CLAD (MC), CON CONDUCTORES DE COBRE SUAVE, AISLAMIENTO DE POLIETILENO DE CADENA CRUZADA (XLP), TIPO RHH/RHW-2, 90 C, 600 V, CON CATORCE (14) CONDUCTORES CALIBRE (12 AWG) MÁS UN (1) CONDUCTOR CALIBRE 3.31 mm2 (12 AWG) DE PUESTA A TIERRA COLOR VERDE, CINTA REUNIDORA NO HIGROSCÓPICA, ARMADURA ENGARGOLADA DE ALUMINIO, CUBIERTA EXTERIOR DE PVC, PARA ÁREAS CLASIFICADAS CLASE I, DIVISIÓN 2.</t>
  </si>
  <si>
    <t>C3EXT-0510</t>
  </si>
  <si>
    <t>SUMINISTRO E INSTALACIÓN COSTA FUERA DE CABLE ARMADO MULTICONDUCTOR TIPO METAL CLAD (MC), CON CONDUCTORES DE COBRE SUAVE, AISLAMIENTO DE POLIETILENO DE CADENA CRUZADA (XLP), TIPO RHH/RHW-2, 90 C, 600 V, CON CINCO (5) CONDUCTORES CALIBRE (12 AWG) MÁS UN (1) CONDUCTOR CALIBRE 3.31 mm2 (12 AWG) DE PUESTA A TIERRA COLOR VERDE, CINTA REUNIDORA NO HIGROSCÓPICA, ARMADURA ENGARGOLADA DE ALUMINIO, CUBIERTA EXTERIOR DE PVC, PARA ÁREAS CLASIFICADAS CLASE I, DIVISIÓN 2.</t>
  </si>
  <si>
    <t>C3EXT-0511</t>
  </si>
  <si>
    <t>SUMINISTRO E INSTALACIÓN COSTA FUERA DE CABLE ARMADO MULTICONDUCTOR TIPO METAL CLAD (MC), CON CONDUCTORES DE COBRE SUAVE, AISLAMIENTO DE POLIETILENO DE CADENA CRUZADA (XLP), TIPO RHH/RHW-2, 90 C, 600 V, CON CUATRO (4) CONDUCTORES CALIBRE (10 AWG) MÁS UN (1) CONDUCTOR CALIBRE 3.31 mm2 (12 AWG) DE PUESTA A TIERRA COLOR VERDE, CINTA REUNIDORA NO HIGROSCÓPICA, ARMADURA ENGARGOLADA DE ALUMINIO, CUBIERTA EXTERIOR DE PVC, PARA ÁREAS CLASIFICADAS CLASE I, DIVISIÓN 2.</t>
  </si>
  <si>
    <t>C3EXT-0512</t>
  </si>
  <si>
    <t>SUMINISTRO E INSTALACIÓN COSTA FUERA DE CABLE ARMADO MULTICONDUCTOR TIPO METAL CLAD (MC), CON CONDUCTORES DE COBRE SUAVE, AISLAMIENTO DE POLIETILENO DE CADENA CRUZADA (XLP), TIPO RHH/RHW-2, 90 C, 600 V, CON CUATRO (4) CONDUCTORES CALIBRE (12 AWG) MÁS UN (1) CONDUCTOR CALIBRE 3.31 mm2 (12 AWG) DE PUESTA A TIERRA COLOR VERDE, CINTA REUNIDORA NO HIGROSCÓPICA, ARMADURA ENGARGOLADA DE ALUMINIO, CUBIERTA EXTERIOR DE PVC, PARA ÁREAS CLASIFICADAS CLASE I, DIVISIÓN 2.</t>
  </si>
  <si>
    <t>C3EXT-0513</t>
  </si>
  <si>
    <t>SUMINISTRO E INSTALACIÓN COSTA FUERA DE CABLE ARMADO MULTICONDUCTOR TIPO METAL CLAD (MC), CON CONDUCTORES DE COBRE SUAVE, AISLAMIENTO DE POLIETILENO DE CADENA CRUZADA (XLP), TIPO RHH/RHW-2, 90 C, 600 V, CON DIEZ (10) CONDUCTORES CALIBRE (12 AWG) MÁS UN (1) CONDUCTOR CALIBRE 3.31 mm2 (12 AWG) DE PUESTA A TIERRA COLOR VERDE, CINTA REUNIDORA NO HIGROSCÓPICA, ARMADURA ENGARGOLADA DE ALUMINIO, CUBIERTA EXTERIOR DE PVC, PARA ÁREAS CLASIFICADAS CLASE I, DIVISIÓN 2.</t>
  </si>
  <si>
    <t>C3EXT-0514</t>
  </si>
  <si>
    <t>SUMINISTRO E INSTALACIÓN COSTA FUERA DE CABLE ARMADO MULTICONDUCTOR TIPO METAL CLAD (MC), CON CONDUCTORES DE COBRE SUAVE, AISLAMIENTO DE POLIETILENO DE CADENA CRUZADA (XLP), TIPO RHH/RHW-2, 90 C, 600 V, CON DOCE (12) CONDUCTORES CALIBRE (12 AWG) MÁS UN (1) CONDUCTOR CALIBRE 3.31 mm2 (12 AWG) DE PUESTA A TIERRA COLOR VERDE, CINTA REUNIDORA NO HIGROSCÓPICA, ARMADURA ENGARGOLADA DE ALUMINIO, CUBIERTA EXTERIOR DE PVC, PARA ÁREAS CLASIFICADAS CLASE I, DIVISIÓN 2.</t>
  </si>
  <si>
    <t>C3EXT-0515</t>
  </si>
  <si>
    <t>SUMINISTRO E INSTALACIÓN COSTA FUERA DE CABLE ARMADO MULTICONDUCTOR TIPO METAL CLAD (MC), CON CONDUCTORES DE COBRE SUAVE, AISLAMIENTO DE POLIETILENO DE CADENA CRUZADA (XLP), TIPO RHH/RHW-2, 90 C, 600 V, CON NUEVE (9) CONDUCTORES CALIBRE (12 AWG) MÁS UN (1) CONDUCTOR CALIBRE 3.31 mm2 (12 AWG) DE PUESTA A TIERRA COLOR VERDE, CINTA REUNIDORA NO HIGROSCÓPICA, ARMADURA ENGARGOLADA DE ALUMINIO, CUBIERTA EXTERIOR DE PVC, PARA ÁREAS CLASIFICADAS CLASE I, DIVISIÓN 2.</t>
  </si>
  <si>
    <t>C3EXT-0516</t>
  </si>
  <si>
    <t>SUMINISTRO E INSTALACIÓN COSTA FUERA DE CABLE ARMADO MULTICONDUCTOR TIPO METAL CLAD (MC), CON CONDUCTORES DE COBRE SUAVE, AISLAMIENTO DE POLIETILENO DE CADENA CRUZADA (XLP), TIPO RHH/RHW-2, 90 C, 600 V, CON OCHO (8) CONDUCTORES CALIBRE (12 AWG) MÁS UN (1) CONDUCTOR CALIBRE 3.31 mm2 (12 AWG) DE PUESTA A TIERRA COLOR VERDE, CINTA REUNIDORA NO HIGROSCÓPICA, ARMADURA ENGARGOLADA DE ALUMINIO, CUBIERTA EXTERIOR DE PVC, PARA ÁREAS CLASIFICADAS CLASE I, DIVISIÓN 2.</t>
  </si>
  <si>
    <t>C3EXT-0517</t>
  </si>
  <si>
    <t>SUMINISTRO E INSTALACIÓN COSTA FUERA DE CABLE ARMADO MULTICONDUCTOR TIPO METAL CLAD (MC), CON CONDUCTORES DE COBRE SUAVE, AISLAMIENTO DE POLIETILENO DE CADENA CRUZADA (XLP), TIPO RHH/RHW-2, 90 C, 600 V, CON ONCE (11) CONDUCTORES CALIBRE (12 AWG) MÁS UN (1) CONDUCTOR CALIBRE 3.31 mm2 (12 AWG) DE PUESTA A TIERRA COLOR VERDE, CINTA REUNIDORA NO HIGROSCÓPICA, ARMADURA ENGARGOLADA DE ALUMINIO, CUBIERTA EXTERIOR DE PVC, PARA ÁREAS CLASIFICADAS CLASE I, DIVISIÓN 2.</t>
  </si>
  <si>
    <t>C3EXT-0518</t>
  </si>
  <si>
    <t>SUMINISTRO E INSTALACIÓN COSTA FUERA DE CABLE ARMADO MULTICONDUCTOR TIPO METAL CLAD (MC), CON CONDUCTORES DE COBRE SUAVE, AISLAMIENTO DE POLIETILENO DE CADENA CRUZADA (XLP), TIPO RHH/RHW-2, 90 C, 600 V, CON QUINCE (15) CONDUCTORES CALIBRE (12 AWG) MÁS UN (1) CONDUCTOR CALIBRE 3.31 mm2 (12 AWG) DE PUESTA A TIERRA COLOR VERDE, CINTA REUNIDORA NO HIGROSCÓPICA, ARMADURA ENGARGOLADA DE ALUMINIO, CUBIERTA EXTERIOR DE PVC, PARA ÁREAS CLASIFICADAS CLASE I, DIVISIÓN 2.</t>
  </si>
  <si>
    <t>C3EXT-0519</t>
  </si>
  <si>
    <t>SUMINISTRO E INSTALACIÓN COSTA FUERA DE CABLE ARMADO MULTICONDUCTOR TIPO METAL CLAD (MC), CON CONDUCTORES DE COBRE SUAVE, AISLAMIENTO DE POLIETILENO DE CADENA CRUZADA (XLP), TIPO RHH/RHW-2, 90 C, 600 V, CON SEIS (6) CONDUCTORES CALIBRE (10 AWG) MÁS UN (1) CONDUCTOR CALIBRE 3.31 mm2 (12 AWG) DE PUESTA A TIERRA COLOR VERDE, CINTA REUNIDORA NO HIGROSCÓPICA, ARMADURA ENGARGOLADA DE ALUMINIO, CUBIERTA EXTERIOR DE PVC, PARA ÁREAS CLASIFICADAS CLASE I, DIVISIÓN 2.</t>
  </si>
  <si>
    <t>C3EXT-0520</t>
  </si>
  <si>
    <t>SUMINISTRO E INSTALACIÓN COSTA FUERA DE  LUMINARIA LED DE 43W, 220 VCA, DRIVER ELECTRÓNICO DE ESTADO SÓLIDO, FACTOR DE POTENCIA DE 0.90, ÓPTICA TIPO III, MONTAJE EN PARED, ENTRADA PARA TUBERÍA CONDUIT DE 3/4" DIÁMETRO, CLASE I, DIVISIÓN 2, GRUPOS C Y D, LENTE-CRISTAL RESISTENTE AL CALOR Y AL IMPACTO, TEMPERATURA DE OPERACIÓN T5, SERVICIO DE EMERGENCIA.</t>
  </si>
  <si>
    <t>C3EXT-0521</t>
  </si>
  <si>
    <t>SUMINISTRO E INSTALACIÓN COSTA FUERA DE  LUMINARIA LED DE 43W, 220 VCA, DRIVER ELECTRÓNICO DE ESTADO SÓLIDO, FACTOR DE POTENCIA DE 0.90, ÓPTICA TIPO V, MONTAJE COLGANTE, ENTRADA PARA TUBERÍA CONDUIT DE 3/4" DIÁMETRO, CLASE I, DIVISIÓN 2, GRUPOS CY D, LENTE-CRISTAL RESISTENTE AL CALOR Y AL IMPACTO, TEMPERATURA DE OPERACIÓN T5, SERVICIO DE EMERGENCIA.</t>
  </si>
  <si>
    <t>C3EXT-0522</t>
  </si>
  <si>
    <t>SUMINISTRO E INSTALACIÓN COSTA FUERA DE PERNO DE GANCHO DE ACERO INOXIDABLE DE 3/8" CON 2 TUERCAS Y ARANDELAS PLANA.</t>
  </si>
  <si>
    <t>C3EXT-0523</t>
  </si>
  <si>
    <t>SUMINISTRO E INSTALACIÓN COSTA FUERA DE PERNO ROSCADO TIPO INDUSTRIAL PARA ESTRUCTURA METALICA DE ACERO INOXIDABLE X-ST-GR M8/10 P8 MARCA HILTI CON FULMINANTE.</t>
  </si>
  <si>
    <t>C3EXT-0524</t>
  </si>
  <si>
    <t>SUMINISTRO E INSTALACIÓN COSTA FUERA DE CABLE ARMADO MULTICONDUCTOR TIPO METAL CLAD (MC), CON CONDUCTORES DE COBRE SUAVE, AISLAMIENTO DE POLIETILENO DE CADENA CRUZADA (XLP), TIPO RHH/RHW-2, 90 C, 600 V, CON CUATRO (4) CONDUCTORES CALIBRE (6 AWG) MÁS UN (1) CONDUCTOR CALIBRE 3.31 mm2 (12 AWG) DE PUESTA A TIERRA COLOR VERDE, CINTA REUNIDORA NO HIGROSCÓPICA, ARMADURA ENGARGOLADA DE ALUMINIO, CUBIERTA EXTERIOR DE PVC, PARA ÁREAS CLASIFICADAS CLASE I, DIVISIÓN 2.</t>
  </si>
  <si>
    <t>C3EXT-0525</t>
  </si>
  <si>
    <t>SUMINISTRO E INSTALACIÓN COSTA FUERA DE CABLE ARMADO MULTICONDUCTOR TIPO METAL CLAD (MC), CON CONDUCTORES DE COBRE SUAVE, AISLAMIENTO DE POLIETILENO DE CADENA CRUZADA (XLP), TIPO RHH/RHW-2, 90 C, 600 V, CON CUATRO (4) CONDUCTORES CALIBRE (8 AWG) MÁS UN (1) CONDUCTOR CALIBRE 3.31 mm2 (12 AWG) DE PUESTA A TIERRA COLOR VERDE, CINTA REUNIDORA NO HIGROSCÓPICA, ARMADURA ENGARGOLADA DE ALUMINIO, CUBIERTA EXTERIOR DE PVC, PARA ÁREAS CLASIFICADAS CLASE I, DIVISIÓN 2.</t>
  </si>
  <si>
    <t>C3EXT-0526</t>
  </si>
  <si>
    <t>SUMINISTRO E INSTALACIÓN COSTA FUERA DE ABRAZADERA PARA USO EN AREAS DE SERVICIOS GENERALES TIPO UNISTRUT DE 3/4" DE ACERO GALVANIZADO</t>
  </si>
  <si>
    <t>C3EXT-0527</t>
  </si>
  <si>
    <t>SUMINISTRO E INSTALACIÓN COSTA FUERA DE CAJA DE CONEXIONES PARA AREA PELIGROSA URSS TIPO "T" CON RECUBRIMIENTO EXTERIOR DE PVC CON TRES BARRENO DE 2 1/2" CON CUERDA NPT.</t>
  </si>
  <si>
    <t>C3EXT-0528</t>
  </si>
  <si>
    <t>SUMINISTRO E INSTALACIÓN COSTA FUERA DE COPLE ROSCADO, ACERO AL CARBON FORJADO ESPESIFICACION ASTM-A-105 3000 LIBRAS, 21/2" DIAMETRO, DEBE CUMPLIR CON ASME B16.11</t>
  </si>
  <si>
    <t>C3EXT-0529</t>
  </si>
  <si>
    <t>SUMINISTRO E INSTALACIÓN COSTA FUERA DE CAJAS TIPO LBH PARA AREAS PELIGROSAS FABRICADA EN ALUMINIO LIBRE DE COBRE CON RECUBRIMIENTO EXTERIOR DE PVC DE 40 MILÉSIMAS DE PULG., INTERIOR DE URETANO DE 2 MILÉSIMAS DE PULG., DE 2 1/2"Ø</t>
  </si>
  <si>
    <t>C3EXT-0530</t>
  </si>
  <si>
    <t>SUMINISTRO E INSTALACIÓN COSTA FUERA DE CANAL UNISTRUT DE 4 X 4 CM SÓLIDO DE ACERO GALVANIZADO.</t>
  </si>
  <si>
    <t>C3EXT-0531</t>
  </si>
  <si>
    <t>SUMINISTRO E INSTALACIÓN COSTA FUERA DE CONDUCTOR MONOPOLAR DE COBRE SUAVE CLASE TIPO B PARA 600 V CON AISLAMIENTO TIPO  THHW-LS TERMOPLASTICO RESISTENTE A LA HUMEDAD AL CALOR RETARDANTE A LA FLAMA, DE EMISION REDUCIDA DE HUMOS Y GASES ACIDOS, TEMPERATURA DE OPERACION 90°C EN AMBIENTE SECO Y 75°C AMBIENTE MOJADO COLOR NEGRO CALIBRE 4 AWG.</t>
  </si>
  <si>
    <t>C3EXT-0532</t>
  </si>
  <si>
    <t>SUMINISTRO E INSTALACIÓN COSTA FUERA DE CONDULET TIPO GUB  DE 11" DE LARGO, 12" DE ANCHO, 8.13 DE PROFUNDIDAD, CON BARRENO Y CUERDAS NPT DE 21/2"Ø, EN LOS LATERALES LADO ANCHO, PARA AREAS PELIGROSAS FABRICADA EN ALUMINIO LIBRE DE COBRE CON RECUBRIMIENTO EXTERIOR DE PVC DE 40 MILÉSIMAS DE PULG. E INTERIOR DE URETANO DE 2 MILÉSIMAS DE PULG.</t>
  </si>
  <si>
    <t>C3EXT-0533</t>
  </si>
  <si>
    <t>SUMINISTRO, CARGA, ACARREO, DESCARGA, PUESTA EN SITIO E INSTALACIÓN COSTA FUERA DE ZAPATA TERMINAL DE COBRE ELECTROLITICO ESTAÑADO DE CAÑON CORTO PARA CABLE CALIBRE 2 AWG CON UN BARRENO PARA TORNILLO DE 5/16" DE DIAMETRO.</t>
  </si>
  <si>
    <t>C3EXT-0534</t>
  </si>
  <si>
    <t>SUMINISTRO E INSTALACIÓN COSTA FUERA DE REDUCCIÓN BUSHING A PRUEBA DE EXPLOSIÓN, DE ALUMINIO LIBRE DE COBRE: DE 27 MM. (1") Ø A 15 MM. (3/4") Ø</t>
  </si>
  <si>
    <t>C3EXT-0535</t>
  </si>
  <si>
    <t>SUMINISTRO E INSTALACIÓN COSTA FUERA DE PERNO ROSCADO TIPO INDUSTRIAL PARA ESTRUCTURA METALICA DE ACERO INOXIDABLE X-ST-GR M8/10 P8 MARCA HILTI (0.315" DIAM X 1.181" LONG.)</t>
  </si>
  <si>
    <t>C3EXT-0536</t>
  </si>
  <si>
    <t>SUMINISTRO E INSTALACIÓN COSTA FUERA DE ZAPATA TERMINAL DE COBRE ELECTROLITICO ESTAÑADO DE CAÑON CORTO PARA CABLE CALIBRE 2/0 AWG CON UN BARRENO PARA TORNILLO DE 1/2" DE DIAMETRO.</t>
  </si>
  <si>
    <t>C3EXT-0537</t>
  </si>
  <si>
    <t>SUMINISTRO E INSTALACIÓN COSTA FUERA DE TORNILLO DE CABEZA HEXAGONAL DE ACERO INOXIDABLE DE 5/16"  DIAMETRO,  1" DE LONGITUD.  INCLUYE: TUERCA HEXAGONAL DE ACERO INOXIDABLE GRADO: 316, ARANDELA PLANA DE ACERO INOXIDABLE GRADO: 316.</t>
  </si>
  <si>
    <t>C3EXT-0538</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</si>
  <si>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Ó VERSION ACTUAL, DE 3/4" X 1/2" DE DIAMETRO, CED. 160.</t>
  </si>
  <si>
    <t>C3EXT-0539</t>
  </si>
  <si>
    <t>SUMINISTRO, CARGA, ACARREO, DESCARGA Y PUESTA EN SITIO COSTA FUERA DE TORNILLO DE 1 1/2" DE DIAMETRO X 6" DE LONGITUD ROSCAS TIPO UNC-8 MATERIAL ASTM A193 GR. B7M, ROSCAS ASME B1.1 CLASE 2A, CON RECUBRIMIENTO A BASE DE CADMIO (25 MICRAS DE ESPESOR ASTM B766 O EQUIVALENTE)</t>
  </si>
  <si>
    <t>C3EXT-0540</t>
  </si>
  <si>
    <t>SUMINISTRO, CARGA, ACARREO, DESCARGA Y PUESTA EN SITIO COSTA FUERA DE POLLY PIG DE POLIURETANO ALTA DENSIDAD TIPO CILINDRICO (BIDIRECCIONAL)  PARA SER CORRIDO EN TUBERIA DE 30"Ø NOM. REFERENCIA: BARE, MODELO: LP-LX (O SIMILAR)</t>
  </si>
  <si>
    <t>C3EXT-0541</t>
  </si>
  <si>
    <t>SUMINISTRO, CARGA, ACARREO, DESCARGA Y PUESTA EN SITIO COSTA FUERA DE POLLY PIG DE POLIURETANO ALTA DENSIDAD TIPO CILINDRICO (BIDIRECCIONAL)  PARA SER CORRIDO EN TUBERIA DE 24"Ø NOM. REFERENCIA: EQUIS, MODELO: LP-LX (O SIMILAR)</t>
  </si>
  <si>
    <t>C3EXT-0542</t>
  </si>
  <si>
    <t>SUMINISTRO, CARGA, ACARREO, DESCARGA Y PUESTA EN SITIO COSTA FUERA DE POLLY PIG DE POLIURETANO ALTA DENSIDAD TIPO CILINDRICO (BIDIRECCIONAL)  PARA SER CORRIDO EN TUBERIA DE 20"Ø NOM. REFERENCIA: EQUIS, MODELO: LP-LX (O SIMILAR)</t>
  </si>
  <si>
    <t>C3EXT-0543</t>
  </si>
  <si>
    <t>SUMINISTRO, CARGA, ACARREO, DESCARGA Y PUESTA EN SITIO COSTA FUERA DE POLLY PIG DE POLIURETANO ALTA DENSIDAD TIPO CILINDRICO (BIDIRECCIONAL)  PARA SER CORRIDO EN TUBERIA DE 18"Ø NOM. REFERENCIA: EQUIS, MODELO: LP-LX (O SIMILAR)</t>
  </si>
  <si>
    <t>C3EXT-0544</t>
  </si>
  <si>
    <t>SUMINISTRO, CARGA, ACARREO, DESCARGA Y PUESTA EN SITIO COSTA FUERA DE POLLY PIG DE POLIURETANO ALTA DENSIDAD TIPO CILINDRICO (BIDIRECCIONAL)  PARA SER CORRIDO EN TUBERIA DE 14"Ø NOM. REFERENCIA: EQUIS, MODELO: LP-LX (O SIMILAR)</t>
  </si>
  <si>
    <t>C3EXT-0545</t>
  </si>
  <si>
    <t>SUMINISTRO, CARGA, ACARREO, DESCARGA Y PUESTA EN SITIO COSTA FUERA DE POLLY PIG DE POLIURETANO ALTA DENSIDAD TIPO CILINDRICO (BIDIRECCIONAL)  PARA SER CORRIDO EN TUBERIA DE 12"Ø NOM. REFERENCIA: EQUIS, MODELO: LP-LX (O SIMILAR)</t>
  </si>
  <si>
    <t>C3EXT-0546</t>
  </si>
  <si>
    <t>SUMINISTRO, CARGA, ACARREO, DESCARGA Y PUESTA EN SITIO COSTA FUERA DE POLLY PIG DE POLIURETANO ALTA DENSIDAD TIPO CILINDRICO (BIDIRECCIONAL)  PARA SER CORRIDO EN TUBERIA DE 10"Ø NOM. REFERENCIA: EQUIS, MODELO: LP-LX (O SIMILAR)</t>
  </si>
  <si>
    <t>C3EXT-0547</t>
  </si>
  <si>
    <t>SUMINISTRO, CARGA, ACARREO, DESCARGA Y PUESTA EN SITIO COSTA FUERA DE POLLY PIG DE POLIURETANO ALTA DENSIDAD TIPO CILINDRICO (BIDIRECCIONAL)  PARA SER CORRIDO EN TUBERIA DE 8"Ø NOM. REFERENCIA: EQUIS, MODELO: LP-LX (O SIMILAR)</t>
  </si>
  <si>
    <t>C3EXT-0548</t>
  </si>
  <si>
    <t>SUMINISTRO, CARGA, ACARREO, DESCARGA Y PUESTA EN SITIO COSTA FUERA DE POLLY PIG DE POLIURETANO ALTA DENSIDAD TIPO CILINDRICO (BIDIRECCIONAL)  PARA SER CORRIDO EN TUBERIA DE 36"Ø NOM. REFERENCIA: BARE, MODELO: LP-LX (O SIMILAR)</t>
  </si>
  <si>
    <t>C3EXT-0549</t>
  </si>
  <si>
    <t>MAPEO DE FONDO MARINO MEDIANTE LEVANTAMIENTO GEOFISICO PARA DETECTAR AFLORAMIENTO DE ROCAS, OBSTRUCCIONES Y OBTENER TOPOGRAFÍA DEL FONDO MARINO PARA DETERMINAR LAS OQUEDADES O DESNIVELES EXISTENTE. INCLUYE: PERSONAL ESPECIALIZADO, EQUIPO CALIBRADO, EMBARCACIÓN CON GASTOS ADMINISTRATIVOS Y REPORTE DE ACTIVIDADES.</t>
  </si>
  <si>
    <t>C3EXT-0550</t>
  </si>
  <si>
    <t>SUMINISTRO, CARGA, ACARREO, DESCARGA Y PUESTA EN SITIO COSTA FUERA DE BRIDA DE CUELLO SOLDABLE WN 14" DIAMETRO TIPO RTJ CLASE 900 BORE ANSI DE ACUERDO AL ESTANDAR MSS-SP-44 ASTM A-694 DE ACUERDO AL ESTÁNDAR MSS-SP-44 GRADO F65 ASME B16.5 Y NACE MR0175 ULTIMA EDICIÓN.</t>
  </si>
  <si>
    <t>C3EXT-0551</t>
  </si>
  <si>
    <t>SUMINISTRO, CARGA, ACARREO, DESCARGA Y PUESTA EN SITIO COSTA FUERA DE BRIDA CIEGA DE ACERO AL CARBON PARA JUNTA DE ANILLO (RTJ), CLASE 900#, DE 14" DE DIÁMETRO; ASTM A-694 GR. F-65 DE ACUERDO AL ESTÁNDAR MSS-SP-44 GRADO F65 ASME B16.5 Y NACE MR0175 ULTIMA EDICIÓN.</t>
  </si>
  <si>
    <t>C3EXT-0552</t>
  </si>
  <si>
    <t>SUMINISTRO, CARGA, ACARREO, DESCARGA Y PUESTA EN SITIO COSTA FUERA DE EMPAQUE PARA BRIDAS DE JUNTA TIPO ANILLO (RTJ) EN FORMA OCTAGONAL, CLASE 900,  ASME- B16.20 DE ACERO INOXIDABLE EN ESPECIFICACIÓN UNS S31600, UNS S31603 O EQUIVALENTE, DUREZA MAXIMA BRINELL DE 160 (83 HRB) O DE ACERO DE BAJO CARBONO CON UNA DUREZA MÁXIMA DE 120 HBW (68HRB) DE 14" DE DIAMETRO NOMINAL, R-62.</t>
  </si>
  <si>
    <t>C3EXT-0553</t>
  </si>
  <si>
    <t>SUMINISTRO, CARGA, ACARREO, DESCARGA Y PUESTA EN SITIO COSTA FUERA DE ESPÁRRAGO DE ACERO DE ALEACIÓN ASTM A 193 Gr. B7M, DE  1 1/2" DIÁMETRO X  11"  POR LONGITUD, ROSCA ANSI/ASME B1.1 CLASE 2A, CON DOS TUERCAS HEXAGONALES DE ACERO AL CARBÓN CONFORME A ESPECIFICACIÓN ASTM A 194 GRADO 2HM, CON RECUBRIMIENTO DE CADMIO CONFORME A ESPECIFICACIÓN ASTM B 766, CLASE 25, TIPO II.</t>
  </si>
  <si>
    <t>C3EXT-0554</t>
  </si>
  <si>
    <t>SERVICIO COSTA FUERA DE INSPECCIÓN DE SOLDADURA MEDIANTE PRUEBAS NO DESTRUCTIVAS PARA JUNTAS DE PROCESO MEDIANTE LA TECNICA DE ULTRASONIDO DE ARREGLO DE FASES</t>
  </si>
  <si>
    <t>C3EXT-0555</t>
  </si>
  <si>
    <t>SUMINISTRO E INSTALACIÓN COSTA FUERA DE TORNILLO DE CABEZA HEXAGONAL DE ACERO INOXIDABLE DE 1/2"  DIAMETRO,  1" DE LONGITUD.  INCLUYE: TUERCA HEXAGONAL DE ACERO INOXIDABLE GRADO: 316, ARANDELA PLANA DE ACERO INOXIDABLE GRADO: 316</t>
  </si>
  <si>
    <t>C3EXT-0556</t>
  </si>
  <si>
    <t>SUMINISTRO E INSTALACIÓN COSTA FUERA DE LUMINARIA CON TECNOLOGIA LED DE 61 X 61 CMS, PANEL PLANO CFP, MODELO CFP22-40/33/2840, LÚMENES CONMUTABLES DE 4000/3300/2800 Y POTENCIA DE 26 A 40 WATTS, 4000°K, MONTAJE EMPOTRADO, VOLTAJE 120-277V, 54,000 HORAS DE VIDA, MARCO DE ALUMINIO EXTRUIDO COLOR BLANCO MATE, ACABADO Y TRANSICIÓN SUAVE DE LA MONTURA A LA LENTE. INCLUYE LAMPARAS LED,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</si>
  <si>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C3EXT-0557</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</si>
  <si>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COLGANTE, IDEAL PARA APLICACIONES DONDE SE REQUIREN BAJOS NIVELES DE ILUMINACION, PROVEE LUZ DE SALIDA EQUIVALENTE A UNA LUMINARIA HID DE 100 WATTS.</t>
  </si>
  <si>
    <t>C3EXT-0558</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</si>
  <si>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A TECHO ALIMENTACION DE PASO, IDEAL PARA APLICACIONES DONDE SE REQUIREN BAJOS NIVELES DE ILUMINACION, PROVEE LUZ DE SALIDA EQUIVALENTE A UNA LUMINARIA HID DE 100 WATTS.</t>
  </si>
  <si>
    <t>C3EXT-0559</t>
  </si>
  <si>
    <t>C3EXT-0560</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</si>
  <si>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7,442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59 W, VOLTAJE DE OPERACION 120 - 277 VCA. TEMPERATURA DE OPERACION T5. MONTAJE COLGANTE, IDEAL PARA APLICACIONES DONDE SE REQUIREN BAJOS NIVELES DE ILUMINACION, PROVEE LUZ DE SALIDA EQUIVALENTE A UNA LUMINARIA HID DE 175 WATTS</t>
  </si>
  <si>
    <t>C3EXT-0561</t>
  </si>
  <si>
    <t>SUMINISTRO E INSTALACIÓN COSTA FUERA DE LUMINARIA LED DE EMERGENCIA CON BATERIA INTEGRADA, APRUEBA DE EXPLOSION PARA AREA PELIGROSA CLASE I DIVISION 2, MLL4/UNV 1 S903 P EM1, SERIE CHAMP MLL, 4 PIES DE LONGITUD, 7100 LUMENES,PATRON DE ILUMINACION AMPLIO 120°,VOLTAJE 100-277, 55 W, LENTE DE POLICARBONATO, ENTRADA DE 3/4" CUERDA NPT, PINTURA EPOXICA GRIS. CON HERRAJE TIPO COLGANTE DP1053MTK</t>
  </si>
  <si>
    <t>C3EXT-0562</t>
  </si>
  <si>
    <t>SUMINISTRO E INSTALACIÓN COSTA FUERA DE LUMINARIA LED APRUEBA DE EXPLOSION PARA AREA PELIGROSA CLASE I DIVISION 2, SERIE CHAMP MLLAW4-UNV1-S903-P, SERIE CHMP MLLA LED LINEAL, BLANCO  CALIDO 3000K, 4 PIES DE LARGO,  7900 LUMENES, 120-277 VCA, 127-300 VCD, 62 W, LENTE DE POLICARBONATO, PATRON DE ILUMINACION AMPLIO 120°, PINTURA EPOXICA GRIS, ENTRADA DE 3/4" CUERDA NPT, CON HERRAJE TIPO COLGANTE DP1053MTK</t>
  </si>
  <si>
    <t>C3EXT-0563</t>
  </si>
  <si>
    <t>SERVICIO DE ANÁLISIS DE RIESGO DE PROCESO (ARP) PARA LOS TRABAJOS DE LEVANTAMIENTOS, INGENIERÍA BÁSICA Y DETALLE PARA LA REUBICACIÓN, INTERCONEXIONES Y PUESTA EN OPERACIÓN DE TANQUE SLUG-CATCHER FA-4223B DE AKAL-C6 HACIA EL CP. NOHOCH-A.</t>
  </si>
  <si>
    <t>C3EXT-0564</t>
  </si>
  <si>
    <t>ASISTENCIA TÉCNICA COSTA FUERA CON PERSONAL ESCIALISTA EN SALVATAJE DURANTE LA EJECUCIÓN DE LOS TRABAJOS DE SALVATAJE DE ESTRUCTURAS MARINAS.</t>
  </si>
  <si>
    <t>C3EXT-0565</t>
  </si>
  <si>
    <t>SISTEMA DE CONTENCIÓN DE HIDROCARBUROS COSTA FUERA. INCLUYE; CONJUNTO DE EQUIPOS Y PERSONAL PARA EL DESARROLLO DE LAS ACTIVIDADES.</t>
  </si>
  <si>
    <t>C3EXT-0566</t>
  </si>
  <si>
    <t>MOVILIZACIÓN DE SUPERVISOR TÉCNICO PARA OPERACIÓN DE EQUIPOS HIDRAULICOS ESPECIALIZADOS PARA TRABAJOS DE SALVATAJE.</t>
  </si>
  <si>
    <t>C3EXT-0567</t>
  </si>
  <si>
    <t>MOVILIZACIÓN DEL PERSONAL TÉCNICO OPERADOR DE EQUIPOS HIDRAULICOS ESPECIALIZADOS PARA  TRABAJOS DE SALVATAJE.</t>
  </si>
  <si>
    <t>C3EXT-0568</t>
  </si>
  <si>
    <t>DESMOVILIZACIÓN DE SUPERVISOR TÉCNICO PARA OPERACIÓN DE EQUIPOS HIDRAULICOS ESPECIALIZADOS PARA TRABAJOS DE SALVATAJE.</t>
  </si>
  <si>
    <t>C3EXT-0569</t>
  </si>
  <si>
    <t>DESMOVILIZACIÓN DEL PERSONAL TÉCNICO OPERADOR DE EQUIPOS HIDRAULICOS ESPECIALIZADOS PARA  TRABAJOS DE SALVATAJE.</t>
  </si>
  <si>
    <t>C3EXT-0570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</si>
  <si>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</si>
  <si>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C3EXT-0571</t>
  </si>
  <si>
    <t>ELABORACION DE ANALISIS DE RIESGO PARA EL AISLAMIENTO DE LA PLATAFORMA EXCOMPRESIÓN</t>
  </si>
  <si>
    <t>C3EXT-0572</t>
  </si>
  <si>
    <t>MOVILIZACION DE EQUIPO MINIROV DESDE SU ORIGEN A CD DEL CARMEN.</t>
  </si>
  <si>
    <t>C3EXT-0573</t>
  </si>
  <si>
    <t>DESMOVILIZACION DE EQUIPO MINIROV DE CD DEL CARMEN A SU ORIGEN</t>
  </si>
  <si>
    <t>C3EXT-0574</t>
  </si>
  <si>
    <t>INSPECCION SUBMARINA CON MINIROV EN ESTRUCTURAS MARINAS Y ESTRUCTURAS DE REFUERZO ADYACENTE.</t>
  </si>
  <si>
    <t>C3EXT-0575</t>
  </si>
  <si>
    <t>LEVANTAMIENTO CON EQUIPOS ESPECIALIZADOS; SCANNER LASER CON EQUIPO DRON</t>
  </si>
  <si>
    <t>C3EXT-0576</t>
  </si>
  <si>
    <t>ELABORACION DE ANALISIS DE RIESGO PARA LAS ACTIVIDADES DE SALVATAJE.</t>
  </si>
  <si>
    <t>C3EXT-0577</t>
  </si>
  <si>
    <t>ELABORACION DE INGENIERIA BASICA DE SALVATAJE</t>
  </si>
  <si>
    <t>C3EXT-0578</t>
  </si>
  <si>
    <t>CERTIFICACION DE INGENIERIA DE SALVATAJE</t>
  </si>
  <si>
    <t>C3EXT-0579</t>
  </si>
  <si>
    <t>LEVANTAMIENTOS, INGENIERÍA BÁSICA Y DETALLE PARA LA REUBICACIÓN, INTERCONEXIONES Y PUESTA EN OPERACIÓN DE TANQUE SLUG-CATCHER FA-4223B DE AKAL-C6 HACIA EL CP. NOHOCH-A, INCLUYE SERVICIOS AUXILIARES. FASE 1.</t>
  </si>
  <si>
    <t>C3EXT-0580</t>
  </si>
  <si>
    <t>PROCURA Y FABRICACIÓN DE CANTILIVER, EQUIPO DE MANIOBRA (BALANCÍN), PARA LA REUBICACIÓN DEL SEPARADOR REMOTO BIFÁSICA FA-1102H EN NOCHOCH-A2. FASE 2.</t>
  </si>
  <si>
    <t>C3EXT-0581</t>
  </si>
  <si>
    <t>PROCURA Y FABRICACIÓN DE LÍNEAS DE PROCESO Y FLEXIBILIDAD PARA LA REUBICACIÓN DEL SEPARADOR REMOTO BIFÁSICA FA-1102H EN NOHOCH-A2. FASE 3.</t>
  </si>
  <si>
    <t>C3EXT-0582</t>
  </si>
  <si>
    <t>TRABAJOS EN COSTA FUERA DE LA REUBICACIÓN DEL SEPARADOR REMOTO BIFÁSICA FA-1102H DE AKAL-GR HACIA NOHOCH-A2. FASE 4</t>
  </si>
  <si>
    <t>C3EXT-0583</t>
  </si>
  <si>
    <t>TRABAJOS EN COSTA FUERA PARA INTERCONEXIONES EN AKAL-D Y NOHOCH-A/PERF. PARA DERIVAR GAS COMBUSTIBLE (INCLUYE EL PAQUETE DE REGULACIÓN). FASE 5</t>
  </si>
  <si>
    <t>C3EXT-0584</t>
  </si>
  <si>
    <t>LEVANTAMIENTO CON EQUIPOS ESPECIALIZADOS; SCANNER LASER CON EQUIPO DRON Y MULTIBEAM EN SUPERESTRUCTURA, SUBESTRUCTURA Y PUENTE DE INTERCONEXION CON PLATAFORMA ALEDAÑA, INCLUYE REPORTES DE RTK DRON Y MBES SURVEY, PARA LA ELABORACIÓN DE INGENIERIA ESPECIALIZADA DE SALVATAJE.</t>
  </si>
  <si>
    <t>SERV/DIA</t>
  </si>
  <si>
    <t>C3EXT-0585</t>
  </si>
  <si>
    <t>SERVICIO DE ELABORACION DE ANALISIS DE RIESGO PARA LAS ACTIVIDADES DE SALVATAJE DE LA PLATAFORMA NOHOCH-A, SUPERESTRUCTURA, SUBESTRUCTURA Y PUENTE HACIA EXCOMPRESIÓN</t>
  </si>
  <si>
    <t>C3EXT-0586</t>
  </si>
  <si>
    <t>SERVICIO DE ELABORACION DE INGENIERIA ESPECIALIZADA BASICA DE SALVATAJE , INCLUYE REPORTE DE CALCULO, PLAN DE EJECUCION, EVALUACION DE MOVIMIENTOS Y ESFUERZOS.</t>
  </si>
  <si>
    <t>C3EXT-0587</t>
  </si>
  <si>
    <t>SUMINISTRO, CARGA, ACARREO, DESCARGA Y PUESTA EN SITIO COSTA FUERA DE CAJA DE REGISTRO CONDULET, SERIE OVALADA DE ALUMINIO LIBRE DE COBRE SIN RECUBRIMIENTO, SERIE 7; CON TAPA CIEGA Y EMPAQUE DE NEOPRENO, TIPO "L" DE 21 mm DE 3/4 DE DIÁMETRO.</t>
  </si>
  <si>
    <t>C3EXT-0588</t>
  </si>
  <si>
    <t>SUMINISTRO, CARGA, ACARREO, DESCARGA Y PUESTA EN SITIO COSTA FUERA DE TUERCA UNION MACHO-HEMBRA DE 1/2” (16 mm) DIÁMETRO NOMINAL, PARA ÁREAS CLASE I DIVISIÓN 1 &amp;2, GRUPOS A, B, C, D, DE ALUMINIO LIBRE DE COBRE CON RECUBRIMIENTO EXTERIOR DE PVC E INTERIOR DE URETANO</t>
  </si>
  <si>
    <t>C3EXT-0589</t>
  </si>
  <si>
    <t>SUMINISTRO, CARGA, ACARREO, DESCARGA Y PUESTA EN SITIO COSTA FUERA DE SELLO MACHO-HEMBRA, DE 1/2” (16 mm) DE DIÁMETRO NOMINAL, SELLADO EN CUALQUIER POSICIÓN, PARA ÁREAS PELIGROSAS CLASE I, DIVISIÓN 1 &amp; 2, GRUPOS A, B, C, D, DE ALUMINIO LIBRE DE COBRE CON RECUBRIMIENTO EXTERIOR DE PVC E INTERIOR DE URETANO</t>
  </si>
  <si>
    <t>C3EXT-0590</t>
  </si>
  <si>
    <t>SUMINISTRO, CARGA, ACARREO, DESCARGA Y PUESTA EN SITIO COSTA FUERA DE COPLE FLEXIBLE CON MALLA DE BRONCE TRENZADO, AISLAMIENTO INTERIOR DE ALGODON, IMPREGNADO DE ASFALTO CON REC. DE PVC, MACHO-HEMBRA PARA ÁREAS PELIGROSAS CLASE 1, DIVISIÓN 1 Y 2, GRUPO C Y D DE 16 mm (1/2”) DE DIAMETRO, Y UNA LONGITUD DE 381 mm (15”) DE LARGO.</t>
  </si>
  <si>
    <t>C3EXT-0591</t>
  </si>
  <si>
    <t>SUMINISTRO, CARGA, ACARREO, DESCARGA Y PUESTA EN SITIO COSTA FUERA DE MONITOR Y CONTRATUERCA DE ALUMINIO LIBRE DE COBRE, DE 21mm (3/4") DE DIAMETRO.</t>
  </si>
  <si>
    <t>C3EXT-0592</t>
  </si>
  <si>
    <t>SUMINISTRO, CARGA, ACARREO, DESCARGA Y PUESTA EN SITIO COSTA FUERA DE CABLE DE COBRE SUAVE MONOPOLAR CON RECUBRIMIENTO EXTERIOR DE P.V.C. TIPO THW-LS, TENSIÓN MÁXIMA DE OPERACIÓN 600 VOLTS, TEMPERATURA DE OPERACIÓN AMBIENTE HÚMEDO 75°C, CAL. 14 AWG, COLOR BLANCO.</t>
  </si>
  <si>
    <t>C3EXT-0593</t>
  </si>
  <si>
    <t>SUMINISTRO, CARGA, ACARREO, DESCARGA Y PUESTA EN SITIO COSTA FUERA DE PIJA AUTOBARRENABLE DE ACERO INOXIDABLE DE 6.3 mm X 51 mm DE LONGITUD (1/4" DE DIAMETRO x 2" DE LONGITUD) INCLUYE ARANDELA PLANA.</t>
  </si>
  <si>
    <t>C3EXT-0594</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</si>
  <si>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</si>
  <si>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C3EXT-0595</t>
  </si>
  <si>
    <t>SUMINISTRO, CARGA, ACARREO, DESCARGA Y PUESTA EN SITIO COSTA FUERA DE EMPAQUE ESPIRO-METÁLICO, CON ANILLOS METÁLICOS CENTRADOR (EXTERIOR) Y DE RESPALDO (INTERNO) RELLENO DE GRAFITO FLEXIBLE, ENROLLAMIENTO Y ANILLOS DE ACERO INOXIDABLE TIPO 304, ASME B16.20 DE 1 1/2" DE DIAMETRO, 600 RF.</t>
  </si>
  <si>
    <t>C3EXT-0596</t>
  </si>
  <si>
    <t>SUMINISTRO, CARGA, ACARREO, DESCARGA Y PUESTA EN SITIO COSTA FUERA DE NIPOFLANGE DE ACERO AL CARBONO ASTM A105, DE ACUERDO AL ASME B31.3 Y ASME B 16.5. LOS MATERIALES DEBEN CUMPLIR CON ANSI/NACE MR-0175, ISO 15156-1 Y 2, Y EL ESTÁNDAR PEMEX-EST-TD-032-P2-2019, DE 1 1/2” DE DIAMETRO NPS (40 DN) x 6’’ DE LONGITUD, CLASE 600, CED. 160, EXTREMO BISELADOS x BRIDADO (R.F.).</t>
  </si>
  <si>
    <t>C3EXT-0597</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</si>
  <si>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10’’-8’’x 2” DE DIAMETRO NPS (50 DN), CED. 80 x CLASE 3000.</t>
  </si>
  <si>
    <t>C3EXT-0598</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</si>
  <si>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12’’-8’’x 1 1/2” DE DIAMETRO NPS (40 DN), CED. 80 x CLASE 3000.</t>
  </si>
  <si>
    <t>C3EXT-0599</t>
  </si>
  <si>
    <t>SUMINISTRO, CARGA, ACARREO, DESCARGA Y PUESTA EN SITIO COSTA FUERA DE REDUCCIÓN SWAGE DE 3/4"  DE DIAMETRO EXTREMO PLANO X 1/2" DE DIAMETRO EXTREMO ROSCADO, ASTM-A-105 GR. B, CLASE 6000#.</t>
  </si>
  <si>
    <t>C3EXT-0600</t>
  </si>
  <si>
    <t>SUMINISTRO, CARGA, ACARREO, DESCARGA Y PUESTA EN SITIO COSTA FUERA DE TAPÓN MACHO 1" DE DIAMETRO (25.4 mm) NPT,CLASE 3000 DE CABEZA HEXAGONAL DE ACERO AL CARBÓN GALVANIZADO.</t>
  </si>
  <si>
    <t>C3EXT-0601</t>
  </si>
  <si>
    <t>SUMINISTRO, CARGA, ACARREO, DESCARGA Y PUESTA EN SITIO COSTA FUERA DE PLACA DE NEOPRENO DE ALTA DENSIDAD CON DUREZA SHORE 60 A 90 DUROMETER DE 3/4" DE ESPESOR.</t>
  </si>
  <si>
    <t>C3EXT-0602</t>
  </si>
  <si>
    <t>SUMINISTRO, CARGA, ACARREO, DESCARGA Y PUESTA EN SITIO COSTA FUERA DE TORNILLO DE Ø=6.35 mm (1/4") x 102 mm DE LONGITUD ASTM A 307 GR.B  CON 2 TUERCAS HEXAGONALES ASTM 194 GR 2H  Y ROLDANAS PLANAS ASTM F 436.</t>
  </si>
  <si>
    <t>C3EXT-0603</t>
  </si>
  <si>
    <t>SUMINISTRO, CARGA, ACARREO, DESCARGA Y PUESTA EN SITIO COSTA FUERA DE TORNILLO DE Ø=19.5  mm (3/4") x 102 mm (4") DE LONG.  ASTM A 307 GR.B  CON 2 TUERCAS HEXAGONALES ASTM 194 GR 2H  Y ROLDANAS PLANAS ASTM F 436.</t>
  </si>
  <si>
    <t>C3EXT-0604</t>
  </si>
  <si>
    <t>SUMINISTRO, CARGA, ACARREO, DESCARGA Y PUESTA EN SITIO COSTA FUERA DE ESPÁRRAGO MATERIAL ASTM A-193 GR. B7M. CADMINIZADO DE 3/4" DIAMETRO x 4 1/4" DE LARGO, CON DOS TUERCA HEXAGONALES ASTM A-194 GR. 2HM, ROSCAS ASME B1.1 CLASE 2A. DE 3/4" DIAMETRO.</t>
  </si>
  <si>
    <t>C3EXT-0605</t>
  </si>
  <si>
    <t>SUMINISTRO, CARGA, ACARREO, DESCARGA Y PUESTA EN SITIO COSTA FUERA DE ESPÁRRAGO DE ACERO AL CARBONO ASTM A193 GR. B7, ROSCA ASME B1.1 CLASE 2A, CON 2 TUERCAS HEXAGONALES DE ACERO AL CARBONO ASTM A194 GR. 2H, ROSCA ASME B1.1 CLASE 2A, CON RECUBRIMIENTO A BASE DE CADMIO (25 MICRAS DE ESPESOR ASTM B766 O EQUIVALENTE), LOS MATERIALES DEBEN CUMPLIR CON EL ESTÁNDAR PEMEX-EST-TD-027-2022, DE 3/4” DE DIAMETRO x 4 3/4" DE LONGITUD.</t>
  </si>
  <si>
    <t>C3EXT-0606</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</si>
  <si>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7 1/2" DE LONGITUD.</t>
  </si>
  <si>
    <t>C3EXT-0607</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</si>
  <si>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12 1/2" DE LONGITUD.</t>
  </si>
  <si>
    <t>C3EXT-0608</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</si>
  <si>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8 1/4" DE LONGITUD.</t>
  </si>
  <si>
    <t>C3EXT-0609</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</si>
  <si>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14 1/4" DE LONGITUD.</t>
  </si>
  <si>
    <t>C3EXT-0610</t>
  </si>
  <si>
    <t>SUMINISTRO, CARGA, ACARREO, DESCARGA Y PUESTA EN SITIO COSTA FUERA DE ESPÁRRAGOS DE Ø=38 mm (1.5'') x 502 mm (19.76") DE LONG. DE ACERO ASTM A 183 Gr. B7 CON 2 TUERCAS HEXAGONALES ASTM A 194 Gr. 2H.</t>
  </si>
  <si>
    <t>C3EXT-0611</t>
  </si>
  <si>
    <t>SUMINISTRO, CARGA, ACARREO, DESCARGA Y PUESTA EN SITIO COSTA FUERA DE ESPÁRRAGO DE ACERO INOXIDABLE ASTM A193 GR. B8M (UNSS31600), ROSCA ASME B1.1 CLASE 2A, CON 2 TUERCAS HEXAGONALES DE ACERO INOXIDABLE ASTM A194 GR. 8M  (UNSS31600), ROSCA ASME B1.1 CLASE 2A,, LOS MATERIALES DEBEN CUMPLIR CON ANSI/NACE MR-0175, ISO 15156-1 Y 2, Y EL ESTÁNDAR PEMEX-EST-TD-027-2022, DE  5/8” DE DIAMETRO x 3 1/2" DE LONGITUD.</t>
  </si>
  <si>
    <t>C3EXT-0612</t>
  </si>
  <si>
    <t>SUMINISTRO, CARGA, ACARREO, DESCARGA Y PUESTA EN SITIO COSTA FUERA DE BOQUILLA DE ASPERSIÓN, CONEXIÓN DE 25 mm (1" DE DIAMETRO) ROSCA NPTM. FLUJO DE 82.38 GPM @ 100 PSIG DE PRESIÓN, ÁNGULO DE ASPERSIÓN DE 120°, CONO LLENO, FABRICADO EN BROCE  EN BRONCE ASTM B 61 ALEACIÓN UNS C92200</t>
  </si>
  <si>
    <t>C3EXT-0613</t>
  </si>
  <si>
    <t>SUMINISTRO, CARGA, ACARREO, DESCARGA Y PUESTA EN SITIO COSTA FUERA DE TABLERO DE SEGURIDAD Y CONTROL DE POZOS, DISEÑO MODULAR PARA CONTROLAR TRES (3) POZOS. PARA OPERACIÓN LOCAL Y/O AUTOMÁTICA DE APERTURA Y CIERRE DE CADA UNO DE LOS 3 POZOS DE LA PLATAFORMA MARINA PP-AYATSIL-A. SE REALIZARÁ MEDIANTE EL SUMINISTRO DE LA ENERGÍA HIDRÁULICA A LOS ACTUADORES DE LAS SSSV (VÁLVULAS SUBSUPERFICIALES) Y NEUMÁTICA A LOS ACTUADORES DE LAS SSV (VÁLVULAS SUPERFICIALES), DEL SISTEMA DE VÁLVULAS DE CADA POZO. CONSTITUIDO POR. * GABINETE, * SISTEMA DE CONTROL, * SECCIÓN MAESTRA., * SECCIÓN MÓDULOS DE CONTROL, * SECCIÓN DE DESVIÓ, * UNIDAD DE SUMINISTRO DE POTENCIA HIDRÁULICA., * SISTEMA NEUMÁTICO DE TAPÓN FUSIBLE, * ESTACIONES MANUALES DE PARO DE EMERGENCIA., * TUBING, ACCESORIOS Y ETIQUETAS DE IDENTIFICACIÓN., * UNIDAD HIDRÁULICA PORTÁTIL DE ACUERDO CON ESPECIFICACIÓN Y HOJA DE DATOS: EPI-811.018-PP-AYATSIL-A-P-007, HD-811.018-PP-AYATSIL-A-P-007. IDENTIFICACIÓN: TSCP-1001</t>
  </si>
  <si>
    <t>C3EXT-0614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</si>
  <si>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4 kg/cm2, IDENTIFICACIÓN:  PIT-TSH-1001C</t>
  </si>
  <si>
    <t>C3EXT-0615</t>
  </si>
  <si>
    <t>SUMINISTRO, CARGA, ACARREO, DESCARGA Y PUESTA EN SITIO COSTA FUERA DE TRANSMISOR INDICADOR DE PRESIÓN INALÁMBRICO. LOS COMPONENTES DEL TRANSMISOR DEBEN INCLUIR LA UNIDAD DE MEDICIÓN, EL MÓDULO ELECTRÓNICO BASADO EN MICROPROCESADORES. EL MATERIAL DE LAS CONEXIONES AL PROCESO EN ACERO INOXIDABLE 316 O EQUIVALENTE, CON ELEMENTO SENSOR TIPO DIAFRAGMA DE ACERO INOXIDABLE 316. LA CAJA DEL TRANSMISOR DEBE SER ADECUADA PARA ÁREAS CLASIFICADAS NEMA 4X,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–25 kg/cm2. IDENTIFICACIÓN:  PIT-1600A, PIT-1600B, PIT-17600A, PIT-17600BA, PIT-1800A, PIT-1800B.</t>
  </si>
  <si>
    <t>C3EXT-0616</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</si>
  <si>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40 kg/cm2.  IDINTIFICACIÓN: PIT-600D, PIT-1600E.  PIT-1700D, PIT-17600E. PIT-1800D, PIT-1800E.</t>
  </si>
  <si>
    <t>C3EXT-0617</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</si>
  <si>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500 kg/cm2. IDENTIFICACIÓN: PIT-1600D, PIT-1700D. PIT1800D.</t>
  </si>
  <si>
    <t>C3EXT-0618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</si>
  <si>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7 kg/cm2. IDENTIFICACIÓN:  PIT-WV-1600A, PIT-WV-1600B, PIT-WV-1600C, PIT-WV-1700A, PIT-WV-1700B, PIT-WV-1700C, PIT-WV-1800A, PIT-WV-1800B, PIT-WV-1800C, LIT-BNFH-1001, PIT-BPCN-1001.</t>
  </si>
  <si>
    <t>C3EXT-0619</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</si>
  <si>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EPI-811.018-PP-AYATSIL-A-P-004 Y HD-811.018-PP-AYATSIL-A-P-004. RANGO  0 – 150° C. IDENTIFICACIÓN: TIT-1600A, TIT.1700A, TIT-1800A, TIT-1001A.</t>
  </si>
  <si>
    <t>C3EXT-0620</t>
  </si>
  <si>
    <t>SUMINISTRO, CARGA, ACARREO, DESCARGA Y PUESTA EN SITIO COSTA FUERA DE  ELEMENTO DE TEMPERATURA TIPO RTD, ENSAMBLE COMPLETO INTEGRAL CON EL TRANSMISOR, MATERIAL DE LA BAINA DE ACERO INOXIDABLE 316 ELEMENTO SENSOR TIPO RTD, PLATINO 100 OHMS A 0° C, 3 HILOS. MONTAJE CONEXIÓN CONDUIT 1/2" NPT, MATERIAL DEL TERMOPOZO HASTELOY C (SERVICIO AMARGO), CONEXIÓN A PROCESO BRIDADO DE 1-1/2" 600 # RF, LARGO DE INSTALACIÓN: LONGITUD "U" DE 4”, DESDE LA BRIDA DE CUELLO, LONGITUD “A” DE 6”.  RANGO DEL SENSOR: -200 A 850 °C. DE ACUERDO CON: EPI-811.018-PP-AYATSIL-A-P-004 Y HD-811.018-PP-AYATSIL-A-P-004.  TAG: TW/TE-1600A, TW/TE-1700A, TW/TE-1800ª, TE/TW-1001A.</t>
  </si>
  <si>
    <t>C3EXT-0621</t>
  </si>
  <si>
    <t>SUMINISTRO, CARGA, ACARREO, DESCARGA Y PUESTA EN SITIO COSTA FUERA DE INDICADOR DE PRESIÓN (MANÓMETRO) DE LECTURA DIRECTA, MONTAJE LOCAL, CARATULA DE 4 1/2" DE DIAMETRO,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DE DIAMETRO NPT MACHO. INCLUYE MANIFOLD EN LINEA DE 2 VÁLVULAS 1/2” DE DIAMETRO NPTM-H. AMORTIGUADOR DE PULSACIONES DE 1/2” NPTM DE ACUERDO CON ESPECIFICACION Y HOJA DE DATOS : EPI-811.018-PP-AYATSIL-A-P-001, HD-811.018-PP-AYATSIL-A-P-001, RANGO  0 – 40 KG/CM2. TAG: PI-1600D.PI-1600E, PI-1700D.PI-1700E, PI-1800D, PI-1800E.</t>
  </si>
  <si>
    <t>C3EXT-0622</t>
  </si>
  <si>
    <t>SUMINISTRO, CARGA, ACARREO, DESCARGA Y PUESTA EN SITIO COSTA FUERA DE FUENTE DE ALIMENTACIÓN, 127 VAC-24V CD, 2.5A, 60W, PARA ALIMENTACIÓN DE CONCENTRADOR INALÁMBRICO, VOLTAJE DE SALIDA  24 VDC, CORRIENTE DE SALIDA 2.5 A, POTENCIA 60 W, ALTA EFICIENCIA MAYOR AL 89 %, CON DISIPADOR DE CALOR. PARA RANGO DE TEMPERATURAS DE -10 A+70 °C, CON PROTECCIÓN PARA SOBRECARGAS, CIRCUITO ABIERTO AUTOMÁTICO, FUSIBLE REMOVIBLE, CON BOTÓN DE ENCENDIDO Y LEDS DE ENCENDIDO, CON CARGA Y FALLA, CONTENIDO EN CAJA O GABINETE NEMA 4X. SELLADO CONTRA AGUA Y RESISTENTE A LA CORROSIÓN, Y PARA EMPOTRAR EN PARED.Y PREPARACIONES PARA 2 CONEXIÓNES A TUBERÍA CONDUIT DE 3/4 DIÁMETRO</t>
  </si>
  <si>
    <t>C3EXT-0623</t>
  </si>
  <si>
    <t>SUMINISTRO, CARGA, ACARREO, DESCARGA Y PUESTA EN SITIO COSTA FUERA DE VÁLVULA SOLENOIDE DE 3 VÍAS, CUERPO DE ACERO INOXIDABLE. PUERTOS DE 1/4” DE DIAMETRO NPTF. BOBINA ENCAPSULADA CLASE H, CUBIERTA ENCAPSULADA DIÁMETRO DE LA CONEXIÓN ELÉCTRICA PARA LA TUBERÍA CONDUIT DE 12.7 mm (1/2”) DE DIAMETRO ROSCADA, HEMBRA TIPO NPT. ALIMENTADAS A 24 VCD y 60 Hz. DE BAJO CONSUMO. DEBEN SER APROPIADAS PARA INSTALARSE A LA INTEMPERIE EN UN AMBIENTE MARINO ALTAMENTE CORROSIVO. ADECUADOS PARA CUMPLIR CON UNA CLASIFICACIÓN DE ÁREA ELÉCTRICA CLASE I, DIV.1, GRUPOS C Y D, A PRUEBA DE EXPLOSIÓN. PARA OPERACIÓN SIEMPRE ENERGIZADA, NIVEL DE INTEGRIDAD SIL 2. DE ACUERDO CON ESPECIFICACIÓN Y HOJA DE DATOS: EPI-811.018-PP-AYATSIL-A-P-009. HD-811.018-PP-AYATSIL-A-P-009. IDENTIFICACIÓM: SDY-1001 A/ B</t>
  </si>
  <si>
    <t>C3EXT-0624</t>
  </si>
  <si>
    <t>SUMINISTRO, CARGA, ACARREO, DESCARGA Y PUESTA EN SITIO COSTA FUERA DE CONECTOR REDUCTOR MACHO DE 3/8" DE DIAMETRO OD X 1/4" NPTM, DE ACERO INOXIDABLE 316L, ALTO SELLO Y DOBLE FÉRULA, ASTM A276/ASME SA479.</t>
  </si>
  <si>
    <t>C3EXT-0625</t>
  </si>
  <si>
    <t>SUMINISTRO, CARGA, ACARREO, DESCARGA Y PUESTA EN SITIO COSTA FUERA DE VÁLVULA DE AGUJA DE 1/2" DE DIAMETRO NPTH, CUERPO, VÁSTAGO Y ASIENTO DE AC. INOXIDABLE 316L DE 3000#.</t>
  </si>
  <si>
    <t>C3EXT-0626</t>
  </si>
  <si>
    <t>SUMINISTRO, CARGA, ACARREO, DESCARGA Y PUESTA EN SITIO COSTA FUERA DE MEDIA CAÑA PARA TUBERIA DE 3/4" DE DIAMETRO, DE  120° x 150 mm DE LONGITUD, DE ELASTOMERO DE POLIURETANO DE 3/8" DE ESPESOR DE PARED ADHERIDA LA TUBO.</t>
  </si>
  <si>
    <t>C3EXT-0627</t>
  </si>
  <si>
    <t>SUMINISTRO, CARGA, ACARREO, DESCARGA Y PUESTA EN SITIO COSTA FUERA DE MEDIA CAÑA PARA TUBERIA DE 6" DE DIAMETRO, DE 120° x 300 mm DE LONGITUD, DE ELASTOMERO DE POLIURETANO DE 3/8" DE ESPESOR DE PARED ADHERIDA LA TUBO.</t>
  </si>
  <si>
    <t>C3EXT-0628</t>
  </si>
  <si>
    <t>SUMINISTRO, CARGA, ACARREO, DESCARGA Y PUESTA EN SITIO COSTA FUERA DE MEDIA CAÑA PARA TUBERIA DE 8" DE DIAMETRO, DE 120° x 300 mm DE LONGITUD, DE ELASTOMERO DE POLIURETANO DE 3/8" DE ESPESOR DE PARED ADHERIDA LA TUBO.</t>
  </si>
  <si>
    <t>C3EXT-0629</t>
  </si>
  <si>
    <t>SERVICIO DE ANALISIS DE RIESGO PARA SALVATAJE DE ESTRUCTURAS MARINAS DE ACUERDO CON LA INGENIERIA DE DETALLE.</t>
  </si>
  <si>
    <t>C3EXT-0630</t>
  </si>
  <si>
    <t>SUMINISTRO, CARGA, ACARREO, DESCARGA Y PUESTA EN SITIO COSTA FUERA DE  EMPAQUE ESPIRO-METÁLICO, CON ANILLOS METÁLICOS CENTRADOR (EXTERIOR) Y DE RESPALDO (INTERNO), RELLENO DE GRAFITO FLEXIBLE, (ENROLLAMIENTO Y ANILLOS DE ALEACIÓN UNS N04400, ASME B16.20, LOS MATERIALES DEBEN CUMPLIR CON EL ESTÁNDAR PEMEX-EST-TD-156-2020 PARA BRIDAS ASME B16.5 CLASE 150, DE 6” DE DIAMETRO NPS (150 DN), DE 1/8” DE ESPESOR</t>
  </si>
  <si>
    <t>C3EXT-0631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</si>
  <si>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</si>
  <si>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C3EXT-0632</t>
  </si>
  <si>
    <t>SUMINISTRO, CARGA, ACARREO, DESCARGA Y PUESTA EN SITIO COSTA FUERA DE  EMPAQUE ESPIRO-METÁLICO, CON ANILLOS METÁLICOS CENTRADOR (EXTERIOR) Y DE RESPALDO (INTERNO)DE PTFE, RELLENO DE GRAFITO FLEXIBLE, (ENROLLAMIENTO Y ANILLOS DE ALEACIÓN UNS N04400, ASME B16.20, LOS MATERIALES DEBEN CUMPLIR CON EL ESTÁNDAR PEMEX-EST-TD-156-2020 PARA BRIDAS ASME B16.5 CLASE 150, DE 8” DE DIAMETRO NPS (200 DN), DE 1/8” DE ESPESOR</t>
  </si>
  <si>
    <t>C3EXT-0633</t>
  </si>
  <si>
    <t>SUMINISTRO, CARGA, ACARREO, DESCARGA Y PUESTA EN SITIO COSTA FUERA DE  ESPÁRRAGO DE ACERO DE ALEACIÓN ASTM A 183, GR. B7 CON DOS TUERCAS HEXAGONALES CADA UNA DE ACERO DE ALEACIÓN ASTM 194, GR 2H DE 3/4" DE DIAMETRO X 5 LONGITUD. Y RONDANAS PLANAS ASTM F436</t>
  </si>
  <si>
    <t>C3EXT-0634</t>
  </si>
  <si>
    <t>SUMINISTRO, CARGA, ACARREO, DESCARGA Y PUESTA EN SITIO COSTA FUERA DE PERNO DE Ø=31.75 mm (1 1/4") x 500 mm (20") DE LONG. ACERO DE ALEACIÓN ASTM A 193, GR. B7, CADMINIZADO</t>
  </si>
  <si>
    <t>C3EXT-0635</t>
  </si>
  <si>
    <t>SUMINISTRO, CARGA, ACARREO, DESCARGA Y PUESTA EN SITIO COSTA FUERA DE  TAPÓN MACHO 1/4" NPT, DE CABEZA HEXAGONAL DE ACERO INOXIDABLE 316L, DE 3000#, ASTM A276/ASME SA479.</t>
  </si>
  <si>
    <t>C3EXT-0636</t>
  </si>
  <si>
    <t>SUMINISTRO, CARGA, ACARREO, DESCARGA Y PUESTA EN SITIO COSTA FUERA DE  CONECTOR GLANDULA TIPO MACHO DE ALUMINIO LIBRE DE COBRE, CON RECUBRIMIENTO EXTERIOR DE 40 MILESIMAS DE PULGADA DE PVCE INTERIOR DE URETANO DE 2 MILESIMAS DE PULGADA, 21 mm DE DIAMETRO, CON RANGO DE ENTRADA PARA CABLE DE 9.53 A 12.7 mm CAT. CGB-294</t>
  </si>
  <si>
    <t>C3EXT-0637</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</si>
  <si>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ESPECIFICACIÓN Y HOJA DE DATOS: EPI-811.018-PP-AYATSIL-A-P-001, HD-811.018-PP-AYATSIL-A-P-001, RANGO  0 – 25 KG/CM2. TAG: PI-1600A, PI-1600B, PI-1700A, PI-1700B, PI-1800A, PI-1800B, PI-1001A.</t>
  </si>
  <si>
    <t>C3EXT-0638</t>
  </si>
  <si>
    <t>SUMINISTRO, CARGA, ACARREO, DESCARGA Y PUESTA EN SITIO COSTA FUERA DE CONCENTRADOR DE SEÑALES INALÁMBRICO. ELECTRÓNICO BASADO EN MICROPROCESADOR (GATEWAY). PARA USO INDUSTRIAL SEVERO. CONFIGURACIÓN EN FORMA DIGITAL A TRAVÉS DE UN COMPUTADOR. CON (SOFTWARE) DE CONFIGURACIÓN DE LA INTERFAZ DE RED INALÁMBRICA. PARA INTERFAZ ENTRE LA RED INALÁMBRICA DE LOS DISPOSITIVOS DE CAMPO, LA CUAL ESTÁ BASADA EL ESTÁNDAR IEEE 802.15.4, CON ANTENA PARA COMUNICARSE CON LA RED INALÁMBRICA DE CAMPO, DEBE ESTAR MONTADA REMOTAMENT AL DISPOSITIVO CON CABLE.  EL CONJUNTO (RADIO E INTERFAZ DE RED INALÁMBRICA), DEBE ESTAR CONTENIDO EN UN ÚNICO ENCAPSULADO.  ANTENA OMNIDIRECCIONAL CON 10dB DE GANANCIA A UNA DISTANCIA MÁXIMA DE 250 METROS, LOS MATERIALES PARA LA FIJACIÓN MECÁNICA DE LA ANTENA, ASÍ COMO EL CABLE, ACCESORIOS DE CONEXIÓN Y TODO LO NECESARIO PARA EL MONTAJE. EL ACCESORIO PARA PROTECCIÓN CONTRA RAYOS DEBE SER DE 50 Ohm TIPO TUBO DE GAS MONTAJE A PRUEBA DE INTEMPERIE EN CABLE Y COMO MÁXIMO 0.5 dB DE PERDIDA. LA RADIO FRECUENCIA DEL TRANSMISOR Y PROTOCOLO SERÁ LA De 2.4 -2.5 GHz DSSS. EL RANGO DE OPERACIÓN DE TEMPERATURA DEBE SER -40 a 60°C. LAS TARJETAS ELECTRÓNICAS CON UN RECUBRIMIENTO ESPECIAL PARA PROTEGERLAS DEL MEDIO AMBIENTE TROPICALIZADAS, CLASIFICACIÓN “G3”, CON CERTIFICADO. CAPACIDAD DE ADMINISTRAR HASTA 100 DISPOSITIVOS INALÁMBRICOS. ALIMENTACIÓN ELECTRICA DE 24 VCD NOMINALES. CON TRES PUERTOS DE COMUNICACIÓN, UN PUERTOO MODBUS RTU RS-485, CON OPC O MODBUS TCP/IP Y DOS PUERTOS DE COMUNICACIÓN DIGITAL TIPO ETHERNET 10BaseT/100MBS, CAPA FÍSICA: IEEE 802.15.4.2006, BANDA DE FRECUENCIAS: 2,4 GHz (BANDA ISM, LICENCIA GRATUITA), VELOCIDAD DE TRANSMISIÓN: 250 kBit/s, POTENCIA DE TRANSMISIÓN MÁXIMA: +10 dBm (EIRP), -RANGO DE TRANSMISIÓN: 250 m EN EXTERIORES, 50 m EN INTERIORES (EN CONDICIONES DE REFERENCIA), -ESTÁNDAR DE COMUNICACIONES: WIRELESS HART CONFORME CON IEC 62591. INCLUYE  CABLE COAXIAL DE 50 ohm, ATENUACIÓN A 30 m A 150 MHz: 1.5 dB ; ATENUACIÓN A 30 m A 450 MHz: 1.5 dB; EFECTIVIDAD DE BLINDAJE: MAYOR A 90 dB; FACTOR DE VELOCIDAD: 85%; POTENCIA NOMINAL: 0.83 kW A 450 MHz; MATERIAL DEL CONDUCTOR CENTRAL: ALUMINIO RECUBIERTO DE COBRE; DIÁMETRO EXTERIOR DEL CABLE: 10.29 mm; DIÁMETRO DEL CONDUCTOR INTERNO: 2.74 mm; BLINDAJE: MALLA DE COBRE ESTAÑADO;  AISLAMIENTO DIELÉCTRICO: ESPUMA DE POLIETILENO, DE ACUERDO CON ESPECIFICACIÓN Y HOJA DE DATOS:  EPI-811.018-PP-AYATSIL-A-P-002. HD-811.018-PP-AYATSIL-A-P-002. IDENTIFICACIÓN: GATEWAY-01</t>
  </si>
  <si>
    <t>C3EXT-0639</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</si>
  <si>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TSCP-1904 EXISTENTE, DE LA PLATAFORMA PP AYATSIL-A.,     B. SE UTILIZARÁ CONEXIÓN DISPONIBLES DE LAS ESTACIONES DE DISPARO REMOTO NO UTILIZADAS EN EL TABLERO TSCP-1001 POR PROYECTO (COSTADO IZQUIERDO), CONECTADAS AMBAS A SUS CIRCUITOS DE 50 PSI DE TAL FORMA QUE CUANDO SE GENERE UN PARO EN CUALQUIERA DE LOS TABLEROS SE REFLEJE EL PARO EN AMBOS TABLEROS DE CONTROL DE POZOS C.         AMBAS CONEXIONES DEBEN INCLUIR VÁLVULA CHECK ANTES DE LA VÁLVULA DE CARGA DE LA RED DE CONTROL.VER PLANO B-811.018-PP-AYATSIL-A-P-031</t>
  </si>
  <si>
    <t>C3EXT-0640</t>
  </si>
  <si>
    <t>BUCEO DE SATURACION INTEGRADA POR  12 BUZOS, INCLUYE: EQUIPOS Y GASES.</t>
  </si>
  <si>
    <t>C3EXT-0641</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</si>
  <si>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</si>
  <si>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C3EXT-0642</t>
  </si>
  <si>
    <t>SUMINISTRO, CARGA, ACARREO, DESCARGA Y PUESTA EN SITIO COSTA FUERA PLACAS DE PANEL CONTRAINCENDIO DE ANCHO ( TIPO DE ACERO, ESPECIFICACION, ESPESOR)</t>
  </si>
  <si>
    <t>C3EXT-0643</t>
  </si>
  <si>
    <t>SERVICIO DE INTEGRACIÓN DE SEÑALES DE LOS INSTRUMENTOS EN LA PLATAFORMA AYATSIL-A</t>
  </si>
  <si>
    <t>C3EXT-0644</t>
  </si>
  <si>
    <t>TÉCNICA DE INSPECCIÓN VISUAL, INCLUYE:  OPERARIO ESPECIALISTA CERTIFICADO TÉCNICO NIVEL II EN VT, KIT DE VISUAL Y CERTIFICADO VIGENTE DE VT-II.</t>
  </si>
  <si>
    <t>C3EXT-0645</t>
  </si>
  <si>
    <t>INT. MEC.NOH-A</t>
  </si>
  <si>
    <t>TÉCNICA DE INSPECCIÓN CON LIQUIDOS PENETRANTES, INCLUYE: OPERARIO ESPECIALISTA CERTIFICADO TÉCNICO NIVEL II EN PT, KIT DE LIMPIADOR, LÍQUIDOS PENETRANTES Y REVELADOR,  ASÍ COMO, CERTIFICADO VIGENTE DE VT-II.</t>
  </si>
  <si>
    <t>C3EXT-0646</t>
  </si>
  <si>
    <t>TÉCNICA DE DE INSPECCIÓN CON PMI (IDENTIFICACIÓN POSITIVA DE MATERIALES), INCLUYE: OPERARIO ESPECIALISTA CERTIFICADO TÉCNICO NIVEL PMI, EQUIPO PISTOLA PMI XRF Y CERTIFICADO VIGENTE DE PMI.</t>
  </si>
  <si>
    <t>C3EXT-0647</t>
  </si>
  <si>
    <t>TÉCNICA DE INSPECCIÓN CON ULTRASONIDO INDUSTRIAL MEDICIÓN DE ESPESORES, INCLUYE: OPERARIO ESPECIALISTA CERTIFICADO TÉCNICO NIVEL II EN UT, EQUIPO DE ULTRASONIDO MEDIDOR DE ESPESORES Y CERTIFICADO VIGENTE DE UT-II.</t>
  </si>
  <si>
    <t>C3EXT-0648</t>
  </si>
  <si>
    <t>TÉCNICA DE INSPECCIÓN CON ULTRASONIDO INDUSTRIAL PARA DETECCIÓN DE FALLAS HAZ RECTO, INCLUYE: OPERARIO ESPECIALISTA CERTIFICADO TÉCNICO NIVEL II EN UT, EQUIPO DE ULTRASONIDO DETECTOR DE FALLAS Y CERTIFICADO VIGENTE DE UT-II.</t>
  </si>
  <si>
    <t>C3EXT-0649</t>
  </si>
  <si>
    <t>TÉCNICA DE INSPECCIÓN CON ULTRASONIDO INDUSTRIAL PARA DETECCIÓN DE FALLAS HAZ ANGULAR, INCLUYE: OPERARIO ESPECIALISTA CERTIFICADO TÉCNICO NIVEL II EN UT, EQUIPO DE ULTRASONIDO DETECTOR DE FALLAS CON ZAPATAS DE 45°, 60° Y 70°, ASÍ COMO, CERTIFICADO VIGENTE DE UT-II.</t>
  </si>
  <si>
    <t>C3EXT-0650</t>
  </si>
  <si>
    <t>TÉCNICA DE INSPECCIÓN METALOGRAFÍA, INCLUYE: OPERARIO ESPECIALISTA CERTIFICADO TÉCNICO O INGENIERO METALÚRGICO, KIT PARA METALOGRAFÍA Y CERTIFICADO VIGENTE.</t>
  </si>
  <si>
    <t>C3EXT-0651</t>
  </si>
  <si>
    <t>TÉCNICA DE DUREZA, INCLUYE: OPERARIO ESPECIALISTA CERTIFICADO TÉCNICO NIVEL II, EQUIPO DUROMETRO DE DUREZA Y CERTIFICADO VIGENTE.</t>
  </si>
  <si>
    <t>C3EXT-0652</t>
  </si>
  <si>
    <t>TÉCNICA DE INSPECCIÓN CON PARTICULA MÁGNETICAS, INCLUYE: OPERARIO ESPECIALISTA CERTIFICADO TÉCNICO NIVEL II EN MT, EQUIPO YUGO, PARTICULAS MAGNETICAS Y CERTIFICADO VIGENTE DE MT-II.</t>
  </si>
  <si>
    <t>C3EXT-0653</t>
  </si>
  <si>
    <t>RECOPILACIÓN Y ANÁLISIS DE INFORMACIÓN OBTENIDA DE LA INSPECCIÓN, PARA INTEGRAR DICTÁMEN TÉCNICO, ESTABLECIENDO RECOMENDACIONES DE MANTENIMIENTO, AVALADO POR INGENIERO METALURGICO E INSPECTOR API.</t>
  </si>
  <si>
    <t>C3EXT-0654</t>
  </si>
  <si>
    <t>SUMINISTRO, CARGA, ACARREO, DESCARGA Y PUESTA EN SITIO COSTA FUERA DE BRIDA CUELLO SOLDABLE DE  ACERO AL CARBÓN ASTM A-105, DE 10" DE DIAMETRO, CED 40, CLASE 300.</t>
  </si>
  <si>
    <t>C3EXT-0655</t>
  </si>
  <si>
    <t>SUMINISTRO, CARGA, ACARREO, DESCARGA Y PUESTA EN SITIO COSTA FUERA DE BRIDA CUELLO SOLDABLE  DE ACERO AL CARBÓN ASTM A-105, DE 10" DE DIAMETRO, CED. 60, CLASE 600.</t>
  </si>
  <si>
    <t>C3EXT-0656</t>
  </si>
  <si>
    <t>SUMINISTRO, CARGA, ACARREO, DESCARGA Y PUESTA EN SITIO COSTA FUERA DE BRIDA CUELLO SOLDABLE DE ACERO AL CARBONO FORJADO, ASTM A-105, ASME B16.5, CLASE 150#, R.F., BORE 17.376",  DE 18" DE DIAMETRO.</t>
  </si>
  <si>
    <t>C3EXT-0657</t>
  </si>
  <si>
    <t>SUMINISTRO, CARGA, ACARREO, DESCARGA Y PUESTA EN SITIO COSTA FUERA DE BRIDA CUELLO SOLDABLE DE  ACERO AL CARBÓN ASTM A-105, 20" DE DIAMETRO, CED STD, CLASE 150, BORE: 19.250.</t>
  </si>
  <si>
    <t>C3EXT-0658</t>
  </si>
  <si>
    <t>SUMINISTRO, CARGA, ACARREO, DESCARGA Y PUESTA EN SITIO COSTA FUERA DE BRIDA CUELLO SOLDABLE DE ACERO AL CARBÓN ASTM A-105, DE 24" DE DIAMETRO, CLASE 600, CEDULA 80.</t>
  </si>
  <si>
    <t>C3EXT-0659</t>
  </si>
  <si>
    <t>SUMINISTRO, CARGA, ACARREO, DESCARGA Y PUESTA EN SITIO COSTA FUERA DE BRIDA CUELLO SOLDABLE DE ACERO AL CARBONO FORJADO, ASTM A-105, ASME B16.47, CLASE 150#, R.F., BORE 29.000",  DE 30" DE DIÁMETRO.</t>
  </si>
  <si>
    <t>C3EXT-0660</t>
  </si>
  <si>
    <t>SUMINISTRO, CARGA, ACARREO, DESCARGA Y PUESTA EN SITIO COSTA FUERA DE BRIDA CUELLO SOLDABLE DE  ACERO AL CARBÓN ASTM A-105, DE 36" DE DIAMETRO, CLASE 300, CEDULA 20.</t>
  </si>
  <si>
    <t>C3EXT-0661</t>
  </si>
  <si>
    <t>SUMINISTRO, CARGA, ACARREO, DESCARGA Y PUESTA EN SITIO COSTA FUERA DE BRIDA CUELLO SOLDABLE DE  ACERO AL CARBÓN ASTM A-105, DE 14" DE DIAMETRO, CED 100, 900#, RTJ.</t>
  </si>
  <si>
    <t>C3EXT-0662</t>
  </si>
  <si>
    <t>SUMINISTRO, CARGA, ACARREO, DESCARGA Y PUESTA EN SITIO COSTA FUERA DE BRIDA CIEGA DE  ACERO AL CARBONO ASTM A105, ASME B16.5. DE 8” DE DIAMETRO,CLASE 600, R.F.</t>
  </si>
  <si>
    <t>C3EXT-0663</t>
  </si>
  <si>
    <t>SUMINISTRO, CARGA, ACARREO, DESCARGA Y PUESTA EN SITIO COSTA FUERA DE BRIDA CIEGA  DE ACERO AL CARBONO ASTM A105, ASME B16.5, DE 10” DE DIAMETRO, CLASE 600.</t>
  </si>
  <si>
    <t>C3EXT-0664</t>
  </si>
  <si>
    <t>SUMINISTRO, CARGA, ACARREO, DESCARGA Y PUESTA EN SITIO COSTA FUERA DE BRIDA CIEGA DE ACERO AL CARBONO ASTM A105, ASME B16.5., DE 10” DE DIAMETRO, CLASE 300.</t>
  </si>
  <si>
    <t>C3EXT-0665</t>
  </si>
  <si>
    <t>SUMINISTRO, CARGA, ACARREO, DESCARGA Y PUESTA EN SITIO COSTA FUERA DE BRIDA CIEGA DE ACERO AL CARBONO ASTM A105, ASME B16.5. DE 18” DE DIAMETRO, CLASE 150, R.F.</t>
  </si>
  <si>
    <t>C3EXT-0666</t>
  </si>
  <si>
    <t>SUMINISTRO, CARGA, ACARREO, DESCARGA Y PUESTA EN SITIO COSTA FUERA DE BRIDA CIEGA DE ACERO AL CARBONO ASTM A105, ASME B16.5., DE 20" DE DIAMETRO, CLASE 150, R.F.</t>
  </si>
  <si>
    <t>C3EXT-0667</t>
  </si>
  <si>
    <t>SUMINISTRO, CARGA, ACARREO, DESCARGA Y PUESTA EN SITIO COSTA FUERA DE BRIDA CIEGA  DE ACERO AL CARBONO ASTM A105, ASME B16.47, SERIE A. DE 36" DE DIAMETRO, CLASE 300.</t>
  </si>
  <si>
    <t>C3EXT-0668</t>
  </si>
  <si>
    <t>SUMINISTRO, CARGA, ACARREO, DESCARGA Y PUESTA EN SITIO COSTA FUERA DE BRIDA CIEGA DE ACERO AL CARBONO ASTM A105, ASME B16.47, SERIE A. DE 30" DE DIAMETRO, CLASE 150.</t>
  </si>
  <si>
    <t>C3EXT-0669</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</si>
  <si>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10" DE DIAMETRO, CLASE 300.</t>
  </si>
  <si>
    <t>C3EXT-0670</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</si>
  <si>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DE 10" DE DIÁMETRO, CLASE 600.</t>
  </si>
  <si>
    <t>OT-801-25-063-UDC-NHA1-CE-006 (FN)</t>
  </si>
  <si>
    <t>C3EXT-0671</t>
  </si>
  <si>
    <t>15C-19</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</si>
  <si>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</si>
  <si>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C3EXT-0924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</si>
  <si>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20" DE DIAMETRO, DE 1/8" DE ESPESOR.</t>
  </si>
  <si>
    <t>C3EXT-0673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</si>
  <si>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24" DE DIAMETRO, DE 1/8" DE ESPESOR.</t>
  </si>
  <si>
    <t>C3EXT-0674</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</si>
  <si>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36" DE DIAMETRO, CLASE 300.</t>
  </si>
  <si>
    <t>C3EXT-0675</t>
  </si>
  <si>
    <t>SUMINISTRO, CARGA, ACARREO, DESCARGA Y PUESTA EN SITIO COSTA FUERA DE EMPAQUE, TIPO ANILLO OCTAGONAL DE ACERO INOXIDABLE UNS 31600, CON DUREZA BRINELL MÁXIMA DE 160, DE ACUERDO AL ASME B16.20, PARA BRIDAS ASME B16.5, DE 14" DE DIAMETRO, CLASE 900#, EXTREMOS RTJ (R62).</t>
  </si>
  <si>
    <t>C3EXT-0676</t>
  </si>
  <si>
    <t>SUMINISTRO, CARGA, ACARREO, DESCARGA Y PUESTA EN SITIO COSTA FUERA DE ESPÁRRAGO DE ACERO AL CARBON CON RECUBRIMIENTO CADMINIZADO, TIPO II, CLASE 25, ESPECIFICACION ASTM A193, GRADO B7M, CON DOS TUERCAS HEXAGONALES, ESPECIFICACION ASTM A194, GRADO 2HM, DE 1" DE DIAMETRO X 6 1/2" DE LONGITUD.</t>
  </si>
  <si>
    <t>C3EXT-0677</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</si>
  <si>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DE DIAMETRO X 7" DE LONGITUD.</t>
  </si>
  <si>
    <t>C3EXT-0678</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</si>
  <si>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DE LONGITUD.</t>
  </si>
  <si>
    <t>C3EXT-0679</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</si>
  <si>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1/2" DE LONGITUD.</t>
  </si>
  <si>
    <t>C3EXT-0680</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</si>
  <si>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1/8" DE DIAMETRO X  7 3/4" DE LONGITUD.</t>
  </si>
  <si>
    <t>C3EXT-0681</t>
  </si>
  <si>
    <t>SUMINISTRO, CARGA, ACARREO, DESCARGA Y PUESTA EN SITIO COSTA FUERA DE ESPÁRRAGO DE ACERO DE ALEACIÓN ASTM A 193 Gr. B7, ROSCA ASME/ANSI B 1.1, CON DOS TUERCAS HEXAGONALES DE ACERO AL CARBONO, ASTM A-194 Gr. 2H,  ESPECIFICACIÓN DE RECUBRIMIENTO, CADMIO ASTM B 766. QUE CUMPLA CON LA NORMA (NRF-027-PEMEX-2009) DE 1 1/4" DE DIÁMETRO X 8 3/4" DE LONGITUD.</t>
  </si>
  <si>
    <t>OT-801-25-087-UDC-EKA-P-018</t>
  </si>
  <si>
    <t>C3EXT-0682</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</si>
  <si>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1/4" DE DIAMETRO X 9 1/2" DE LONGITUD.</t>
  </si>
  <si>
    <t>C3EXT-0683</t>
  </si>
  <si>
    <t>SUMINISTRO, CARGA, ACARREO, DESCARGA Y PUESTA EN SITIO COSTA FUERA DE ESPÁRRAGO DE ACERO AL CARBONO, ROSCA ESTANDAR, ASTM A193 GR. B7, ROSCAS ASME B1.1 CLASE 2A, CON RECUBRIMIENTO RESISTENTE A LA CORROSIÓN A BASE DE CADMIO (25 MICRAS DE ESPESOR ASTM B766 ), CON DOS TUERCAS HEXAGONALES DE ACERO AL CARBONO, ASTM A194 GR. 2H, HEXAGONAL, ROSCAS ASME B1.1 CLASE 2A, CON RECUBRIMIENTO RESISTENTE A LA CORROSIÓN A BASE DE CADMIO (25 MICRAS DE ESPESOR ASTM B766), DE 1 1/2" DE DIÁMETRO X 11 1/4" DE LONGITUD.</t>
  </si>
  <si>
    <t>C3EXT-0684</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</si>
  <si>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DIAMETRO X 13 1/4" DE LONGITUD.</t>
  </si>
  <si>
    <t>C3EXT-0685</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</si>
  <si>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 DE 2" DE DIAMETRO X 13 1/4" DE LONGITUD.</t>
  </si>
  <si>
    <t>C3EXT-0686</t>
  </si>
  <si>
    <t>SERVICIO DE PRUEBA HIDROSTÁTICA COSTA A FUERA A LÍNEA NUEVA DE INTERCONEXIÓN DE SUCCIÓN DE GAS AMARGO DE 24”Ø X 30"Ø  DE MARS-100. INCLUYE PERSONAL CERTIFICADO Y EQUIPOS.</t>
  </si>
  <si>
    <t>BME-3801-018-2024</t>
  </si>
  <si>
    <t>OT-GRZ-801-24-016.3-J-NHA</t>
  </si>
  <si>
    <t>C3EXT-0687</t>
  </si>
  <si>
    <t>24-016.3J-NHA</t>
  </si>
  <si>
    <t>16C-19</t>
  </si>
  <si>
    <t>SUMINISTRO, CARGA, ACARREO, DESCARGA Y PUESTA EN SITIO COSTA FUERA DE LUZ DE ESTADO ESTROBOSCÓPICA COLOR AMARILLA CON LUZ TIPO LED DE  60 A 120 DESTELLOS / MINUTO, POTENCIA DE ESTELLO DE 700 A 2,000 DE CANDELAS, A PRUEBA DE EXPLOSIÓN, CON MODULO DE MONTAJE Y UARDA, 24 VCD, CLASE 1, DIVISIÓN 1, GRUPOS B, C Y D, NEMA 4X Y 7.</t>
  </si>
  <si>
    <t>C3EXT-0925</t>
  </si>
  <si>
    <t>17C-19</t>
  </si>
  <si>
    <t>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t>
  </si>
  <si>
    <t>C3EXT-0926</t>
  </si>
  <si>
    <t>TOPOGRAFIA COSTA FUERA PARA REALIZAR LA VERIFICACION DE LA NIVELACION DE LA SUBESTRUCTURA Y LA SUPERESTRUCTURA DE LA ESTRUCTURA MINIMA DEFINITIVA RECUPERABLE. INCLUYE: PERSONAL ESPECIALIZADO, EQUIPO CALIBRADO Y REPORTE DE LAS ACTIVIDADES.</t>
  </si>
  <si>
    <t>C3EXT-0690</t>
  </si>
  <si>
    <t>SERVICIO DE PRUEBA DE CARGA DE BALANCIN DE DIMENSION XXXX , INCLUYE PERSONAL ESPECIALISTA, DINAMOMETRO CALIBRADO Y REPORTE.</t>
  </si>
  <si>
    <t>C3EXT-0691</t>
  </si>
  <si>
    <t>SUMINISTRO, CARGA, ACARREO, DESCARGA Y PUESTA EN SITIO COSTA FUERA DE BRIDA CIEGA DE ACERO AL CARBONO ASTM A105 DE 3" DE DIÁMETRO, CLASE 150# R.F. ASME 16.5 ANSI / NACE MR0175 / ISO 15156-2.</t>
  </si>
  <si>
    <t>C3EXT-0692</t>
  </si>
  <si>
    <t>APLICACIÓN DE PROTECCIÓN ANTICORROSIVA COSTA FUERA CON TÉCNICA ROPE ACCESS, A BASE DE RECUBRIMIENTO ENLACE EPOXICO MODIFICADO AUTOIMPRIMANTE DE DOS COMPONENTES SOLIDOS EN VOLUMEN AL 80% / POLIURETANO  ACRILICO ALIFATICO DE DOS  COMPONENTES SOLIDOS EN VOLUMEN DEL 65% EN DUCTOS ASCENDENTES, DEFENSA, ABRAZADERAS, TUBERÍAS Y EQUIPOS DE PROCESO Y ESTRUCTURAS METÁLICAS; INCLUYE: LIMPIEZA A BASE DE SAND BLAST (ARENA), MANO DE OBRA, HERRAMIENTA, EQUIPO Y CONSUMIBLES.</t>
  </si>
  <si>
    <t>C3EXT-0693</t>
  </si>
  <si>
    <t>SUMINISTRO, CARGA, ACARREO, DESCARGA Y PUESTA EN SITIO COSTA FUERA DE PERFIL CE-305mm X 44.64 kg/m (12" x 30 lb/ft) DE ACERO AL CARBON ASTM A572 GR 50.</t>
  </si>
  <si>
    <t>C3EXT-0694</t>
  </si>
  <si>
    <t>SUMINISTRO, CARGA, ACARREO, DESCARGA Y PUESTA EN SITIO COSTA FUERA DE PLACA LISA 6.35 mm (1/4") DE ESPESOR DE ACERO AL CARBON ASTM A-572 GR. 50.</t>
  </si>
  <si>
    <t>C3EXT-0695</t>
  </si>
  <si>
    <t>SUMINISTRO, CARGA, ACARREO, DESCARGA Y PUESTA EN SITIO COSTA FUERA DE SOLERA METÁLICA DE 254 mm x 9.5 mm (10" x 3/8") DE ACERO AL CARBÓN ASTM A-36..</t>
  </si>
  <si>
    <t>C3EXT-0696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</si>
  <si>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8" DE DIAMETRO, DE 1/8" DE ESPESOR.</t>
  </si>
  <si>
    <t>C3EXT-0697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</si>
  <si>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14" DE DIAMETRO, DE 1/8" DE ESPESOR.</t>
  </si>
  <si>
    <t>C3EXT-0698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</si>
  <si>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36" DE DIAMETRO, CLASE 600.</t>
  </si>
  <si>
    <t>C3EXT-0699</t>
  </si>
  <si>
    <t>SUMINISTRO, CARGA, ACARREO, DESCARGA Y PUESTA EN SITIO COSTA FUERA DE ESPÁRRAGO DE ACERO AL CARBON ASTM A193 GR. B7M, CADMINIZADOS, ROSCAS ASME B1.1, CLASE 2A, CON DOS TUERCAS HEXAGONALES DE ACERO AL CARBONO ASTM A194 GR. 2HM, CADMINIZADOS ROSCAS ASME B1.1, CLASE 2A, DE 1" DE DIAMETRO X 5 1/4" DE LONGITUD.</t>
  </si>
  <si>
    <t>C3EXT-0700</t>
  </si>
  <si>
    <t>SUMINISTRO, CARGA, ACARREO, DESCARGA Y PUESTA EN SITIO COSTA FUERA DE ESPARRAGO DE ACERO AL CARBON, CON REC. CADMINIZADO, TIPO: II, CLASE: 25,  ASTM: A193, GRADO: B7M CON 2 TUERCAS HEXAGONALES, DE 1 1/8" DE DIAMETRO  X 6" LONGITUD.</t>
  </si>
  <si>
    <t>C3EXT-0701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</si>
  <si>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</si>
  <si>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C3EXT-0702</t>
  </si>
  <si>
    <t>SUMINISTRO, CARGA, ACARREO, DESCARGA Y PUESTA EN SITIO COSTA FUERA DE ESPARRAGO, DE ACERO AL CARBON, CON REC. CADMINIZADO, TIPO: II, CLASE: 25,  ASTM: A193, GRADO: B7M CON 2 TUERCAS HEXAGONALES, DE 2 1/2" DE DIAMETRO  X 17" LONGITUD.</t>
  </si>
  <si>
    <t>C3EXT-0703</t>
  </si>
  <si>
    <t>SUMINISTRO, CARGA, ACARREO, DESCARGA Y PUESTA EN SITIO COSTA FUERA DE ESPARRAGO, DE 1/2" (12.700MM) DE DIAMETRO NOMINAL, 4" (101.600MM) DE LONGITUD, DE ACERO AL CARBONO, CON RECUBRIMIENTO CADMINIZADO, DE 25 MICRAS DE ESPESOR, TIPO II, ESPECIFICACION ASTM A193, GRADO B7, CON 2 TUERCAS HEXAGONALES, EN ASTM A194, GRADO 2H.</t>
  </si>
  <si>
    <t>C3EXT-0704</t>
  </si>
  <si>
    <t>MANTTO TBB-3 NHA1</t>
  </si>
  <si>
    <t>SUMINISTRO, CARGA, ACARREO, DESCARGA Y PUESTA EN SITIO COSTA FUERA DE TORNILLO DE 1/4" DE DIAMETRO NOMINAL X 3/4" DE LONGITUD, CON CABEZA HEXAGONAL, CUERDA CORRIDA, DE ACERO INOXIDABLE, ESPECIFICACION: ASTM A193, GRADO B8M, , INCLUYE 1 TUERCA HEXAGONAL, ESPECIFICACION: ASTM A194, GRADO 8M, 1 ARANDELA PLANA Y 1 ARANDELA DE PRESION DE ACERO INOXIDABLE 316.</t>
  </si>
  <si>
    <t>C3EXT-0705</t>
  </si>
  <si>
    <t>SUMINISTRO, CARGA, ACARREO, DESCARGA Y PUESTA EN SITIO COSTA FUERA DE TORNILLO CABEZA HEXAGONAL, DE ACERO AL CARBONO, CON RECUBRIMIENTO GALVANIZADO POR INMERSION, DE 3/8" (0.375") DE DIAMETRO, X 1" (1.00") DE LONGITUD, CON CUERDA CORRIDA, ESPECIFICACION: ASTM A307, GRADO: B, CON 01 TUERCA HEXAGONAL, ESPECIFICACION: ASTM A563, GRADO: DH, 01 ARANDELA PLANA, ESPECIFICACION: ASTM F436 Y 01 ARANDELA DE PRESION.</t>
  </si>
  <si>
    <t>C3EXT-0706</t>
  </si>
  <si>
    <t>SUMINISTRO, CARGA, ACARREO, DESCARGA Y PUESTA EN SITIO COSTA FUERA DE TORNILLO CABEZA HEXAGONAL, DE ACERO AL CARBONO CON RECUBRIMIENTO GALVANIZADO, DE 3/8" (0.375") DE DIAMETRO, X 2-1/2" (2.500") DE LONGITUD, ROSCA NORMAL (UNC), CUERDA CORRIDA, ESPECIFICACION: SAE J-429 GRADO 5, CON 01 TUERCA HEXAGONAL, DE ACERO AL CARBONO CON RECUBRIMIENTO GALVANIZADO, ESPECIFICACION: SAE J-995 GRADO: 5, 02 ARANDELAS PLANAS, DE ACERO AL CARBONO CON RECUBRIMIENTO GALVANIZADO, 02 ARANDELAS DE PRESION, DE ACERO AL CARBONO CON RECUBRIMIENTO GALVANIZADO.</t>
  </si>
  <si>
    <t>C3EXT-0707</t>
  </si>
  <si>
    <t>SUMINISTRO, CARGA, ACARREO, DESCARGA Y PUESTA EN SITIO COSTA FUERA DE TORNILLO DE 5/8" DE DIAMETRO NOMINAL X 2-1/2" DE LONGITUD, CON CABEZA HEXAGONAL, CUERDA CORRIDA, DE ACERO AL CARBONO, ESPECIFICACION: ASTM A193, GRADO B7, CON RECUBRIMIENTO CADMINIZADO DE 8 MICRAS DE ESPESOR, TIPO II, INCLUYE 1 TUERCA HEXAGONAL, ESPECIFICACION: ASTM A194, GRADO 2H, 1 ARANDELA PLANA ESPECIFICACION ASTM F436 Y 1 ARANDELA DE PRESION.</t>
  </si>
  <si>
    <t>C3EXT-0708</t>
  </si>
  <si>
    <t>SUMINISTRO, CARGA, ACARREO, DESCARGA Y PUESTA EN SITIO COSTA FUERA DE  TORNILLO DE 1/2" DE DIAMETRO NOMINAL X 1-1/2" DE LONGITUD, CON CABEZA HEXAGONAL, CUERDA CORRIDA, DE ACERO AL CARBONO, ESPECIFICACION: ASTM A193, GRADO B7M, CON RECUBRIMIENTO CADMINIZADO DE 25 MICRAS DE ESPESOR, TIPO II, INCLUYE 1 TUERCA HEXAGONAL, ESPECIFICACION: ASTM A194, GRADO 2HM, 2 ARANDELA PLANA ESPECIFICACION ASTM F436.</t>
  </si>
  <si>
    <t>C3EXT-0709</t>
  </si>
  <si>
    <t>SUMINISTRO, CARGA, ACARREO, DESCARGA Y PUESTA EN SITIO COSTA FUERA DE  EMPAQUE AUTOADHERIBLE PARA PUERTA, DE NEOPRENO COLOR NEGRO 15 MM X 3MM.</t>
  </si>
  <si>
    <t>C3EXT-0710</t>
  </si>
  <si>
    <t>SUMINISTRO, CARGA, ACARREO, DESCARGA Y PUESTA EN SITIO COSTA FUERA DE ARENA SILICA, QUE CUMPLA CON LA NORMA AS-92.</t>
  </si>
  <si>
    <t>C3EXT-0711</t>
  </si>
  <si>
    <t>SUMINISTRO, CARGA, ACARREO, DESCARGA Y PUESTA EN SITIO COSTA FUERA DE SILICON INDUSTRIAL RESISTENTES A ALTAS TEMPERATURAS, IDEAL PARA MAQUINARIA INDUSTRIAL, DURABLE Y RESISTENTE A CONDICIONES EXTREMAS, CON UN RANGO DE TRABAJO -50 A 315º CENTÍGRADOS, ELONGACIÓN : 300% MIN.</t>
  </si>
  <si>
    <t>C3EXT-0712</t>
  </si>
  <si>
    <t>SERVICIO DE INTEGRACION DE REPORTES DE VERIFICACION DE NIVELACIÓN DE LA SUBESTRUCTURA Y SUPERESTRUTURA.</t>
  </si>
  <si>
    <t>C3EXT-0713</t>
  </si>
  <si>
    <t>SUMINISTRO, CARGA, ACARREO, DESCARGA Y PUESTA EN SITIO COSTA FUERA DE CANAL METALICO CE-152 MM X 15.60 KG/M  (6 IN X 10.50 LF/FT) DE ACERO AL CARBON ASTM A-36.</t>
  </si>
  <si>
    <t>BME-3801-034-2024</t>
  </si>
  <si>
    <t>OT-GRZ-801-24-029-TG-01-NHA-A1</t>
  </si>
  <si>
    <t>C3EXT-0714</t>
  </si>
  <si>
    <t>029-TG-01-NHA-A1</t>
  </si>
  <si>
    <t>SUMINISTRO, CARGA, ACARREO, DESCARGA Y PUESTA EN SITIO COSTA FUERA DE BRIDA TIPO INSERTO SOLDABLE CARA REALZADA DE ACERO AL CARBON DE 3" DE DIAMETRO NOMINAL,  CEDULA 40 CLASE 150 LB BORE: 3.068", ESPECIFICACION: ASTM A 105,ASME B16.5.</t>
  </si>
  <si>
    <t>C3EXT-0715</t>
  </si>
  <si>
    <t>SUMINISTRO, CARGA, ACARREO, DESCARGA Y PUESTA EN SITIO COSTA FUERA DE BRIDA TIPO INSERTO SOLDABLE CARA REALZADA DE ACERO AL CARBON DE 3" DE DIAMETRO NOMINAL,  CEDULA 80 CLASE 600 LB BORE: 2.900",  ESPECIFICACION: ASTM A 105,ASME B16.5.</t>
  </si>
  <si>
    <t>C3EXT-0716</t>
  </si>
  <si>
    <t>SUMINISTRO, CARGA, ACARREO, DESCARGA Y PUESTA EN SITIO COSTA FUERA DE BRIDA CIEGA DE ACERO AL CARBON DE 1 1/2" DE DIAMETRO NOMINAL, CLASE 150# LB,  TIPO CARA REALZADA, ESPECIFICACION: ASTM A 105, ASME B16.5.</t>
  </si>
  <si>
    <t>C3EXT-0717</t>
  </si>
  <si>
    <t>SUMINISTRO, CARGA, ACARREO, DESCARGA Y PUESTA EN SITIO COSTA FUERA DE BRIDA CIEGA DE ACERO AL CARBON DE 4" DE DIAMETRO NOMINAL, CLASE 300 # LB TIPO CARA REALZADA,ESPECIFICACION: ASTM A 105,ASME B16.5</t>
  </si>
  <si>
    <t>C3EXT-0718</t>
  </si>
  <si>
    <t>SUMINISTRO, CARGA, ACARREO, DESCARGA Y PUESTA EN SITIO COSTA FUERA DE EMPAQUE ESPIROMETALICO, DE MONEL,UNS N04400, EN 3/16" DE ESPESOR , RELLENO DE GRAFITO PURO FLEXIBLE DE 3" DE DIAMETRO NOMINAL, ANILLO CONCENTRADOR DE MONEL, UNS N04400, DE 1/8" DE ESP., CLASE 600 LB ANILLO DE INTERIOR DE MONEL, UNS N 04400, ESPECIFICACION: ASME B16.20/B16.5</t>
  </si>
  <si>
    <t>C3EXT-0719</t>
  </si>
  <si>
    <t>SUMINISTRO, CARGA, ACARREO, DESCARGA Y PUESTA EN SITIO COSTA FUERA DE EMPAQUE ESPIROMETALICO, DE MONEL,UNS N04400, EN 3/16" DE ESPESOR , RELLENO DE GRAFITO PURO FLEXIBLE DE 4" DE DIAMETRO NOMINAL, ANILLO CONCENTRADOR DE MONEL, UNS N04400, DE 1/8" DE ESP., CLASE 300 LB ANILLO DE INTERIOR DE MONEL, UNS N 04400, ESPECIFICACION: ASME B16.20/B16.5</t>
  </si>
  <si>
    <t>C3EXT-0720</t>
  </si>
  <si>
    <t>SUMINISTRO, CARGA, ACARREO, DESCARGA Y PUESTA EN SITIO COSTA FUERA DE EMPAQUE ESPIROMETALICO, DE MONEL,UNS N04400, EN 3/16" DE ESPESOR , RELLENO DE GRAFITO PURO FLEXIBLE DE 6" DE DIAMETRO NOMINAL, ANILLO CONCENTRADOR DE MONEL, UNS N04400, DE 1/8" DE ESP., CLASE 150 ANILLO DE INTERIOR DE MONEL, UNS N 04400, ESPECIFICACION: ASME B16.20/B16.5</t>
  </si>
  <si>
    <t>C3EXT-0721</t>
  </si>
  <si>
    <t>SUMINISTRO, CARGA, ACARREO, DESCARGA Y PUESTA EN SITIO COSTA FUERA DE ESPÁRRAGO DE ACERO AL CARBON CON RECUBRIMIENTO CADMINIZADO, TIPO II, CLASE 25, ESPECIFICACION ASTM A193, GRADO B7M, CON DOS TUERCAS HEXAGONALES, ESPECIFICACION ASTM A194, GRADO 2HM, DE 3/4" DE DIAMETRO X 5" DE LONGITUD.</t>
  </si>
  <si>
    <t>C3EXT-0722</t>
  </si>
  <si>
    <t>SUMINISTRO, CARGA, ACARREO, DESCARGA Y PUESTA EN SITIO COSTA FUERA DE ESPARRAGO DE ACERO AL CARBON CON RECUBRMIENTO CADMINIZADO, TIPO II CLASE 25 DE 3/4"(0.750) DE DIAMETRO POR 5 3/4"  DE LONGITUD, ESPECIFICACION ASTM: A 193 GRADO B 7M CON 02 TUERCAS HEXAGONALES ESPECIFICACION ASTM A194, GRADO 2HM</t>
  </si>
  <si>
    <t>C3EXT-0723</t>
  </si>
  <si>
    <t>SUMINISTRO, CARGA, ACARREO, DESCARGA Y PUESTA EN SITIO COSTA FUERA DE TRANSMISOR DE GAS UNIVERSAL A PRUEBA DE EXPLOSION, MARCA DET TRONICS, MODELO UD10 DCU O SIMILAR.</t>
  </si>
  <si>
    <t>C3EXT-0724</t>
  </si>
  <si>
    <t>SUMINISTRO, CARGA, ACARREO, DESCARGA Y PUESTA EN SITIO COSTA FUERA DE SENSOR DE GASES COMBUSTIBLE INFRAROJO POINTWATCHTM,MCA. DET TRONICS, MODELO PIR9400 O SIMILAR</t>
  </si>
  <si>
    <t>C3EXT-0725</t>
  </si>
  <si>
    <t>SUMINISTRO, CARGA, ACARREO, DESCARGA Y PUESTA EN SITIO COSTA FUERA DE DETECTOR DE FUEGO TIPO ULTRAVIOLETA E INFRARROJO  (UV/IR)  DET TRONICS, MODELO X5200 Ó SIMILAR</t>
  </si>
  <si>
    <t>C3EXT-0726</t>
  </si>
  <si>
    <t>SUMINISTRO, CARGA, ACARREO, DESCARGA Y PUESTA EN SITIO COSTA FUERA DE SOPORTE DE MONTAJE PARA DETECTOR DE FUEGO TIPO UV/IR</t>
  </si>
  <si>
    <t>C3EXT-0727</t>
  </si>
  <si>
    <t>SUMINISTRO, CARGA, ACARREO, DESCARGA Y PUESTA EN SITIO COSTA FUERA DE DISPOSITIVO DE CONTROL PARA AIRE INSTRUMENTOS INCLUYE:  REGULADORA,FILTRO, VALVULA CHECK Y MANOMETRO O-150 PSI ACCESORIOS EN ACERO INOXIDABLE A-316</t>
  </si>
  <si>
    <t>C3EXT-0728</t>
  </si>
  <si>
    <t>SUMINISTRO, CARGA, ACARREO, DESCARGA Y PUESTA EN SITIO COSTA FUERA DE ESTACION MANUAL REMOTA DE ACCIONAMIENTO NORMALMENTECERRADO, PARA LA APERTURA DE VÁLVULA DE DILUVIO, INCLUYE: VALVULA DE DESCARGA DE 1/2": DE ACERO INOXIDABLE 316 REVESTIDO DE POLIESTER, ACCESORIOS DE 1/2" DE ACERO INOXIDABLE 316, ETIQUETA DE PVC MOLDEADO, CONEXION DE ENTRADA TIPO MACHO DE 1/2" NPT, SALIDA 1/2" NPT HEMBRA, LISTADA POR UL PARA SISTEMAS ESPECIALES DE PROTECCION CONTRA INCENDIOS</t>
  </si>
  <si>
    <t>C3EXT-0729</t>
  </si>
  <si>
    <t>SUMINISTRO, CARGA, ACARREO, DESCARGA Y PUESTA EN SITIO COSTA FUERA DE BOQUILLA DE ASPERSION EN BRONCE DE 1" ROSCA MACHO NPT, ANGULO FIJO 120 GRADOS DE 28.69 GPM MIN., EN UN RANGO DE PRESION DE 60 PSI A 125 PSI  TIPO CONO LLENO</t>
  </si>
  <si>
    <t>C3EXT-0730</t>
  </si>
  <si>
    <t>SUMINISTRO, CARGA, ACARREO, DESCARGA Y PUESTA EN SITIO COSTA FUERA DE FILTRO TIPO "Y" ASTM B763 UNS95500 CLASE 800 EXTREMOS ROSCADOS DE 2" DE DIAMETRO</t>
  </si>
  <si>
    <t>C3EXT-0731</t>
  </si>
  <si>
    <t>SUMINISTRO, CARGA, ACARREO, DESCARGA Y PUESTA EN SITIO COSTA FUERA DE TUBO ASME B36.10, DE ACERO AL CARBONO ASTM A106 GR. B, SIN COSTURA,GALVANIZADO, EXTREMOS BISELADOS, LOS MATERIALES DEBEN CUMPLIR CON ANSI/NACE MR-0175, ISO 15156-1 Y 2 Y EL ESTÁNDAR PEMEX-EST-TD-032-P1-2023, DE 6” DE DIAMETRO NPS (150 DN), CÉD. 80.</t>
  </si>
  <si>
    <t>C3EXT-0732</t>
  </si>
  <si>
    <t>SUMINISTRO, CARGA, ACARREO, DESCARGA Y PUESTA EN SITIO COSTA FUERA DE TUBO ASME B36.10, DE ACERO AL CARBONO ASTM A106 GR. B, SIN COSTURA, GALVANIZADO ASTM A123, EXTREMOS PLANOS ASME B16.11, LOS MATERIALES DEBEN CUMPLIR CON EL ESTÁNDAR PEMEX-EST-TD-032-P1-2018, DE 1” DE DIAMETRO NPS (50 DN), CÉD. 80.</t>
  </si>
  <si>
    <t>C3EXT-0733</t>
  </si>
  <si>
    <t>SUMINISTRO, CARGA, ACARREO, DESCARGA Y PUESTA EN SITIO COSTA FUERA DE  CODO 90° R. L. ASME B16.9, DE ACERO AL CARBONO ASTM A234 GR. WPB, GALVANIZADO, EXTREMOS BISELADOS, SIN COSTURA. LOS MATERIALES DEBEN CUMPLIR CON EL ESTÁNDAR PEMEX-EST-TD-032-P2-2019, DE 6” DE DIAMETRO NPS (200 DN), CED. 80.</t>
  </si>
  <si>
    <t>C3EXT-0734</t>
  </si>
  <si>
    <t>SUMINISTRO, CARGA, ACARREO, DESCARGA Y PUESTA EN SITIO COSTA FUERA DE CODO 90° ASME B16.11, DE ACERO AL CARBONO FORJADO ASTM A105, GALVANIZADO ASTM A123, EXTREMOS ROSCADOS, LOS MATERIALES DEBEN CUMPLIR CON EL ESTÁNDAR PEMEX-EST-TD-032-P2-2019, DE 1” DE DIAMETRO NPS (40 DN), CLASE 3000</t>
  </si>
  <si>
    <t>C3EXT-0735</t>
  </si>
  <si>
    <t>SUMINISTRO, CARGA, ACARREO, DESCARGA Y PUESTA EN SITIO COSTA FUERA DE CODO 45° ASME B16.11, DE ACERO AL CARBONO FORJADO ASTM A105, GALVANIZADO ASTM A123, EXTREMOS ROSCADOS, LOS MATERIALES DEBEN CUMPLIR CON EL ESTÁNDAR PEMEX-EST-TD-032-P2-2019, DE 1” DE DIAMETRO NPS (40 DN), CLASE 3000</t>
  </si>
  <si>
    <t>BME-3801-050-2025</t>
  </si>
  <si>
    <t>C3EXT-0736</t>
  </si>
  <si>
    <t>SUMINISTRO, CARGA, ACARREO, DESCARGA Y PUESTA EN SITIO COSTA FUERA DE TEE RECTA DE ACERO AL CARBON GALVANIZADO ASTM A105, ASME B16.11 CLASE 3000# EXTREMOS ROSCADOS DE 2" DIAMETRO.</t>
  </si>
  <si>
    <t>C3EXT-0737</t>
  </si>
  <si>
    <t>SUMINISTRO, CARGA, ACARREO, DESCARGA Y PUESTA EN SITIO COSTA FUERA DE TE REDUCCIÓN DE ACERO AL CARBÓN DE 2"Ø, X 2"Ø X 1"Ø 3,000# GALVANIZADO ASTM A105, ASME B16.11 CLASE 3000# EXTREMOS ROSCADOS.</t>
  </si>
  <si>
    <t>C3EXT-0738</t>
  </si>
  <si>
    <t>SUMINISTRO, CARGA, ACARREO, DESCARGA Y PUESTA EN SITIO COSTA FUERA DE BRIDA DE 2"Ø BORE 1.939" 150# R.F. ASTM A-105 ROSCADA GALVANIZADA, ANSI/ASME B16.5, DEBE CUMPLIR CON EL ESTANDAR NACE-MR0175 / ISO 15156, ÚLTIMA EDICIÓN.</t>
  </si>
  <si>
    <t>C3EXT-0739</t>
  </si>
  <si>
    <t>SUMINISTRO, CARGA, ACARREO, DESCARGA Y PUESTA EN SITIO COSTA FUERA DE BRIDA CUELLO SOLDABLE ASME B16.5, DE ACERO AL CARBONO  ASTM A105,GALVANIZADO, CARA REALZADA, LOS MATERIALES DEBEN CUMPLIR CON EL ESTÁNDAR PEMEX-EST-TD-032-P2-2019, DE 6" DE DIAMETRO NPS, (150 DN) CLASE 150.</t>
  </si>
  <si>
    <t>C3EXT-0740</t>
  </si>
  <si>
    <t>SUMINISTRO, CARGA, ACARREO, DESCARGA Y PUESTA EN SITIO COSTA FUERA DE TUBERIA DE 30" DE DIAMETRO, CED 0.500" ESP. EXTREMOS BISELADOS, WT DSA, API 5L GRDO X52M, DRL PSL-2. ESPECIFICACIÓN ASME B36.10M / ISO 3183 L360M.</t>
  </si>
  <si>
    <t>C3EXT-0741</t>
  </si>
  <si>
    <t>SUMINISTRO, CARGA, ACARREO, DESCARGA Y PUESTA EN SITIO COSTA FUERA DE TUBO DE ACERO AL CARBONO ASTM A106 GR. B S/C, ASME B36.10M, EXTREMOS BISELADOS, DEBE CUMPLIR CON LOS REQUISITOS TÉCNICOS Y DOCUMENTALES DE PEMEX-EST- TD-032-P1-2018. ESPESOR 0.500", DIAMETRO 24”.</t>
  </si>
  <si>
    <t>C3EXT-0742</t>
  </si>
  <si>
    <t>SUMINISTRO, CARGA, ACARREO, DESCARGA Y PUESTA EN SITIO COSTA FUERA DE BRIDA CUELLO SOLDABLE DE ACERO AL CARBONO FORJADO, ASTM A105, ASME B16.47, CLASE 300# R.F. BORE: 23.250", EXTREMO BISELADO, DIAMETRO 24”.</t>
  </si>
  <si>
    <t>C3EXT-0743</t>
  </si>
  <si>
    <t>SUMINISTRO, CARGA, ACARREO, DESCARGA Y PUESTA EN SITIO COSTA FUERA DE BRIDA CUELLO SOLDABLE DE ACERO AL CARBONO FORJADO, ASTM A105, ASME B16.5, CLASE 300# R.F., BORE: 15.250", EXTREMO BISELADO, DIAMETRO 16”</t>
  </si>
  <si>
    <t>C3EXT-0744</t>
  </si>
  <si>
    <t>SUMINISTRO, CARGA, ACARREO, DESCARGA Y PUESTA EN SITIO COSTA FUERA DE BRIDA CUELLO SOLDABLE DE ACERO AL CARBONO FORJADO, ASTM A105, ASME B16.5, CLASE 300# R.F., BORE: 7.981", EXTREMO BISELADO, DIAMETRO 8”.</t>
  </si>
  <si>
    <t>C3EXT-0745</t>
  </si>
  <si>
    <t>SUMINISTRO, CARGA, ACARREO, DESCARGA Y PUESTA EN SITIO COSTA FUERA DE BRIDA CUELLO LARGO (PIPETA) DE ACERO AL CARBON FORJADO, ASTM A105, ASME B31.3 (302.2, 304.3, 326, 328.5.4), CLASE 150# R.F. BORE: 1.100", EXTREMO BISELADO, DIAMETRO 1 1/2”x 10” DE LONG.</t>
  </si>
  <si>
    <t>C3EXT-0746</t>
  </si>
  <si>
    <t>SUMINISTRO, CARGA, ACARREO, DESCARGA Y PUESTA EN SITIO COSTA FUERA DE BRIDA CIEGA ASME B16.5, DE ACERO AL CARBONO FORJADO ASTM A105, CARA REALZADA, LOS MATERIALES DEBEN CUMPLIR CON EL ESTÁNDAR PEMEX-EST-TD-032-P2-2019, DE 6" DE DIAMETRO NPS, (150 DN) CLASE 150.</t>
  </si>
  <si>
    <t>C3EXT-0747</t>
  </si>
  <si>
    <t>SUMINISTRO, CARGA, ACARREO, DESCARGA Y PUESTA EN SITIO COSTA FUERA DE BRIDA CIEGA DE ACERO AL CARBONO FORJADO, ASTM A105, ASME B16.5, CLASE 150# R.F., EXTREMO BISELADO, DIÁMETRO 4”.</t>
  </si>
  <si>
    <t>C3EXT-0748</t>
  </si>
  <si>
    <t>INT. MARS-100 EN NH-A2</t>
  </si>
  <si>
    <t>SUMINISTRO, CARGA, ACARREO, DESCARGA Y PUESTA EN SITIO COSTA FUERA DE BRIDA CIEGA DE ACERO INOXIDABLE, ASTM A182 GRADO F316L, ASME B16.5, CLASE 150# R.F., DIÁMETRO DE 1”.</t>
  </si>
  <si>
    <t>C3EXT-0749</t>
  </si>
  <si>
    <t>SUMINISTRO, CARGA, ACARREO, DESCARGA Y PUESTA EN SITIO COSTA FUERA DE REDUCCIÓN CONCÉNTRICA DE ACERO AL CARBONO, ASTM A234 GR. WPB S/C, ASME B16.9 ESPESOR 0.375", EXTREMOS BISELADOS. DIAMETRO 24” x 20”</t>
  </si>
  <si>
    <t>C3EXT-0750</t>
  </si>
  <si>
    <t>18C-19</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</si>
  <si>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</si>
  <si>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C3EXT-0927</t>
  </si>
  <si>
    <t>SUMINISTRO, CARGA, ACARREO, DESCARGA Y PUESTA EN SITIO COSTA FUERA DE REDUCCION CONCENTRICA DE ACERO AL CARBONO, ASTM A234 GR. WPB S/C, ASME B16.9, CEDULA STD, EXTREMOS BISELADOS, DIÁMETRO 4” x 3".</t>
  </si>
  <si>
    <t>C3EXT-0752</t>
  </si>
  <si>
    <t>SUMINISTRO, CARGA, ACARREO, DESCARGA Y PUESTA EN SITIO COSTA FUERA DE TAPÓN CAPA DE ACERO AL CARBONO FORJADO, ASTM A234 GR. WPB S/C, ASME B16.9, CEDULA ESTANDAR, EXTREMO BISELADO, DIAMETRO 16”</t>
  </si>
  <si>
    <t>C3EXT-0753</t>
  </si>
  <si>
    <t>SUMINISTRO, CARGA, ACARREO, DESCARGA Y PUESTA EN SITIO COSTA FUERA DE TEE RECTA DE ACERO AL CARBONO, ASTM A234 GR. WPB S/C, ASME B16.9, CEDULA STD, EXTREMOS BISELADOS, DIÁMETRO 3".</t>
  </si>
  <si>
    <t>C3EXT-0754</t>
  </si>
  <si>
    <t>SUMINISTRO, CARGA, ACARREO, DESCARGA Y PUESTA EN SITIO COSTA FUERA DE TEE REDUCCIÓN DE ACERO AL CARBONO, ASTM A234 GR. WPB, S/C, ASME B16.9, ESPESOR 0.375" X STD. EXTREMOS BISELADOS, DE DIAMETRO 24"x16".</t>
  </si>
  <si>
    <t>C3EXT-0755</t>
  </si>
  <si>
    <t>SUMINISTRO, CARGA, ACARREO, DESCARGA Y PUESTA EN SITIO COSTA FUERA DE NIPLE DE ACERO AL CARBONO DE 3/4" DE DIAMETRO NOMINAL X 4" DE LONGITUD,CÉDULA 160, EXTREMOS ROSCADO, SIN COSTURA, ESPECIFICACIÓN ASTM A106 GR. B,ASME B36.10M</t>
  </si>
  <si>
    <t>C3EXT-0756</t>
  </si>
  <si>
    <t>SUMINISTRO, CARGA, ACARREO, DESCARGA Y PUESTA EN SITIO COSTA FUERA DE NIPLE DE ACERO AL CARBONO, ASTM A312 Gr. TP316L, S/C, ASME B36.19M, LONGITUD 89 MM (3 1/2") CÉDULA 160, EXTREMOS PLANOS, DIAMETRO 3/4” Ø.</t>
  </si>
  <si>
    <t>C3EXT-0757</t>
  </si>
  <si>
    <t>SUMINISTRO, CARGA, ACARREO, DESCARGA Y PUESTA EN SITIO COSTA FUERA DE NIPOLET DE ACERO AL CARBONO FORJADO, ASTM A105 ASME B31.3 (302.2, 304.3, 326, 328.5.4) XXS, EXTREMOS BISELADO/PLANO. DIAMETRO 36"-14" x 3/4"Ø.</t>
  </si>
  <si>
    <t>C3EXT-0758</t>
  </si>
  <si>
    <t>SUMINISTRO, CARGA, ACARREO, DESCARGA Y PUESTA EN SITIO COSTA FUERA DE PLACA REVERSIBLE (FIGURA 8) DE ACERO AL CARBONO ASTM A-516 Gr.70, PARA JUNTA BRIDADA DE 30” DE DIAMETRO, CLASE 150 R.F. DE 52 mm. DE ESPESOR</t>
  </si>
  <si>
    <t>C3EXT-0759</t>
  </si>
  <si>
    <t>SUMINISTRO, CARGA, ACARREO, DESCARGA Y PUESTA EN SITIO COSTA FUERA DE PLACA REVERSIBLE (FIGURA 8) DE ACERO AL CARBONO ASTM A-516 Gr.70, PARA JUNTA BRIDADA DE 30” DE DIAMETRO, CLASE 150 R.F. DE 38 mm. DE ESPESOR</t>
  </si>
  <si>
    <t>C3EXT-0760</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</si>
  <si>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</si>
  <si>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C3EXT-0761</t>
  </si>
  <si>
    <t>SUMINISTRO, CARGA, ACARREO, DESCARGA Y PUESTA EN SITIO COSTA FUERA DE BOQUILLA DE ASPERSIÓN, DE 1" (25.40MM) DE DIÁMETRO, ROSCA HEMBRA NPT, DE LATON ESPECIFICACIÓN: ASTM B62 ALEACIÓN UNS C86300, TIPO: FLUJO CONSTANTE, ÁNGULO FIJO DE 120 GRADOS, PATRÓN DE ASPERSION TIPO NIEBLA, CAPACIDAD DE GASTO DE 28 GPM (105.98 LPM) A 100 GPM (378.541 LPM), 100 PSI (7 KG/CM2), TIPO DE CONO LLENO, PARA SERVICIOS DE AGUA CONTRAINCENDIOS</t>
  </si>
  <si>
    <t>C3EXT-0762</t>
  </si>
  <si>
    <t>SUMINISTRO, CARGA, ACARREO, DESCARGA Y PUESTA EN SITIO COSTA FUERA DE CONECTOR DERIVADOR A COMPRESION DE COBRE ELECTROLITICO, EN FORMA "6", PARA EL SISTEMA DE PUESTA A TIERRA, PARA CABLE PRINCIPAL CALIBRE 1/0 AWG A 250 KCMIL O VARILLA DE 1/2" A 5/8" DE PASO Y 1/0 AWG A 2/0 AWG DE DERIVACION. MARCA: BURNDY, CATALOGO: YGHP29C26</t>
  </si>
  <si>
    <t>C3EXT-0763</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</si>
  <si>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</si>
  <si>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C3EXT-0764</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</si>
  <si>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</si>
  <si>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C3EXT-0765</t>
  </si>
  <si>
    <t>19C-19</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</si>
  <si>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</si>
  <si>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C3EXT-0928</t>
  </si>
  <si>
    <t>1C-19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</si>
  <si>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18" DE DIÁMETRO, DE 1/8" DE ESPESOR.</t>
  </si>
  <si>
    <t>C3EXT-0672</t>
  </si>
  <si>
    <t>SUMINISTRO, CARGA, ACARREO, DESCARGA Y PUESTA EN SITIO COSTA FUERA DE ABRAZADERA DE ACERO INOXIDABLE TIPO "U" PARA TUBO 1" DE DIAMETRO, CON 02 TUERCAS Y 02 ARANDELAS</t>
  </si>
  <si>
    <t>C3EXT-0768</t>
  </si>
  <si>
    <t>20C-19</t>
  </si>
  <si>
    <t>SUMINISTRO, CARGA, ACARREO, DESCARGA Y PUESTA EN SITIO COSTA FUERA DE EMPAQUE CENTRAL AISLANTE DE MI CARTA DE CARA COMPLETA CON NEOPRENO EN AMBAS CARAS PARA BRIDA DE 2" DE DIÁMETRO, CLASE 150# RF, CUATRO MANGAS AISLANTES DE MYLAR PARA ESPÁRRAGO DE 5/8" X 3 1/4", OCHO ARANDELAS AISLANTES DE CELORON DE 5/8".</t>
  </si>
  <si>
    <t>C3EXT-0940</t>
  </si>
  <si>
    <t>21C-19</t>
  </si>
  <si>
    <t>SUMINISTRO, CARGA, ACARREO, DESCARGA Y PUESTA EN SITIO COSTA FUERA DE LETRERO TIPO INFORMATIVO DE ALUMINIO, DE 3mm DE ESPESOR, 200mm X 100mm, FONDO ROJO 1997C, LETRAS BLANCAS CON FUENTE ARIAL BÁLTICO DE 25mm DE ALTURA, INCLUYE: TORNILLO DE ACERO GALVANIZADO ASTM-A325 DE 1/4" DE DIÁMETRO X 1 1/2" DE LONGITUD ARANDELA DE PRESIÓN Y TUERCA.</t>
  </si>
  <si>
    <t>C3EXT-0953</t>
  </si>
  <si>
    <t>22C-19</t>
  </si>
  <si>
    <t>SUMINISTRO, CARGA, ACARREO, DESCARGA Y PUESTA EN SITIO COSTA FUERA DE LETRERO TIPO INFORMATIVO DE ALUMINIO, DE 3mm DE ESPESOR, 120mm X 100mm, FONDO ROJO 1997C, LETRAS BLANCAS CON FUENTE ARIAL BÁLTICO DE 25mm DE ALTURA.</t>
  </si>
  <si>
    <t>C3EXT-0954</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</si>
  <si>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</si>
  <si>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C3EXT-0772</t>
  </si>
  <si>
    <t>SUMINISTRO, CARGA, ACARREO, DESCARGA Y PUESTA EN SITIO COSTA FUERA DE INTERRUPTOR DE BAJA PRESIÓN MANOMÉTRICA RANGO DE 0.035 A 1.4 KG/CM2, TIPO PISTÓN DE ACERO INOX. 316 ALARMA DE 0.5 KG/CM2,CONEXIÓN INFERIOR A PROCESO DE 1/4" NPT, PARA INSTALAR EN GABINETE DE LA SDV-1102 Y BDV-1102, IDENTIFICACIÓN: PSL-1102B, DOCUMENTOS DE REFERENCIA: HD-PP-NA-1-P-017, B-PPNA-1-P-404.</t>
  </si>
  <si>
    <t>C3EXT-0773</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</si>
  <si>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</si>
  <si>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C3EXT-0774</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</si>
  <si>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</si>
  <si>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C3EXT-0775</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</si>
  <si>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1" DE DIAMETRO, DE 1/8" DE ESPESOR.</t>
  </si>
  <si>
    <t>C3EXT-0776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</si>
  <si>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4" DE DIAMETRO, DE 1/8" DE ESPESOR.</t>
  </si>
  <si>
    <t>C3EXT-0777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</si>
  <si>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6" DE DIAMETRO, DE 1/8" DE ESPESOR.</t>
  </si>
  <si>
    <t>C3EXT-0778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</si>
  <si>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8" DE DIAMETRO, DE 1/8" DE ESPESOR.</t>
  </si>
  <si>
    <t>C3EXT-0779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</si>
  <si>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10" DE DIAMETRO, DE 1/8" DE ESPESOR.</t>
  </si>
  <si>
    <t>C3EXT-0780</t>
  </si>
  <si>
    <t>23C-19</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</si>
  <si>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</si>
  <si>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C3EXT-0955</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</si>
  <si>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16" DE DIAMETRO, DE 1/8" DE ESPESOR.</t>
  </si>
  <si>
    <t>C3EXT-0782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</si>
  <si>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24" DE DIAMETRO, DE 1/8" DE ESPESOR.</t>
  </si>
  <si>
    <t>C3EXT-0783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</si>
  <si>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24" DE DIAMETRO, DE 1/8" DE ESPESOR.</t>
  </si>
  <si>
    <t>C3EXT-0784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</si>
  <si>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30" DE DIÁMETRO.</t>
  </si>
  <si>
    <t>C3EXT-0785</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</si>
  <si>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</si>
  <si>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C3EXT-0786</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</si>
  <si>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</si>
  <si>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C3EXT-0787</t>
  </si>
  <si>
    <t>SUMINISTRO, CARGA, ACARREO, DESCARGA Y PUESTA EN SITIO COSTA FUERA DE ESPÁRRAGO DE ACERO AL CARBON ASTM A193 GR. B7M, CADMINIZADOS, ROSCAS ASME B1.1, CLASE 2A, CON DOS TUERCAS HEXAGONALES DE ACERO AL CARBONO ASTM A194 GR. 2HM, CADMINIZADOS ROSCAS ASME B1.1, CLASE 2A, DE 1/2" DE DIAMETRO X 2 3/4" LONGITUD.</t>
  </si>
  <si>
    <t>C3EXT-0788</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</si>
  <si>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</si>
  <si>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</si>
  <si>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3/4" DE DIAMETRO x 4" LONGITUD.</t>
  </si>
  <si>
    <t>C3EXT-0790</t>
  </si>
  <si>
    <t>SUMINISTRO, CARGA, ACARREO, DESCARGA Y PUESTA EN SITIO COSTA FUERA DE ESPÁRRAGO DE ACERO AL CARBON CON RECUBRIMIENTO CADMINIZADO  TIPO II, CLASE 25, ESPECIFICACIÓN ASTM A193 Gr. B7M, CON DOS TUERCAS HEXAGONALES ESPECIFICACIÓN ASTM A194 Gr. 2HM, DE 3/4" DE DIAMETRO x 4 1/4" LONGITUD.</t>
  </si>
  <si>
    <t>C3EXT-0791</t>
  </si>
  <si>
    <t>24C-19</t>
  </si>
  <si>
    <t>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t>
  </si>
  <si>
    <t>C3EXT-0956</t>
  </si>
  <si>
    <t>SUMINISTRO, CARGA, ACARREO, DESCARGA Y PUESTA EN SITIO COSTA FUERA DE ESPÁRRAGO DE ACERO AL CARBON CON RECUBRIMIENTO CADMINIZADO  TIPO II, CLASE 25, ESPECIFICACIÓN ASTM A193 Gr. B7M, CON DOS TUERCAS HEXAGONALES ESPECIFICACIÓN ASTM A194 Gr. 2HM, DE 7/8" DE DIAMETRO x 4 3/4" LONGITUD.</t>
  </si>
  <si>
    <t>C3EXT-0793</t>
  </si>
  <si>
    <t>SUMINISTRO, CARGA, ACARREO, DESCARGA Y PUESTA EN SITIO COSTA FUERA DE ESPÁRRAGO DE ACERO AL CARBON CON RECUBRIMIENTO CADMINIZADO  TIPO II, CLASE 25, ESPECIFICACIÓN ASTM A193 Gr. B7M, CON DOS TUERCAS HEXAGONALES ESPECIFICACIÓN ASTM A194 Gr. 2HM, DE 7/8" DE DIAMETRO x 5 1/2" LONGITUD.</t>
  </si>
  <si>
    <t>C3EXT-0794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</si>
  <si>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5 3/4" LONGITUD.</t>
  </si>
  <si>
    <t>C3EXT-0795</t>
  </si>
  <si>
    <t>25C-19</t>
  </si>
  <si>
    <t>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t>
  </si>
  <si>
    <t>C3EXT-0957</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</si>
  <si>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9" LONG.</t>
  </si>
  <si>
    <t>C3EXT-0797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</si>
  <si>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9 1/4" LONGITUD.</t>
  </si>
  <si>
    <t>C3EXT-0798</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</si>
  <si>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11 1/2" LONGITUD.</t>
  </si>
  <si>
    <t>C3EXT-0799</t>
  </si>
  <si>
    <t>SUMINISTRO, CARGA, ACARREO, DESCARGA Y PUESTA EN SITIO COSTA FUERA DE ESPÁRRAGO DE ACERO AL CARBON ASTM A193 GR. B7M, CADMINIZADOS, ROSCAS ASME B1.1, CLASE 2A, CON DOS TUERCAS HEXAGONALES DE ACERO AL CARBONO ASTM A194 GR. 2HM, CADMINIZADOS ROSCAS ASME B1.1, CLASE 2A, DE 1 1/2" DE DIAMETRO x 11" LONGITUD.</t>
  </si>
  <si>
    <t>C3EXT-0800</t>
  </si>
  <si>
    <t>SUMINISTRO, CARGA, ACARREO, DESCARGA Y PUESTA EN SITIO COSTA FUERA DE ESPÁRRAGO DE ACERO AL CARBON ASTM A193 GR. B7M, CADMINIZADOS, ROSCAS ASME B1.1, CLASE 2A, CON DOS TUERCAS HEXAGONALES DE ACERO AL CARBONO ASTM A194 GR. 2HM, CADMINIZADOS ROSCAS ASME B1.1, CLASE 2A, DE 1 7/8" DE DIAMETRO x 13" LONGITUD.</t>
  </si>
  <si>
    <t>C3EXT-0801</t>
  </si>
  <si>
    <t>SUMINISTRO, CARGA, ACARREO, DESCARGA Y PUESTA EN SITIO COSTA FUERA DE TORNILLO  HEXAGONAL DE 3/16" DE DIAMETRO X 2" LONG. ACERO INOX. 316 INCLUYEN ARANDELAS PLANAS, DE PRESIÓN Y TUERCAS</t>
  </si>
  <si>
    <t>C3EXT-0802</t>
  </si>
  <si>
    <t>SUMINISTRO, CARGA, ACARREO, DESCARGA Y PUESTA EN SITIO COSTA FUERA DE TORNILLO CABEZA HEXAGONAL, DE 5/16" DE DIAMETRO X 1-1/2" DE LONGITUD, CUERDA CORRIDA, BRONCE AL SILICIO, ESPECIFICACION ASTM: B99 ALEACION UNS C65100,  INCLUYE: 1 TUERCA, ESPECIFICACION ASTM: B99 ALEACION UNS C65100, 1 ARANDELAS PLANAS, ESPECIFICACION ASTM: B99 ALEACION UNS C65100, 1 ARANDELA DE PRESION, ESPECIFICACION ASTM: B99 ALEACION UNS C65100</t>
  </si>
  <si>
    <t>C3EXT-0803</t>
  </si>
  <si>
    <t>SUMINISTRO, CARGA, ACARREO, DESCARGA Y PUESTA EN SITIO COSTA FUERA DE TORNILLO  HEXAGONAL DE 3/8" DE DIAMETRO X 1 1/2" LONG. ACERO INOX. 316 INCLUYEN ARANDELAS PLANAS, DE PRESIÓN Y TUERCAS</t>
  </si>
  <si>
    <t>C3EXT-0804</t>
  </si>
  <si>
    <t>SUMINISTRO, CARGA, ACARREO, DESCARGA Y PUESTA EN SITIO COSTA FUERA DE TORNILLO DE 13MM DE DIAMETRO POR 38MM LONGITUD CON 1 TUERCA Y 2 ARANDELAS PLANAS GALVANIZADAS DEBERÁN, DE ACUERDO A LAS ESPECIFICACIONES ASTM A-325M, ASTM A-563M Y ASTM F-436M</t>
  </si>
  <si>
    <t>C3EXT-0805</t>
  </si>
  <si>
    <t>SUMINISTRO, CARGA, ACARREO, DESCARGA Y PUESTA EN SITIO COSTA FUERA DE TORNILLO DE 16MM DE DIAMETRO POR 38MM LONGITUD CON 1 TUERCA Y 2 ARANDELAS PLANAS GALVANIZADAS DEBERÁN, DE ACUERDO A LAS ESPECIFICACIONES ASTM A-325M, ASTM A-563M Y ASTM F-436M</t>
  </si>
  <si>
    <t>C3EXT-0806</t>
  </si>
  <si>
    <t>26C-19</t>
  </si>
  <si>
    <t>SUMINISTRO, PRUEBA HIDROSTÁTICA, CARGA, ACARREO, DESCARGA Y PUESTA EN SITIO COSTA FUERA DE VÁLVULA DE GLOBO, CUERPO ASTM A216 GRADO WCB, TRIM 8, CUERDA EXTERIOR Y YUGO, BONETE ATORNILLADO, DISCO TIPO MACHO, ASIENTO RECAMBIABLE, OPERANDO CON VOLANTE. ASME B16.34/ESPESOR POR ISO 10434, 6" DIÁMETRO, CLASE 150# R.F.</t>
  </si>
  <si>
    <t>C3EXT-0828</t>
  </si>
  <si>
    <t>2C-19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</si>
  <si>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16" DE DIÁMETRO, DE 1/8" DE ESPESOR.</t>
  </si>
  <si>
    <t>C3EXT-0781</t>
  </si>
  <si>
    <t>3C-19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</si>
  <si>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7/8" DE DIÁMETRO x 4 1/2" LONGITUD.</t>
  </si>
  <si>
    <t>C3EXT-0792</t>
  </si>
  <si>
    <t>SUMINISTRO, CARGA, ACARREO, DESCARGA Y PUESTA EN SITIO COSTA FUERA DE MEDIA CAÑA PARA TUBERIA DE 2" DE DIAMETRO, DE 120° X 200MM DE LONGITUD DE ELASTOMERO DE POLIURETANO DE 1/4" DE ESP. DE PARED ADHERIDA AL TUBO</t>
  </si>
  <si>
    <t>C3EXT-0810</t>
  </si>
  <si>
    <t>4C-19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</si>
  <si>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1 1/4" DE DIÁMETRO x 6 3/4" LONGITUD.</t>
  </si>
  <si>
    <t>C3EXT-0796</t>
  </si>
  <si>
    <t>5C-19</t>
  </si>
  <si>
    <t>SUMINISTRO, CARGA, ACARREO, DESCARGA Y PUESTA EN SITIO COSTA FUERA DE PERNO SIN PUNTA ROSCADO, DE ACERO INOXIDABLE 316, DE 5/16" (8MM) DE DIÁMETRO, LONGITUD DE LA ROSCA 15 MILÍMETROS, LONGITUD DEL VÁSTAGO TOTAL 12 MILÍMETROS, MARCA: HILTI, CATALOGO: X-BT M8-15-6 SN12-R, INCLUYE: TUERCA HEXAGONAL DE ACERO INOXIDABLE GRADO: 316. ARANDELA PLANA DE ACERO INOXIDABLE GRADO: 316.</t>
  </si>
  <si>
    <t>C3EXT-0807</t>
  </si>
  <si>
    <t>6C-19</t>
  </si>
  <si>
    <t>SUMINISTRO, CARGA, ACARREO, DESCARGA Y PUESTA EN SITIO COSTA FUERA DE CONECTOR CODO MACHO 90° DE ACERO INOXIDABLE 316 DE 1/2" O.D X 1/4" NPT., CON FÉRULA TRASERA Y DELANTERA, ESPECIFICACIÓN: ASTM 182, NORMA ASME- SA 182.</t>
  </si>
  <si>
    <t>C3EXT-0816</t>
  </si>
  <si>
    <t>SUMINISTRO, CARGA, ACARREO, DESCARGA Y PUESTA EN SITIO COSTA FUERA DE TUBING DE ACERO INOX. ASTM A 269 TP316 (UNS S31600), CON PARED DE 0.049" DE ESPESOR DE 1/4" DE DIAMETRO</t>
  </si>
  <si>
    <t>C3EXT-0814</t>
  </si>
  <si>
    <t>SUMINISTRO, CARGA, ACARREO, DESCARGA Y PUESTA EN SITIO COSTA FUERA DE TUBING DE ACERO INOX. ASTM A 269 TP316 (UNS S31600), CON PARED DE 0.065" DE ESPESOR DE 1/4" DE DIAMETRO</t>
  </si>
  <si>
    <t>C3EXT-0815</t>
  </si>
  <si>
    <t>7C-19</t>
  </si>
  <si>
    <t>SUMINISTRO, CARGA, ACARREO, DESCARGA Y PUESTA EN SITIO COSTA FUERA DE VÁLVULA PILOTO NEUMÁTICA FABRICADA EN ACERO INOXIDABLE A-316, 3 VÍAS / 2 POSICIONES ORIFICIO DE ENTRADA 1/2" FNPT, CONEXIÓN DEL PILOTO DE 1/4"Ø ROSCADOS NPT, CONTROLADA POR UNA SEÑAL DE PRESIÓN.</t>
  </si>
  <si>
    <t>C3EXT-0823</t>
  </si>
  <si>
    <t>SUMINISTRO, CARGA, ACARREO, DESCARGA Y PUESTA EN SITIO COSTA FUERA DE CONECTOR CODO PARA TUBING O.D. CONEXIÓN FIJA N.P.T. MACHO. ASME B1.20.1 SAE AS71051 DE 1/4" N.P.T. x 1/4" O.D. MATERIAL DEL CUERPO, BARRA DE ACERO INOX. 316, ASTM-A-479, CON FÉRULA TRASERA Y DELANTERA.</t>
  </si>
  <si>
    <t>C3EXT-0817</t>
  </si>
  <si>
    <t>SUMINISTRO, CARGA, ACARREO, DESCARGA Y PUESTA EN SITIO COSTA FUERA DE FLEJE DE LAMINA DE ACERO INOXIDABLE TIPO AISI 316, ASTM A 240/A 240M-2008. CALIBRE 22. DE 1/2" DE ANCHO</t>
  </si>
  <si>
    <t>C3EXT-0818</t>
  </si>
  <si>
    <t>SUMINISTRO, CARGA, ACARREO, DESCARGA Y PUESTA EN SITIO COSTA FUERA DE TAPÓN CACHUCHA ROSCADO, ACERO INOXIDABLE, ASTM A182 Gr. F316L, ASME B16.11, CLASE 3000#, DIÁMETRO 3/4".</t>
  </si>
  <si>
    <t>C3EXT-0819</t>
  </si>
  <si>
    <t>SUMINISTRO, CARGA, ACARREO, DESCARGA Y PUESTA EN SITIO COSTA FUERA DE VALVULA DE BOLA AGUJA HEMBRA ACERO INOXIDABLE 316 DE 1/4" DE DIAMETRO ROSCA NPT.,CLASE 6000#,VASTAGO Y ASIENTO DE ACERO INOXIDABLE 316</t>
  </si>
  <si>
    <t>C3EXT-0820</t>
  </si>
  <si>
    <t>SUMINISTRO, CARGA, ACARREO, DESCARGA Y PUESTA EN SITIO COSTA FUERA DE VALVULA DE BOLA DE 1/2" DE DIAMETRO FNPT 3000#, EXTREMOS ROSCADOS  CUERPO Y BOLA EN AC. INOX. 316 L,,PASO COMPLETO, UN CUARTO DE VUERTA Y SELLOS DE TEFLON</t>
  </si>
  <si>
    <t>C3EXT-0821</t>
  </si>
  <si>
    <t>SUMINISTRO, CARGA, ACARREO, DESCARGA Y PUESTA EN SITIO COSTA FUERA DE VALVULA DE BOLA 3 VIAS EXTREMOS ROSCADOS NPT HEMBRA, DE 1/2" DE DIAMETRO, 3000#, CUERPO DE ACERO INOX. 316, EMPAQUE DE TEFLON OPERADA CON MANERAL. DEBERA CUMPLIR CON LA NORMA NACE MR-01-75, ULTIMA EDICION</t>
  </si>
  <si>
    <t>C3EXT-0822</t>
  </si>
  <si>
    <t>8C-19</t>
  </si>
  <si>
    <t>SUMINISTRO, CARGA, ACARREO, DESCARGA Y PUESTA EN SITIO COSTA FUERA DE VÁLVULA INTEGRAL DE BLOQUEO Y PURGA, DE 6000 LIBRAS, DE ACERO INOXIDABLE GRADO:316 CON DOS VÁLVULAS, CON CONEXIÓN A PROCESO DE 1/2" DE DIÁMETRO, ROSCA MACHO (NPTM) Y CONEXIÓN A INSTRUMENTO DE 1/2" DE DIÁMETRO, ROSCA HEMBRA (NPTF) Y PURGA DE 1/4" DE DIÁMETRO, ROSCA HEMBRA (NPTF) CON TAPÓN, DEBE CUMPLIR CON EL ESTANDAR: NACE MR0175.</t>
  </si>
  <si>
    <t>C3EXT-0824</t>
  </si>
  <si>
    <t>9C-19</t>
  </si>
  <si>
    <t>SUMINISTRO, CARGA, ACARREO, DESCARGA Y PUESTA EN SITIO COSTA FUERA DE COPLE ADAPTADOR BULKHEAD DE 1/2” Ø NPTF DE ACERO INOXIDABLE, GRADO 316, ESPECIFICACIÓN ASTM A182.</t>
  </si>
  <si>
    <t>C3EXT-0845</t>
  </si>
  <si>
    <t>SUMINISTRO, PRUEBA HIDROSTÁTICA, CARGA, ACARREO, DESCARGA Y PUESTA EN SITIO COSTA FUERA DE VALVULA DE COMPUERTA CUERPO ASTM A216 GR. WCB, TRIM 9, CUERDA EXTERIOR Y YUGO, BONETE ATORNILLADO, CUÑA SÓLIDA, ASIENTOS RECAMBIABLES, OPERADA CON VOLANTE. ASME B16.34/ESPESOR POR ISO 10434. EXTREMOS BRIDADOS 4" DE DIAMETRO, 150#</t>
  </si>
  <si>
    <t>C3EXT-0825</t>
  </si>
  <si>
    <t>SUMINISTRO, PRUEBA HIDROSTÁTICA, CARGA, ACARREO, DESCARGA Y PUESTA EN SITIO COSTA FUERA DE VALVULA DE COMPUERTA CAJA SOLDAR DE 3/4" DE DIAMETRO, 800# CUERPO ASTM A182 GR. F 316L, TRIM 10, CUERDA TORNILLO EXTERIOR Y YUGO, BONETE ATORNILLADO, CUÑA SÓLIDA, ASIENTO INTEGRADO, OPERADA CON VOLANTE. ISO 15761.</t>
  </si>
  <si>
    <t>C3EXT-0826</t>
  </si>
  <si>
    <t>SUMINISTRO, PRUEBA HIDROSTÁTICA, CARGA, ACARREO, DESCARGA Y PUESTA EN SITIO COSTA FUERA DE VÁLVULA DE COMPUERTA DE 3/4" DE DIAMETRO , EXTREMOS ROSCADOS CLASE 800#, CUERPO DE ACERO AL CARBONO ESPECIFICACIÓN ASTM A-105, INTERIORES DE ACERO INOXIDABLE (TRIM8), TORNILLO EXTERIOR Y YUGO, BONETE ATORNILLADO, CUÑA SÓLIDA, ASIENTOS INTERCAMBIABLES</t>
  </si>
  <si>
    <t>C3EXT-0827</t>
  </si>
  <si>
    <t>C-20</t>
  </si>
  <si>
    <t>1C-20</t>
  </si>
  <si>
    <t>SUMINISTRO, PRUEBA HIDROSTÁTICA, CARGA, ACARREO, DESCARGA Y PUESTA EN SITIO COSTA FUERA DE VÁLVULA ESFÉRICA DE PASO COMPLETO Y CONTINUADO CUERPO INTEGRAL SOLDADO, EXTREMOS BRIDADOS CARA REALZADA (RF) MATERIALES DE FABRICACIÓN: CUERPO DE ACERO AL CARBONO, ESPECIFICACIÓN ASTM A350, GRADO LF2 BRIDAS DE ACERO AL CARBONO ESPECIFICACIÓN ASTM A350 GRADO LF2, BOLA MONTADA SOBRE MUÑON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API 6D, API 607 O API 6FA, ANSI/NACEMR0175/ISO 15156-2, DE 4" (4.00") DE DIÁMETRO
NOMINAL CLASE 150#.</t>
  </si>
  <si>
    <t>BME-3801-068-2024</t>
  </si>
  <si>
    <t>OT-GRZ-801-25-016.8-J-NHA</t>
  </si>
  <si>
    <t>C3EXT-1177</t>
  </si>
  <si>
    <t>NHA</t>
  </si>
  <si>
    <t>SUMINISTRO, PRUEBA HIDROSTÁTICA, CARGA, ACARREO, DESCARGA Y PUESTA EN SITIO COSTA FUERA DE VÁLVULA DE RETENCIÓN TIPO COLUMPIO CLASE 150# R.F., CUERPO ASTM A216 Gr. WCB, TRIM 12, TAPA ATORNILLADA, ASIENTO RECAMBIABLE. ASME B16.34/ESPESOR POR ISO 10434, DIAMETRO 6”.</t>
  </si>
  <si>
    <t>C3EXT-0829</t>
  </si>
  <si>
    <t>SUMINISTRO, PRUEBA HIDROSTÁTICA, CARGA, ACARREO, DESCARGA Y PUESTA EN SITIO COSTA FUERA DE VÁLVULA DE RETENCIÓN TIPO COLUMPIO CLASE 150# R.F., CUERPO ASTM A 352 GR LCC, TRIM12, TAPA ATORNILLADA, ASIENTO RECAMBIABLE, ASME B16.34/ESPESOR POR ISO 10434, DIAMETRO 16”.</t>
  </si>
  <si>
    <t>C3EXT-0830</t>
  </si>
  <si>
    <t>SUMINISTRO, PRUEBA HIDROSTÁTICA, CARGA, ACARREO, DESCARGA Y PUESTA EN SITIO COSTA FUERA DE VÁLVULA DE RETENCIÓN TIPO COLUMPIO CLASE 150# R.F., CUERPO ASTM A 216 GR WCB, TRIM12, TAPA ATORNILLADA, ASIENTO RECAMBIABLE, ASME B16.34/ESPESOR POR ISO 10434, DIAMETRO 20”.</t>
  </si>
  <si>
    <t>C3EXT-0831</t>
  </si>
  <si>
    <t>SUMINISTRO, PRUEBA HIDROSTÁTICA, CARGA, ACARREO, DESCARGA Y PUESTA EN SITIO COSTA FUERA DE VÁLVULA DE BOLA MONTADA SOBRE MUÑÓN, TAMAÑO: 6” DE DIAMETRO CON CONEXIONES BRIDADAS ANSI CLASE150# R.F.; PASO COMPLETO Y CONTINUADO, DE UN CUARTO DE VUELTA, CUERPO INTEGRAL SOLDADO, DOBLE BLOQUEO Y VENTEO (DBB). CUERPO Y BRIDAS DE ACERO AL CARBÓN ASTM A-350 LF2. BOLA DE ACERO AL CARBÓN AISI 4130 CON RECUBRIMIENTO DE NÍQUEL ELECTROLESS DE 0.003” DE ESPESOR. VÁSTAGO Y MUÑÓN DE ACERO AL CARBÓN AISI 4130 CON RECUBRIMIENTO DE NÍQUEL ELECTROLESS DE 0.003” DE ESPESOR, DISPOSITIVO ANTIESTÁTICO CON DISEÑO ANTIVOLADURA. ASIENTOS UNI-DIRECCIONALES EN AMBOS EXTREMOS PRECARGADOS CON RESORTES BELLEVILLE DE 4140. MATERIAL DE LOS ASIENTOS DE ACERO INOXIDABLE AISI 410 CON INSERTOS DE PTFE (-29°C A 190°C). INTERNOS PARA SERVICIO AMARGO. EMPAQUETADURA Y SELLOS DEL VÁSTAGO DE PTFE. PUERTOS DE INYECCIÓN DE GRASA LUBRICANTE EN EL ÁREA DE LOS ASIENTOS. OPERADA POR CAJA DE ENGRANES. NIVEL DE CALIDAD QSL-1. NORMAS DE DISEÑO: A PRUEBA DE FUEGO DE ACUERDO CON API RP6F Y/O API 607, ESTAMPADO API-6D. NACE MR0175/ISO15156, ASME B16.5, UNIONES SOLDADAS DE ACUERDO CON ASME SECCIÓN VIII. DEBEN CUMPLIR CON LOS REQUERIMIENTOS TÉCNICOS Y DOCUMENTALES DE PEMEX-EST-0211/02-2017.</t>
  </si>
  <si>
    <t>C3EXT-0832</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</si>
  <si>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20" DE DIAMETRO.</t>
  </si>
  <si>
    <t>C3EXT-0833</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</si>
  <si>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NYLON (-46°C A 121°C),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DE 30" DE DIAMETRO.</t>
  </si>
  <si>
    <t>C3EXT-0834</t>
  </si>
  <si>
    <t>SUMINISTRO, PRUEBA HIDROSTÁTICA,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</si>
  <si>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C3EXT-0835</t>
  </si>
  <si>
    <t>SUMINISTRO, CARGA, ACARREO, DESCARGA Y PUESTA EN SITIO COSTA FUERA DE COPLE ADAPTADOR BULKHEAD DE 1/2”Ø NPTF DE ACERO INOXIDABLE, GRADO 316, ESPECIFICACION ASTM A182.</t>
  </si>
  <si>
    <t>C3EXT-0836</t>
  </si>
  <si>
    <t>SUMINISTRO, CARGA, ACARREO, DESCARGA Y PUESTA EN SITIO COSTA FUERA DE ELECTRODOS AWS-E-6010 DE 1/8"</t>
  </si>
  <si>
    <t>C3EXT-0837</t>
  </si>
  <si>
    <t>SUMINISTRO, CARGA, ACARREO, DESCARGA Y PUESTA EN SITIO COSTA FUERA DE ELECTRODOS AWS-E-6010 DE 5/32".</t>
  </si>
  <si>
    <t>C3EXT-0838</t>
  </si>
  <si>
    <t>SUMINISTRO, CARGA, ACARREO, DESCARGA Y PUESTA EN SITIO COSTA FUERA DE ELECTRODOS AWS-E-7018 DE 1/8"</t>
  </si>
  <si>
    <t>C3EXT-0839</t>
  </si>
  <si>
    <t>SUMINISTRO, CARGA, ACARREO, DESCARGA Y PUESTA EN SITIO COSTA FUERA DE ELECTRODO AWS-E-7018 DE 5/32"</t>
  </si>
  <si>
    <t>C3EXT-0840</t>
  </si>
  <si>
    <t>SUMINISTRO, CARGA, ACARREO, DESCARGA Y PUESTA EN SITIO COSTA FUERA DE OXIGENO INDUSTRIAL</t>
  </si>
  <si>
    <t>C3EXT-0841</t>
  </si>
  <si>
    <t>SUMINISTRO, CARGA, ACARREO, DESCARGA Y PUESTA EN SITIO COSTA FUERA DE ACETILENO INDUSTRIAL</t>
  </si>
  <si>
    <t>C3EXT-0842</t>
  </si>
  <si>
    <t>SUMINISTRO, CARGA, ACARREO, DESCARGA Y PUESTA EN SITIO COSTA FUERA TAPÓN CACHUCHA ROSCADO ASME B16.11, DE ACERO AL CARBONO FORJADO, ASTM A105, LOS MATERIALES DEBEN CUMPLIR CON EL ESTÁNDAR PEMEX-EST-TD-032-P2-2019, DE 2” DE DIAMETRO NPS (50 DN), CLASE 6000.</t>
  </si>
  <si>
    <t>C3EXT-0843</t>
  </si>
  <si>
    <t>SUMINISTRO, CARGA, ACARREO, DESCARGA Y PUESTA EN SITIO COSTA FUERA DE CONECTOR TIPO STAG, CON TORNILLO DE PUESTA A TIERRA, CON CUERPO Y CONTRATUERCA DE ALUMINIO LIBRE DE COBRE DE 21 MM (3/4") DE DIÁMETRO.</t>
  </si>
  <si>
    <t>C3EXT-0844</t>
  </si>
  <si>
    <t>2C-20</t>
  </si>
  <si>
    <r>
      <rPr>
        <sz val="9"/>
        <color theme="8" tint="-0.499984740745262"/>
        <rFont val="Arial"/>
        <family val="2"/>
      </rPr>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r>
  </si>
  <si>
    <t>C3EXT-1178</t>
  </si>
  <si>
    <t>SUMINISTRO, CARGA, ACARREO, DESCARGA Y PUESTA EN SITIO COSTA FUERA DE LATERAL A 45° DE ACERO AL CARBONO, ASTM A234 GR.WPB S/C, CEDULA 40, EXTREMOS BISELADOS, DIÁMETRO 4", DIMENSIONES Y REQUERIMIENTOS ASME B16.9 Y PARA SERVICIO AMARGO NACE MR-0175/ISO 15156-2</t>
  </si>
  <si>
    <t>C3EXT-0846</t>
  </si>
  <si>
    <t>SUMINISTRO, CARGA, ACARREO, DESCARGA Y PUESTA EN SITIO COSTA FUERA SOLDADURA INOX F316L.</t>
  </si>
  <si>
    <t>C3EXT-0847</t>
  </si>
  <si>
    <t>ASESORIA TECNICA ESPECIALIZADA PARA DETERMINAR LA ESTRATEGIA DE RETIRO SEGURO DE PUENTES PEATONAL Y DE TUBERIAS. INCLUYE RECOMENDACIONES DE SEGURIDAD, SECUENCIA DE CORTE Y RETIRO, REFORZAMIENTO, MONITOREO CONSTANTE DE MOVIMIENTOS SUBITOS, UTILIZACION DE ARREGLO DE IZAJE MEDIANTE BALANCIN.</t>
  </si>
  <si>
    <t>C3EXT-0848</t>
  </si>
  <si>
    <t>SERVICIO COSTA FUERA DE CONFIGURACIÓN Y PUESTA EN OPERACIÓN DE GRUA MARCA SEATRAX MODELO 4224, INCLUYE PERSONAL, EQUIPOS, REPORTE  FOTOGRAFICO, ASISTENCIA TECNICA Y CERTIFICACION.</t>
  </si>
  <si>
    <t>BME-3801-025-2024</t>
  </si>
  <si>
    <t>C3EXT-0849</t>
  </si>
  <si>
    <t>PTE-BME-3801-025-2024</t>
  </si>
  <si>
    <t>SUMINISTRO, CARGA, ACARREO, DESCARGA Y PUESTA EN SITIO COSTA FUERA DE TEE REDUCION  ASME B16.11, DE ACERO AL CARBONO  ASTM A105, GALVANIZADO , EXTREMOS ROSCADOS, LOS MATERIALES DEBEN CUMPLIR CON EL ESTÁNDAR PEMEX-EST-TD-032-P2-2019 Ó VERSIÓN ACTUAL, DE 2”  x 3/4” DE DIAMETRO, CLASE 3000.</t>
  </si>
  <si>
    <t>C3EXT-0850</t>
  </si>
  <si>
    <t>SUMINISTRO, CARGA, ACARREO, DESCARGA Y PUESTA EN SITIO COSTA FUERA DE SWAGE CONCENTRICO DE ACERO AL CARBON ASTM A 105 CED. 80 x 80, DE 3/4 A 1/2 CON RECUBRIMIENTO GALVANIZADO DE ACUERDO CON ASTM A 123, CON EXTREMOS  ROSCADO-ROSCADO.</t>
  </si>
  <si>
    <t>C3EXT-0851</t>
  </si>
  <si>
    <t>SUMINISTRO, CARGA, ACARREO, DESCARGA Y PUESTA EN SITIO COSTA FUERA DE COPLE DE ACERO AL CARBON DE 3/4" DE DIAMETRO, ASTM A 105 , CON EXTREMOS ROSCADOS CLASE 3000#, SIN COSTURA, CON RECUBRIMIENTO GALVANIZADO DE ACUERDO ASTM A 123.</t>
  </si>
  <si>
    <t>C3EXT-0852</t>
  </si>
  <si>
    <t>SUMINISTRO, CARGA, ACARREO, DESCARGA Y PUESTA EN SITIO COSTA FUERA DE NIPLE SWAGE DE ACERO AL CARBON GALVANIZADO ASTM 234 GR. WPB MSS SP-95 EXTREMOS ROSCADOS DE 2" x 3/4" DE DIAMETRO, CEDULA 80.</t>
  </si>
  <si>
    <t>C3EXT-0853</t>
  </si>
  <si>
    <t>SUMINISTRO, CARGA, ACARREO, DESCARGA Y PUESTA EN SITIO COSTA FUERA DE NIPLE DE ACERO AL CARBON GALVANIZADO ASTM A 106 EXTREMOS ROSCADOS DE 3/4" DE DIAMETRO x 3.5" DE LONGITUD CED. 160.</t>
  </si>
  <si>
    <t>C3EXT-0854</t>
  </si>
  <si>
    <t>SUMINISTRO, CARGA, ACARREO, DESCARGA Y PUESTA EN SITIO COSTA FUERA DE NIPLE DE ACERO INOXIDABLE ASME. SA479, CON CONEXION NPT MACHO DE 3/4" DE DIAMETRO.</t>
  </si>
  <si>
    <t>C3EXT-0855</t>
  </si>
  <si>
    <t>SUMINISTRO, PRUEBA HIDROSTÁTICA, CARGA, ACARREO, DESCARGA Y PUESTA EN SITIO COSTA FUERA DE VÁLVULA DE COMPUERTA, CUERPO E INTERIORES DE BRONCE AL ALUMINIO ASTM B 763 ALEACION UNS C95500,VASTAGO ASCENDENTE, CUERDA EXTERIOR Y YUGO, BONETE ATORNILLADO, CUÑLA SOLIDA, ASIENTOS INTEGRALES, OPERADA CON VOLANT. MSS-SP80 EXTREMOS ROSCADOS DE 2" DE DIAMETRO, CLASE 800.</t>
  </si>
  <si>
    <t>C3EXT-0856</t>
  </si>
  <si>
    <t>SUMINISTRO, PRUEBA HIDROSTÁTICA, CARGA, ACARREO, DESCARGA Y PUESTA EN SITIO COSTA FUERA DE VÁLVULA DE COMPUERTA, CUERPO E INTERIORES DE BRONCE AL ALUMINIO ASTM B 763 ALEACION UNS C95500,VASTAGO ASCENDENTE, CUERDA EXTERIOR Y YUGO, BONETE ATORNILLADO, CUÑA SOLIDA, ASIENTOS INTEGRALES, OPERADA CON VOLANTE, MSS-SP80 EXTREMOS ROSCADOS DE 3/4" DE DIAMETRO CLASE 800.</t>
  </si>
  <si>
    <t>C3EXT-0857</t>
  </si>
  <si>
    <t>SUMINISTRO, CARGA, ACARREO, DESCARGA Y PUESTA EN SITIO COSTA FUERA DE VALVULA DE DILUVIO, DE 2" DE DIAMETRO NOMINAL, TIPO RECTA, MONTAJE HORIZONTAL, PARA MANEJAR AGUA DE MAR, CUERPO Y TAPA DE NIQUEL-ALUMINIO-BRONCE ASTM B 148 ALEACION UNS C95200, EXTREMOS BRIDADOS, CLASE 150, CARA REALZADA, CON TRIM DE INTERNOS DE ACERO INOXIDABLE ASTM A182/A182M GR. F316 (ALEACION UNS S31600), SELLO HERMETICO CLASE VI-ANSI/FCI 70-2-2006 DIAFRAGMA DE CAUCHO DE NITRILO BUNA-N DE ACUERDO CON ASTM D2000, PINTURA EPOXICA DE ALTA RESISTENCIA A LA CORROSION CON PROTECCION UV COLOR ROJO. INCLUYE DISPOSITIVO DE CONTROL PARA AIRE DE INSTRUMENTOS CON REGULADORA DE PRESION, ORIFICIO DE RESTRICCION, VALVULA AISLADORA, FILTRO, VALVULA CHECK Y MANOMETRO DE 0-150 PSI, ACTIVACION ELECTRONEUMATICO Y MANUAL LOCAL E INTERRUPTOR DE PRESION DE 24 VCD, CON TUBING DE ACERO INOXIDABLE ASTM A269 TP316, CONEXIONES Y ACCESORIOS DE ACERO INOXIDABLE GRADO TP316, SOLENOIDE A PRUEBA DE EXPLOSION CLASE I DIVISION 1 GRUPOS C Y D, EN ACERO INOXIDABLE 316 DE TRES VIAS NORMALMENTE ABIERTA DESENERGIZADA 24 VCD, CONEXION 1/2" OD PARA TUBING Y ENTRADA CONDUIT DE 1/2" DE DIAMETRO, SELLOS Y DISCO BUNA-N, RESORTE DE ACERO INOXIDABLE 302. CERTIFICACION UL, FM.</t>
  </si>
  <si>
    <t>C3EXT-0858</t>
  </si>
  <si>
    <t>SUMINISTRO, CARGA, ACARREO, DESCARGA Y PUESTA EN SITIO COSTA FUERA DE REDUCCION DE ACERO INOXIDABLE ASTM A 182/A 182M F 316 (UNS S31600). CON SELLO DE DOBLE CONO PARA CONEXIÓN TUBING-TUBING DE 1/2 OD x 3/8 OD.</t>
  </si>
  <si>
    <t>C3EXT-0859</t>
  </si>
  <si>
    <t>3C-20</t>
  </si>
  <si>
    <t>SUMINISTRO, PRUEBA HIDROSTÁTICA, CARGA, ACARREO, DESCARGA Y PUESTA EN SITIO COSTA FUERA DE VÁLVULA ESFÉRICA, TIPO: TRUNNIÓN,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ANSI/NACEMR0175/ISO 15156 DE 8" (8.00") DE DIÁMETRO NOMINAL, CLASE: 150 LIBRAS.</t>
  </si>
  <si>
    <t>C3EXT-1182</t>
  </si>
  <si>
    <t>SUMINISTRO, CARGA, ACARREO, DESCARGA Y PUESTA EN SITIO COSTA FUERA DE CONECTOR TIPO MC GLÁNDULA 1/2” ALEACIÓN ACERO, ACABADO ELECTROGALVANIZADO Y/O DE ALUMINIO NATURAL. SELLO NEOPRENO. TEMPERATURA DE OPERACIÓN -25° A 60°C ROSCA N.P.T. NORMA UL 514B NORMA CSA C22.2 NO. 18.25 .</t>
  </si>
  <si>
    <t>C3EXT-0861</t>
  </si>
  <si>
    <t>SUMINISTRO, CARGA, ACARREO, DESCARGA Y PUESTA EN SITIO COSTA FUERA DE NIPLE DE ALUMINIO LIBRE DE COBRE  1/2" DE DIAMETRO x 2" DE LONGITUD CON RECUBRIMIENTO EXTERIOR DE PVC E INTERIOR DE URETANO.</t>
  </si>
  <si>
    <t>C3EXT-0862</t>
  </si>
  <si>
    <t>SUMINISTRO, CARGA, ACARREO, DESCARGA Y PUESTA EN SITIO COSTA FUERA DE CABLE MONOCONDUCTOR CALIBRE 16 AWG, DE COBRE SUAVE, CABLEADO CONCENTRICO TIPO B, CON AISLAMIENTO INDIVIDUAL TERMOPLASTICO TENSION 300 VOLTS  COLOR BLANCO</t>
  </si>
  <si>
    <t>C3EXT-0863</t>
  </si>
  <si>
    <t>SUMINISTRO, CARGA, ACARREO, DESCARGA Y PUESTA EN SITIO COSTA FUERA DE CABLE MONOCONDUCTOR CALIBRE 16 AWG, DE COBRE SUAVE, CABLEADO CONCENTRICO TIPO B, CON AISLAMIENTO INDIVIDUAL TERMOPLASTICO TENSION 300 VOLTS  COLOR NEGRO.</t>
  </si>
  <si>
    <t>C3EXT-0864</t>
  </si>
  <si>
    <t>SERVICIO DE INTEGRACIÓN DE SEÑALES DE LOS INSTRUMENTOS</t>
  </si>
  <si>
    <t>C3EXT-0865</t>
  </si>
  <si>
    <t>SUMINISTRO, CARGA, ACARREO, DESCARGA Y PUESTA EN SITIO COSTA FUERA DE CONDUCTOR MONOPOLAR CABLEADO TIPO B DE COBRE SUAVE DE BAJA TENSIÓN CON AISLAMIENTO DE PVC TIPO THW-LS PARA 600 VOLTS, TEMPERATURA MÁXIMA EN EL CONDUCTOR EN AMBIENTE HÚMEDO, 75°C., AMBIENTE SECO 90°C, CALIBRE No. 14 AWG, COLOR NEGRO.</t>
  </si>
  <si>
    <t>C3EXT-0866</t>
  </si>
  <si>
    <t>SUMINISTRO, CARGA, ACARREO, DESCARGA Y PUESTA EN SITIO COSTA FUERA DE BRIDA DE ACERO AL CARBON, SIN RECUBRIMIENTO, DE 3.00" DE DIAMETRO NOMINAL, CLASE: 300 LIBRAS, TIPO: CIEGA (BL), CARA REALZADA (RF), ESPECIFICACION: ASTM: A105, ASME: B16.5. ANSI/NACE MR0175/ISO 15156-2.</t>
  </si>
  <si>
    <t>C3EXT-0867</t>
  </si>
  <si>
    <t>SUMINISTRO, CARGA, ACARREO, DESCARGA Y PUESTA EN SITIO COSTA FUERA DE BRIDA DE ACERO AL CARBON, SIN RECUBRIMIENTO DE 12.00" DE DIAMETRO NOMINAL, CLASE: 300 LIBRAS, TIPO: CIEGA (BL), CARA REALZADA (RF), ESPECIFICACION: ASTM: A105, ASME: B16.5. ANSI/NACE MR0175/ISO 15156-2.</t>
  </si>
  <si>
    <t>C3EXT-0868</t>
  </si>
  <si>
    <t>SUMINISTRO, CARGA, ACARREO, DESCARGA Y PUESTA EN SITIO COSTA FUERA DE BRIDA CIEGA DE ACERO AL CARBON PARA JUNTA DE ANILLO (RTJ), CLASE 150#, DE 14" DE DIÁMETRO; ASTM A-694 GR. F-65 DE ACUERDO AL ESTÁNDAR MSS-SP-44 GRADO F65 ASME B16.5 Y NACE MR0175 ULTIMA EDICIÓN.</t>
  </si>
  <si>
    <t>C3EXT-0869</t>
  </si>
  <si>
    <t>SUMINISTRO, CARGA, ACARREO, DESCARGA Y PUESTA EN SITIO COSTA FUERA DE BRIDA CIEGA DE ACERO AL CARBON PARA JUNTA DE ANILLO (RTJ), CLASE 300#, DE 14" DE DIÁMETRO; ASTM A-694 GR. F-65 DE ACUERDO AL ESTÁNDAR MSS-SP-44 GRADO F65 ASME B16.5 Y NACE MR0175 ULTIMA EDICIÓN.</t>
  </si>
  <si>
    <t>C3EXT-0870</t>
  </si>
  <si>
    <t>SUMINISTRO, CARGA, ACARREO, DESCARGA Y PUESTA EN SITIO COSTA FUERA DE TAPON HEMBRA TITANIO GRADO 2, 3000#, ROSCADO DE 2" DE DIAMETRO.</t>
  </si>
  <si>
    <t>C3EXT-0871</t>
  </si>
  <si>
    <t>SUMINISTRO, CARGA, ACARREO, DESCARGA Y PUESTA EN SITIO COSTA FUERA DE TAPON HEMBRA TITANIO GRADO 2, 3000#, ROSCADO DE 3" DE DIAMETRO.</t>
  </si>
  <si>
    <t>C3EXT-0872</t>
  </si>
  <si>
    <t>SUMINISTRO, CARGA, ACARREO, DESCARGA Y PUESTA EN SITIO COSTA FUERA DE TEE DE ACERO AL CARBON FORJADO, SIN RECUBRIMIENTO, DE 3/4" (0.750") DE DIAMETRO NOMINAL, CLASE: 3000 LIBRAS, TIPO: RECTA, EXTREMOS: INSERTO SOLDABLE, ESPECIFICACION: ASTM A105, ASME: B16.11, ANSI/NACE MR0175/ISO 15156-2.</t>
  </si>
  <si>
    <t>C3EXT-0873</t>
  </si>
  <si>
    <t>SUMINISTRO, CARGA, ACARREO, DESCARGA Y PUESTA EN SITIO COSTA FUERA DE ESPÁRRAGO CUERDA CORRIDA DE ACERO DE ALEACIÓN ASTM A193 Gr. B8M,  CON DOS TUERCAS HEXAGONALES ASTM A194 Gr. 8,  1/2" DE DIAMETRO x 2 1/2" LONGITUD.</t>
  </si>
  <si>
    <t>C3EXT-0874</t>
  </si>
  <si>
    <t>SUMINISTRO, CARGA, ACARREO, DESCARGA Y PUESTA EN SITIO COSTA FUERA DE ESPÁRRAGO DE ACERO AL CARBON CON RECUBRIMIENTO CADMINIZADO  TIPO II, CLASE 25, ESPECIFICACIÓN ASTM A193 Gr. B7M, CON DOS TUERCAS HEXAGONALES ESPECIFICACIÓN ASTM A194 Gr. 2HM, DE 5/8" DE DIAMETRO x 3 1/4" LONGITUD.</t>
  </si>
  <si>
    <t>C3EXT-0875</t>
  </si>
  <si>
    <t>SUMINISTRO, CARGA, ACARREO, DESCARGA Y PUESTA EN SITIO COSTA FUERA DE ESPÁRRAGO DE ACERO AL CARBON CON RECUBRIMIENTO CADMINIZADO  TIPO II, CLASE 25, ESPECIFICACIÓN ASTM A193 Gr. B7M, CON DOS TUERCAS HEXAGONALES ESPECIFICACIÓN ASTM A194 Gr. 2HM, DE 5/8" DE DIAMETRO x 3 3/4" LONGITUD.</t>
  </si>
  <si>
    <t>C3EXT-0876</t>
  </si>
  <si>
    <t>SUMINISTRO, CARGA, ACARREO, DESCARGA Y PUESTA EN SITIO COSTA FUERA DE ESPÁRRAGO DE ACERO AL CARBON CON RECUBRIMIENTO CADMINIZADO  TIPO II, CLASE 25, ESPECIFICACIÓN ASTM A193 Gr. B7M, CON DOS TUERCAS HEXAGONALES ESPECIFICACIÓN ASTM A194 Gr. 2HM, DE 5/8" DE DIAMETRO x 4" LONGITUD.</t>
  </si>
  <si>
    <t>C3EXT-0877</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</si>
  <si>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</si>
  <si>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C3EXT-0878</t>
  </si>
  <si>
    <t>SUMINISTRO, CARGA, ACARREO, DESCARGA Y PUESTA EN SITIO COSTA FUERA DE ESPÁRRAGO DE ACERO AL CARBON CON RECUBRIMIENTO CADMINIZADO  TIPO II, CLASE 25, ESPECIFICACIÓN ASTM A193 Gr. B7M, CON DOS TUERCAS HEXAGONALES ESPECIFICACIÓN ASTM A194 Gr. 2HM, DE 7/8" DE DIAMETRO x 5 3/4" LONGITUD.</t>
  </si>
  <si>
    <t>C3EXT-0879</t>
  </si>
  <si>
    <t>SUMINISTRO, CARGA, ACARREO, DESCARGA Y PUESTA EN SITIO COSTA FUERA DE ESPÁRRAGO DE ACERO AL CARBON CON RECUBRIMIENTO CADMINIZADO  TIPO II, CLASE 25, ESPECIFICACIÓN ASTM A193 Gr. B7M, CON DOS TUERCAS HEXAGONALES ESPECIFICACIÓN ASTM A194 Gr. 2HM, DE 1" DE DIAMETRO x 5 1/2" LONGITUD.</t>
  </si>
  <si>
    <t>C3EXT-0880</t>
  </si>
  <si>
    <t>SUMINISTRO, CARGA, ACARREO, DESCARGA Y PUESTA EN SITIO COSTA FUERA DE ESPÁRRAGO DE ACERO AL CARBON CON RECUBRIMIENTO CADMINIZADO  TIPO II, CLASE 25, ESPECIFICACIÓN ASTM A193 Gr. B7M, CON DOS TUERCAS HEXAGONALES ESPECIFICACIÓN ASTM A194 Gr. 2HM, DE 1" DE DIAMETRO x 6 7/8" LONGITUD.</t>
  </si>
  <si>
    <t>C3EXT-0881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</si>
  <si>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</si>
  <si>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C3EXT-0882</t>
  </si>
  <si>
    <t>SUMINISTRO, CARGA, ACARREO, DESCARGA Y PUESTA EN SITIO COSTA FUERA DE ESPÁRRAGO DE ACERO AL CARBON CON RECUBRIMIENTO CADMINIZADO  TIPO II, CLASE 25, ESPECIFICACIÓN ASTM A193 Gr. B7M, CON DOS TUERCAS HEXAGONALES ESPECIFICACIÓN ASTM A194 Gr. 2HM, DE 1 1/8" DE DIAMETRO x 6 3/4" LONGITUD.</t>
  </si>
  <si>
    <t>C3EXT-0883</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</si>
  <si>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DE LONGITUD.</t>
  </si>
  <si>
    <t>C3EXT-0884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</si>
  <si>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LONGITUD.</t>
  </si>
  <si>
    <t>C3EXT-0885</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</si>
  <si>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DE LONGITUD.</t>
  </si>
  <si>
    <t>C3EXT-0886</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</si>
  <si>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6 3/4" LONGITUD.</t>
  </si>
  <si>
    <t>C3EXT-0887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</si>
  <si>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7" LONGITUD.</t>
  </si>
  <si>
    <t>C3EXT-0888</t>
  </si>
  <si>
    <t>C3EXT-0889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</si>
  <si>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 1/2" DE DIAMETRO, DE 1/8" DE ESPESOR.</t>
  </si>
  <si>
    <t>C3EXT-0890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</si>
  <si>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14" DE DIAMETRO, DE 1/8" DE ESPESOR.</t>
  </si>
  <si>
    <t>C3EXT-0891</t>
  </si>
  <si>
    <t>SUMINISTRO, CARGA, ACARREO, DESCARGA Y PUESTA EN SITIO COSTA FUERA DE PLACA LISA DE ACERO AL CARBON, ESPECIFICACION ASTM-A36,  DE 1 3/8" DE ESPESOR (PESO  DE 273.46 KG/M2)</t>
  </si>
  <si>
    <t>C3EXT-0892</t>
  </si>
  <si>
    <t>SUMINISTRO, CARGA, ACARREO, DESCARGA Y PUESTA EN SITIO COSTA FUERA DE PLACA LISA DE ACERO AL CARBON, ESPECIFICACION ASTM-A36,  DE 1 7/16" DE ESPESOR (PESO  DE 286.32 KG/M2)</t>
  </si>
  <si>
    <t>C3EXT-0893</t>
  </si>
  <si>
    <t>SUMINISTRO, CARGA, ACARREO, DESCARGA Y PUESTA EN SITIO COSTA FUERA DE PLACA LISA DE ACERO AL CARBON, ESPECIFICACION ASTM-A36,  DE 1 5/8" DE ESPESOR (PESO  DE 323.67 KG/M2)</t>
  </si>
  <si>
    <t>C3EXT-0894</t>
  </si>
  <si>
    <t>SUMINISTRO, CARGA, ACARREO, DESCARGA Y PUESTA EN SITIO COSTA FUERA DE PLACA LISA DE ACERO AL CARBON, ESPECIFICACION ASTM-A36,  DE 1 7/8" DE ESPESOR (PESO  DE 373.46 KG/M2)</t>
  </si>
  <si>
    <t>C3EXT-0895</t>
  </si>
  <si>
    <t>SERVICIO COSTA FUERA PARA VERIFICACION Y DIAGNOSTICO EN CAMPO POR PERSONAL ESPECIALIZADO PARA LA PUESTA EN OPERACION DE GRUA MARCA SEATRAX MODELO 4224, EN LA PLATAFORMA BALAM-TE.</t>
  </si>
  <si>
    <t>C3EXT-0896</t>
  </si>
  <si>
    <t>C-7</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</si>
  <si>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</si>
  <si>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</si>
  <si>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C3EXT-0311</t>
  </si>
  <si>
    <t>SUMINISTRO, CARGA, ACARREO, DESCARGA Y PUESTA EN SITIO COSTA FUERA DE CAJA DE REGISTRO PARA USO EN AREAS DE SERVICIOS GENERALES, DE ALUMINIO LIBRE DE COBRE, SERIE OVALADA, TIPO T, DE 27 MM (1" ) DE DIAMETRO. INCLUYE TAPA.</t>
  </si>
  <si>
    <t>C3EXT-0898</t>
  </si>
  <si>
    <t>11C-007</t>
  </si>
  <si>
    <t>SUMINISTRO, CARGA, ACARREO, DESCARGA Y PUESTA EN SITIO COSTA FUERA DE TORNILLO DE ACERO INOXIDABLE 316, CUERDA STD. CABEZA DE GOTA CON TUERCA Y ROLDANA DE ACERO INOXIDABLE 316 DE 3/16" DE DIAMETRO X 1" LONGITUD.</t>
  </si>
  <si>
    <t>C3EXT-0312</t>
  </si>
  <si>
    <t>12C-007</t>
  </si>
  <si>
    <t>SUMINISTRO, CARGA, ACARREO, DESCARGA Y PUESTA EN SITIO COSTA FUERA DE TORNILLO DE ACERO INOXIDABLE 316 DE 1/2" DE DIÁMETRO X 4" DE LONGITUD, INCLUYE TUERCAS Y ARANDELAS PLANAS Y DE PRESIÓN.</t>
  </si>
  <si>
    <t>C3EXT-0315</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</si>
  <si>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</si>
  <si>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</si>
  <si>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C3EXT-0321</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</si>
  <si>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</si>
  <si>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</si>
  <si>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C3EXT-0322</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</si>
  <si>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</si>
  <si>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</si>
  <si>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C3EXT-0324</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</si>
  <si>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</si>
  <si>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</si>
  <si>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C3EXT-0325</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</si>
  <si>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</si>
  <si>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</si>
  <si>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C3EXT-0327</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</si>
  <si>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</si>
  <si>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</si>
  <si>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C3EXT-0328</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</si>
  <si>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</si>
  <si>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</si>
  <si>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C3EXT-0329</t>
  </si>
  <si>
    <t>1C-007</t>
  </si>
  <si>
    <t>SUMINISTRO, CARGA, ACARREO, DESCARGA Y PUESTA EN SITIO COSTA FUERA DE ZAPATA TERMINAL TIPO "YA"  DE COBRE ELECTROLÍTICO ESTAÑADO DE CAÑÓN LARGO, UNA PERFORACIÓN, PARA CABLE CALIBRE 2 AWG.</t>
  </si>
  <si>
    <t>C3EXT-0019</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</si>
  <si>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</si>
  <si>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C3EXT-0909</t>
  </si>
  <si>
    <t>SUMINISTRO, CARGA, ACARREO, DESCARGA Y PUESTA EN SITIO COSTA FUERA DE CODO DE 90° MACHO-HEMBRA  DE  3/4" DE DIAMETRO  DE  ALUMINIO LIBRE DE COBRE CON RECUBRIMIENTO EXTERNO DE PVC E INTERIOR DE URETANO.</t>
  </si>
  <si>
    <t>C3EXT-0910</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</si>
  <si>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</si>
  <si>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</si>
  <si>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C3EXT-0331</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</si>
  <si>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</si>
  <si>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</si>
  <si>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C3EXT-0332</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</si>
  <si>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</si>
  <si>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</si>
  <si>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C3EXT-0333</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</si>
  <si>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</si>
  <si>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C3EXT-0914</t>
  </si>
  <si>
    <t>SUMINISTRO, CARGA, ACARREO, DESCARGA Y PUESTA EN SITIO COSTA FUERA DE CABLE MULTICONDUCTOR ARMADO TIPO MC (METAL CLAD) DE 16 CONDUCTORES DE COBRE IDENTIFICADOS POR COLOR Y PAREADOS; FORMADO POR: 1 PAR TRENZADO CALIBRE 14 AWG PARA ALIMENTACIÓN ELÉCTRICA (NEGRO Y BLANCO); 1 CONDUCTOR INDIVIDUAL CALIBRE 14 AWG PARA TIERRA FÍSICA (VERDE-AMARILLO); 1 PAR TRENZADO CALIBRE 18 AWG PARA SERVICIO DE VOCEO (ROJO-AZUL Y AZUL-ROJO); 5 PARES TRENZADOS CALIBRE 18 AWG PARA SERVICIOS DE COMUNICACIÓN (ROJO Y MARRÓN-ROJO, VIOLETA Y MARRÓN-VIOLETA, AZUL Y MARRÓN-AZUL, CAFÉ Y MARRÓN-CAFÉ, AMARILLO Y MARRÓN-AMARILLO); Y 1 CONDUCTOR INDIVIDUAL CALIBRE 18 AWG DE RESERVA PARA SEÑALES DE CONTROL (NARANJA); AISLAMIENTO INDIVIDUAL DE LOS CONDUCTORES DE PVC NYLON; MATERIAL DE RELLENO Y CINTA REUNIDORA; RECUBRIMIENTO INTERIOR DE PVC; ARMADURA DE ALUMINIO ENGARGOLADO HELICOIDALMENTE; RECUBRIMIENTO EXTERIOR DE PVC COLOR AMARILLO RESISTENTE AL FUEGO; DIÁMETRO EXTERIOR DE 25.37 MM (0.999"); CLASIFICADO PARA 600 V 90°C; LISTADO UL 1277 PARA INTERIOR Y EXTERIOR; ADECUADO PARA ÁREAS CLASE I DIVISIÓN 2; CUMPLE CON IEEE 45, CSA C22.2 NO.239 Y NEC ARTÍCULO 501; PESO EMPACADO 203.7 KG/1,000 FT (449 LB/1,000 FT); PARA CONEXIÓN DE EQUIPOS DE SISTEMAS DE INTERCOMUNICACIÓN Y VOCEO; MARCA GAI-TRONICS MODELO 60029-107 O SIMILAR.</t>
  </si>
  <si>
    <t>C3EXT-0915</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</si>
  <si>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</si>
  <si>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C3EXT-0916</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</si>
  <si>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</si>
  <si>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</si>
  <si>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C3EXT-0334</t>
  </si>
  <si>
    <t>SUMINISTRO, CARGA, ACARREO, DESCARGA Y PUESTA EN SITIO COSTA FUERA DE ABRAZADERA TIPO "U" DE 3/8" GALVANIZADO  ACERO AL CARBON ASTM A-307 GR A CON RECUBRIMIENTO DE PVC, PARA TUBO DE 1" DE DIAMETRO, CON 04 TUERCAS ASTM A563 GR. A Y 04 ARANDELAS PLANAS GALVANIZADAS.</t>
  </si>
  <si>
    <t>C3EXT-0918</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</si>
  <si>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</si>
  <si>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C3EXT-0919</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</si>
  <si>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</si>
  <si>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</si>
  <si>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C3EXT-0339</t>
  </si>
  <si>
    <t>SUMINISTRO, CARGA, ACARREO, DESCARGA Y PUESTA EN SITIO COSTA FUERA DE MÓDULO  DE  ENTRADA DIGITAL,  PERMITE  MONITOREAR  HASTA  16  SEÑALES DIGITALES  INDEPENDIENTES,  RANGO  DE  VOLTAJE  DE ENTRADA: 5 V CC A 30 V CC CORRIENTE DE ENTRADA: 2 MA A 5 MA.</t>
  </si>
  <si>
    <t>C3EXT-0921</t>
  </si>
  <si>
    <t>SUMINISTRO, CARGA, ACARREO, DESCARGA Y PUESTA EN SITIO COSTA FUERA DE MÓDULO  DE  SALIDAS ANALÓGICAS CON VOLTAJE DE CARGA 120 MV IMPEDANCIA  DE  ENTRADA  DE  4,2  KILOVATIOS,  TIPO  DE SALIDA: 3,5-9 MA, RANGO DE VOLTAJE DE 18 A 30 VCC .</t>
  </si>
  <si>
    <t>C3EXT-0922</t>
  </si>
  <si>
    <t>SUMINISTRO, CARGA, ACARREO, DESCARGA Y PUESTA EN SITIO COSTA FUERA DE LUZ DE USO CONTINUO COLOR VERDE, LUZ TIPO LED  A PRUEBA DE EXPLOSIÓN, CON MODULO DE MONTAJE Y GUARDA, 24 VCD, CLASE 1, DIVISIÓN 1, GRUPOS B, C Y D, NEMA 4X Y 7.</t>
  </si>
  <si>
    <t>C3EXT-0923</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</si>
  <si>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</si>
  <si>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</si>
  <si>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C3EXT-0340</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</si>
  <si>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</si>
  <si>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</si>
  <si>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C3EXT-0341</t>
  </si>
  <si>
    <t>27C-007</t>
  </si>
  <si>
    <t>SUMINISTRO, CARGA, ACARREO, DESCARGA Y PUESTA EN SITIO COSTA FUERA DE MEDIA CAÑA DE NEOPRENO 2" DE DIAMETRO DE 10 MM DE ESPESOR DE 150 MM DE LONGITUD PARA TUBERÍA DE 1.5" DE DIAMETRO.</t>
  </si>
  <si>
    <t>C3EXT-0354</t>
  </si>
  <si>
    <t>28C-007</t>
  </si>
  <si>
    <t>SUMINISTRO, CARGA, ACARREO, DESCARGA Y PUESTA EN SITIO COSTA FUERA DE MEDIA CAÑA DE NEOPRENO 2" DE DIAMETRO DE 10 MM DE ESPESOR DE 150 MM DE LONGITUD PARA TUBERÍA DE 2 "DE DIAMETRO.</t>
  </si>
  <si>
    <t>C3EXT-0355</t>
  </si>
  <si>
    <t>29C-007</t>
  </si>
  <si>
    <t>SUMINISTRO, CARGA, ACARREO, DESCARGA Y PUESTA EN SITIO COSTA FUERA DE MEDIA CAÑA DE NEOPRENO 2" DE DIAMETRO DE 10 MM DE ESPESOR DE 150 MM DE LONGITUD PARA TUBERÍA DE 3 "DE DIAMETRO.</t>
  </si>
  <si>
    <t>C3EXT-0356</t>
  </si>
  <si>
    <t>2C-007</t>
  </si>
  <si>
    <t>SUMINISTRO, CARGA, ACARREO, DESCARGA Y PUESTA EN SITIO COSTA FUERA DE CONECTOR A COMPRESIÓN, DE COBRE, FIGURA OCHO, PARA DERIVAR EN SISTEMA DE TIERRAS DE VARILLA DE 15.9 MM (5/8") DE DIÁMETRO A CABLE CALIBRE 2 A 2/0 AWG.</t>
  </si>
  <si>
    <t>C3EXT-0032</t>
  </si>
  <si>
    <t>30C-007</t>
  </si>
  <si>
    <t>SUMINISTRO, CARGA, ACARREO, DESCARGA Y PUESTA EN SITIO COSTA FUERA DE MEDIA CAÑA DE NEOPRENO 2" DE DIAMETRO DE 10 MM DE ESPESOR DE 150 MM DE LONGITUD PARA TUBERÍA DE 4 "DE DIAMETRO.</t>
  </si>
  <si>
    <t>C3EXT-0357</t>
  </si>
  <si>
    <t>SUMINISTRO, CARGA, ACARREO, DESCARGA Y PUESTA EN SITIO COSTA FUERA DE CONECTOR UNIÓN PARA TUBING O.D. CONEXIÓN FIJA NPT HEMBRA ASME B1.20.1 SAE AS71051 DE 3/4"Ø OD X 3/4"Ø NPT HEMBRA MATERIAL DEL CUERPO, BARRA DE ACERO INOX. 316, ASTM A479 DSEÑO DE SELLO DE DOBLE CONO TIPO REUSABLE.</t>
  </si>
  <si>
    <t>C3EXT-0931</t>
  </si>
  <si>
    <t>SUMINISTRO, CARGA, ACARREO, DESCARGA Y PUESTA EN SITIO COSTA FUERA DE VALVULA DE BOLA DE 3 VIAS, 6000# DE 1/2" DE DIAMETRO EXTREMOS ROSCADOS NPT HEMBRA CUERPO, VASTAGO Y ASIENTO DE ACERO INOXIDABLE 316.</t>
  </si>
  <si>
    <t>C3EXT-0932</t>
  </si>
  <si>
    <t>SUMINISTRO, PRUEBA HIDROSTÁTICA,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</si>
  <si>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C3EXT-0933</t>
  </si>
  <si>
    <t>SUMINISTRO, CARGA, ACARREO, DESCARGA Y PUESTA EN SITIO COSTA FUERA DE COPLE ROSCADO DE 1 1/2" DE DIAMETRO, DE ACERO AL CARBONO FORJADO ESPECIFICACIÓN ASTM-A-105, 3000 LIBRAS.</t>
  </si>
  <si>
    <t>C3EXT-0934</t>
  </si>
  <si>
    <t>SUMINISTRO, CARGA, ACARREO, DESCARGA Y PUESTA EN SITIO COSTA FUERA DE COPLE ROSCADO DE 1" DE DIAMETRO DE ACERO AL CARBONO FORJADO ESPECIFICACIÓN ASTM-A-105, 3000 LIBRAS.</t>
  </si>
  <si>
    <t>C3EXT-0935</t>
  </si>
  <si>
    <t>SUMINISTRO, CARGA, ACARREO, DESCARGA Y PUESTA EN SITIO COSTA FUERA DE NIPLE DE ACERO AL CARBON DE 3/4" DE DIAMETRO X 2” LONGITUD, ASTM A- 106 Gr. B CED.160 EXTREMOS ROSCADOS.</t>
  </si>
  <si>
    <t>C3EXT-0936</t>
  </si>
  <si>
    <t>SUMINISTRO, CARGA, ACARREO, DESCARGA Y PUESTA EN SITIO COSTA FUERA DE NIPOLET DE ACERO AL CARBONO FORJADO, ASTM A105 ASME B31.3 (302.2, 304.3, 326, 328.5.4) XXS, EXTREMOS BISELADO/PLANO. DIAMETRO 10"-3" x 3/4"  DE DIAMETRO.</t>
  </si>
  <si>
    <t>C3EXT-0937</t>
  </si>
  <si>
    <t>31C-007</t>
  </si>
  <si>
    <t>SUMINISTRO, CARGA, ACARREO, DESCARGA Y PUESTA EN SITIO COSTA FUERA DE COPLE ROSCADO DE ACERO AL CARBÓN ASTM A-865 DE (1" DE DIAMETRO X 2" DE LONGITUD).</t>
  </si>
  <si>
    <t>C3EXT-0360</t>
  </si>
  <si>
    <t>SUMINISTRO, CARGA, ACARREO, DESCARGA Y PUESTA EN SITIO COSTA FUERA DE PLACA REVERSIBLE (FIGURA 8) DE ACERO AL CARBONO ASTM A-516 Gr.70, PARA JUNTA BRIDADA DE 1” DE DIAMETRO, CLASE 900 RTJ. DE 22.4 mm. DE ESPESOR.</t>
  </si>
  <si>
    <t>C3EXT-0939</t>
  </si>
  <si>
    <t>32C-007</t>
  </si>
  <si>
    <t>SUMINISTRO, CARGA, ACARREO, DESCARGA Y PUESTA EN SITIO COSTA FUERA DE COPLE  ROSCADO DE ACERO AL CARBÓN FORJADO ASTM A105, DE 3000# DE 63 MM DE LONGITUD, DE 51 MM DE Ø (2") DE DIAMETRO.</t>
  </si>
  <si>
    <t>C3EXT-0361</t>
  </si>
  <si>
    <t>SUMINISTRO, CARGA, ACARREO, DESCARGA Y PUESTA EN SITIO COSTA FUERA DE EMPAQUE TIPO ANILLO OCTAGONAL DE ACERO INOXIDABLE UNS 304000 CON DUREZA BRINELL MAXIMA DE 160, DE ACUERDO AL ASME B16.20, PARA BRIDAS ASME B16.5 R-16 DE 1" DE DIAMETRO.</t>
  </si>
  <si>
    <t>C3EXT-0941</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</si>
  <si>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</si>
  <si>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</si>
  <si>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2" DE DIAMETRO, R.F.ESPESOR 1/8".</t>
  </si>
  <si>
    <t>C3EXT-0943</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</si>
  <si>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3 1/2" LONGITUD.</t>
  </si>
  <si>
    <t>C3EXT-0944</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</si>
  <si>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</si>
  <si>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C3EXT-0945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</si>
  <si>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6 1/4" LONGITUD.</t>
  </si>
  <si>
    <t>C3EXT-0946</t>
  </si>
  <si>
    <t>SUMINISTRO, CARGA, ACARREO, DESCARGA Y PUESTA EN SITIO COSTA FUERA DE PIG OBTURADOR INFLABLE DE ALTA PRESIÓN, PARA TUBERÍA DE 30" DE DIAMETRO DE HULE NITRILO (BUNA-N) INCLUYE: MANGUERA DE AIRE DE 10 METROS PLÁSTICO REFORZADO CON FIBRA Y DISPOSITIVO DE CONTROL DE PRESIÓN CON SUS CONEXIONES.</t>
  </si>
  <si>
    <t>C3EXT-0947</t>
  </si>
  <si>
    <t>SUMINISTRO, CARGA, ACARREO, DESCARGA Y PUESTA EN SITIO COSTA FUERA DE PIG OBTURADOR INFLABLE DE ALTA PRESIÓN, PARA TUBERÍA DE 20" DE DIAMETRO DE HULE NITRILO (BUNA-N) INCLUYE: MANGUERA DE AIRE DE 10 METROS PLÁSTICO REFORZADO CON FIBRA CON ACOPLADOR DE LIBERACION RÁPIDA Y DISPOSITIVO DE CONTROL DE PRESIÓN CON SUS CONEXIONES.</t>
  </si>
  <si>
    <t>C3EXT-0948</t>
  </si>
  <si>
    <t>SUMINISTRO, CARGA, ACARREO, DESCARGA Y PUESTA EN SITIO COSTA FUERA DE PIG OBTURADOR INFLABLE DE ALTA PRESIÓN, PARA TUBERÍA DE 18" DE DIAMETRO DE HULE NITRILO (BUNA-N) INCLUYE: MANGUERA DE AIRE DE 10 METROS PLÁSTICO REFORZADO CON FIBRA CON ACOPLADOR DE LIBERACION RÁPIDA Y DISPOSITIVO DE CONTROL DE PRESIÓN CON SUS CONEXIONES.</t>
  </si>
  <si>
    <t>C3EXT-0949</t>
  </si>
  <si>
    <t>SUMINISTRO, CARGA, ACARREO, DESCARGA Y PUESTA EN SITIO COSTA FUERA DE PIG OBTURADOR INFLABLE DE ALTA PRESIÓN, PARA TUBERÍA DE 4" DE DIAMETRO DE HULE NITRILO (BUNA-N) INCLUYE: MANGUERA DE AIRE DE 10 METROS PLÁSTICO REFORZADO CON FIBRA CON ACOPLADOR DE LIBERACION RÁPIDA Y DISPOSITIVO DE CONTROL DE PRESIÓN CON SUS CONEXIONES.</t>
  </si>
  <si>
    <t>C3EXT-0950</t>
  </si>
  <si>
    <t>SUMINISTRO, CARGA, ACARREO, DESCARGA Y PUESTA EN SITIO COSTA FUERA DE PIG OBTURADOR INFLABLE DE ALTA PRESIÓN, PARA TUBERÍA DE 3" DE DIAMETRO DE HULE NITRILO (BUNA-N) INCLUYE: MANGUERA DE AIRE DE 10 METROS PLÁSTICO REFORZADO CON FIBRA CON ACOPLADOR DE LIBERACION RÁPIDA Y DISPOSITIVO DE CONTROL DE PRESIÓN CON SUS CONEXIONES.</t>
  </si>
  <si>
    <t>C3EXT-0951</t>
  </si>
  <si>
    <t>SUMINISTRO, CARGA, ACARREO, DESCARGA Y PUESTA EN SITIO COSTA FUERA DE TUBO  CIRCULAR  (OC)  42  MM  X  3.56  MM (1 1/4" IN. X 0.145 IN.),  DE  ESPESOR DE ACERO AL CARBON,  ASTM-A53  Gr.B CEDULA 40.</t>
  </si>
  <si>
    <t>C3EXT-0952</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</si>
  <si>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</si>
  <si>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</si>
  <si>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C3EXT-0369</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</si>
  <si>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</si>
  <si>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</si>
  <si>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C3EXT-0370</t>
  </si>
  <si>
    <t>35C-007</t>
  </si>
  <si>
    <t>SUMINISTRO, CARGA, ACARREO, DESCARGA Y PUESTA EN SITIO COSTA FUERA DE CONECTOR MECÁNICO PARA CABLE A SUPERFICIE PLANA " TIPO “GB26” PARA LÍNEA DE COBRE PRINCIPAL, CALIBRE 2/0 AWG.</t>
  </si>
  <si>
    <t>C3EXT-0374</t>
  </si>
  <si>
    <t>36C-007</t>
  </si>
  <si>
    <t>SUMINISTRO, CARGA, ACARREO, DESCARGA Y PUESTA EN SITIO COSTA FUERA DE CONECTOR MECÁNICO PARA CABLE A SUPERFICIE PLANA " TIPO “GB29” PARA CABLE DE COBRE, CALIBRE 2 AWG.</t>
  </si>
  <si>
    <t>C3EXT-0375</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</si>
  <si>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</si>
  <si>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</si>
  <si>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C3EXT-0378</t>
  </si>
  <si>
    <t>TRABAJOS DE INTEGRACION DE INSTRUMENTOS PERIFERICOS INCLUYE VERIFICACION DE CALIBRACIÓN DE INSTRUMENTOS, VÁLVULAS DE CONTROL, VÁLVULAS SDV´S, BDV´S EN CAMPO, PRUEBA DE LAZOS, CONFIGURACIÓN, AJUSTE DE CERO, PRUEBAS DE AISLAMIENTO, COMUNICACIÓN, SIMULACIÓN Y PUESTA A PUNTO, CON EQUIPO DE PRUEBA CON CALIBRACIÓN VIGENTE, PRUEBA DE INTEGRIDAD, INTERCONEXIÓN EN CAMPO,  PRUEBAS Y PUESTA EN OPERACIÓN DE INSTRUMENTOS Y VÁLVULAS Y CON PERSONAL CERTIFICADO POR ISA, EQUIPO, HERRAMIENTAS Y CONSUMIBLES.</t>
  </si>
  <si>
    <t>C3EXT-0958</t>
  </si>
  <si>
    <t>TRABAJOS ESPECIALIZADOS PARA COMISIONAMIENTO, CONFIGURACIÓN E INTEGRACIÓN DE SEÑALES DE INSTRUMENTOS DE CAMPO AL SISTEMA EXISTENTE (UPR/CEP). INCLUYE: LEVANTAMIENTOS EN CAMPO, PRUEBAS INTERNAS, PRUEBAS PREOPERACIONALES / OSAT Y PUESTA EN OPERACIÓN A BORDO, MANO DE OBRA ESPECIALIZADA, PROCEDIMIENTOS, PRUEBAS DE FUNCIONAMIENTO DE LAZOS, DESPLEGADOS GRÁFICOS, PROTOCOLOS DE PRUEBAS, REGISTROS, HERRAMIENTAS Y EQUIPOS ESPECIALIZADOS INCLUYENDO SOFTWARE Y CONSUMIBLES.</t>
  </si>
  <si>
    <t>C3EXT-0959</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</si>
  <si>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</si>
  <si>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C3EXT-0960</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</si>
  <si>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</si>
  <si>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C3EXT-0961</t>
  </si>
  <si>
    <t>SUMINISTRO, CARGA, ACARREO, DESCARGA Y PUESTA EN SITIO COSTA FUERA DE BRIDA CIEGA, DE ACERO AL CARBONO FORJADO, ESPECIFICACIÓN ASTM A 105 Y ASME B16.5, CARA REALZADA (R.F.), CLASE  300#, DE 14" DE DIÁMETRO., DEBE CUMPLIR CON EL ESTÁNDAR NACE MR0175 ULTIMA EDICIÓN.</t>
  </si>
  <si>
    <t>C3EXT-0962</t>
  </si>
  <si>
    <t>38C-007</t>
  </si>
  <si>
    <t>SUMINISTRO, CARGA, ACARREO, DESCARGA Y PUESTA EN SITIO COSTA FUERA DE PERNO DE SILICIO BRONCE DE 9.5 MM (3/8") DE DIÁMETRO, DE 38 MM DE LONG. (1 1/2"), CON ARANDELA PLANA, DE PRESIÓN Y TUERCA HEXAGONAL.</t>
  </si>
  <si>
    <t>C3EXT-0379</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</si>
  <si>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</si>
  <si>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</si>
  <si>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C3EXT-0380</t>
  </si>
  <si>
    <t>3C-007</t>
  </si>
  <si>
    <t>SUMINISTRO, CARGA, ACARREO, DESCARGA Y PUESTA EN SITIO COSTA FUERA DE CONECTOR A TIERRA TIPO VARILLA DE ACERO ESTRUCTURAL DE 5/8" DE DIÁMETRO NOMINAL CON UNA LONGITUD DE 144.3 MM (5.68").</t>
  </si>
  <si>
    <t>C3EXT-0033</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</si>
  <si>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</si>
  <si>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</si>
  <si>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C3EXT-0381</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</si>
  <si>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</si>
  <si>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</si>
  <si>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C3EXT-0382</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</si>
  <si>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</si>
  <si>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</si>
  <si>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C3EXT-0383</t>
  </si>
  <si>
    <t>43C-007</t>
  </si>
  <si>
    <t>SUMINISTRO, CARGA, ACARREO, DESCARGA Y PUESTA EN SITIO COSTA FUERA DE CONECTOR RECTO PARA CHAROLA DE FIBRA DE VIDRIO, DE 4" DE PERALTE CON 4 TORNILLOS ENCAPSULADOS Y TUERCAS.</t>
  </si>
  <si>
    <t>C3EXT-0384</t>
  </si>
  <si>
    <t>44C-007</t>
  </si>
  <si>
    <t>SUMINISTRO, CARGA, ACARREO, DESCARGA Y PUESTA EN SITIO COSTA FUERA DE CLEMA PARA SUJECIÓN PARA CHAROLA EN ACERO INOXIDABLE T-304 PARA FIBRA DE VIDRIO, INCLUYE TORNILLERÍA.</t>
  </si>
  <si>
    <t>C3EXT-0385</t>
  </si>
  <si>
    <t>ASESORIA TECNICA ESPECIALIZADA PARA ASISTENCIA EN SALVATAJE. INCLUYE RECOMENDACIONES DE SEGURIDAD Y VISITA DE CAMPO</t>
  </si>
  <si>
    <t>C3EXT-0971</t>
  </si>
  <si>
    <t>45C-007</t>
  </si>
  <si>
    <t>SUMINISTRO, CARGA, ACARREO, DESCARGA Y PUESTA EN SITIO COSTA FUERA DE NIPLE DE 1/2" DE DIAMETRO DE 2" DE LONGITUD, CON RECUBRIMIENTO EXTERIOR DE PVC E INTERIOR DE URETANO, EXTREMOS  ROSCADOS.</t>
  </si>
  <si>
    <t>C3EXT-0386</t>
  </si>
  <si>
    <t>4C-007</t>
  </si>
  <si>
    <t>SUMINISTRO, CARGA, ACARREO, DESCARGA Y PUESTA EN SITIO COSTA FUERA DE ZAPATA TERMINAL TIPO "YA" DE COBRE ELECTROLÍTICO ESTAÑADO DE CAÑÓN LARGO UNA PERFORACIÓN, PARA CABLE CALIBRE 2/0 AWG.</t>
  </si>
  <si>
    <t>C3EXT-0034</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</si>
  <si>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</si>
  <si>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</si>
  <si>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C3EXT-0038</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</si>
  <si>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</si>
  <si>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</si>
  <si>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C3EXT-0097</t>
  </si>
  <si>
    <t>7C-007</t>
  </si>
  <si>
    <t>SUMINISTRO, CARGA, ACARREO, DESCARGA Y PUESTA EN SITIO COSTA FUERA DE NIPLE CORTO DE ALUMINIO LIBRE DE COBRE CON RECUBRIMIENTO EXTERIOR E INTERIOR DE 2 MIL. DE PLG DE URETANO, DE (3/4" DIÁMETRO).</t>
  </si>
  <si>
    <t>C3EXT-0116</t>
  </si>
  <si>
    <t>8C-007</t>
  </si>
  <si>
    <t>SUMINISTRO, CARGA, ACARREO, DESCARGA Y PUESTA EN SITIO COSTA FUERA DE BRIDA CIEGA DE 12” DE DIÁMETRO NOMINAL, DE ACERO AL CARBONO CLASE 600# R.F. ASTM A105, DIMENSIONES DE ACUERDO CON ASME B16.5. NACE MR0175 / ISO 15156, PARA SERVICIO AMARGO.</t>
  </si>
  <si>
    <t>C3EXT-0279</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</si>
  <si>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</si>
  <si>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</si>
  <si>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C3EXT-0291</t>
  </si>
  <si>
    <t>C-8</t>
  </si>
  <si>
    <t>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</si>
  <si>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</si>
  <si>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C3EXT-0343</t>
  </si>
  <si>
    <t>C3EXT-0980</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</si>
  <si>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15 1/2" DE LONGITUD.</t>
  </si>
  <si>
    <t>C3EXT-0981</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</si>
  <si>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5/8" DE DIAMETRO X 13 1/2" DE LONGITUD.</t>
  </si>
  <si>
    <t>C3EXT-0982</t>
  </si>
  <si>
    <t>SUMINISTRO, PRUEBA HIDROSTÁTICA, CARGA, ACARREO, DESCARGA Y PUESTA EN SITIO COSTA FUERA DE VÁLVULA DE BOLA 14" DE DIAMETRO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t>
  </si>
  <si>
    <t>C3EXT-0983</t>
  </si>
  <si>
    <t>PTE-048</t>
  </si>
  <si>
    <t>LIMPIEZA CON ARENA SILICA (MALLA) 16/35 O 8/35 INCLUYE MATERIALES DE CONSUMO, LIMPIEZA DEL ÁREA DE TRABAJO. DE ACUERDO A LA NORMA ETP-295-PEMEX-2013. COSTA FUERA.</t>
  </si>
  <si>
    <t>C3EXT-0984</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</si>
  <si>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</si>
  <si>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C3EXT-0985</t>
  </si>
  <si>
    <t>APLICACIÓN DE EPOXICO DE ALTOS SOLIDOS DE ACUERDO A NORMA DE REFERENCIA ETP-295-PEMEX, INCLUYE MATERIALES DE CONSUMO, PINTURA, SOLVENTES, LIMPIEZA DEL ÁREA DE TRABAJO, PARA APLICARLO EN TUBERÍA, CODOS, TEES, REDUCCIONES ETC. DE DIFERENTES DIÁMETROS, ASI COMO EN VIGAS, ANGULOS, SOLERAS, ETC. COSTA FUERA</t>
  </si>
  <si>
    <t>C3EXT-0986</t>
  </si>
  <si>
    <t>APLICACIÓN DE ACABADO PÓLIURETANO DE ACUERDO A NORMA DE REFERENCIA ETP-295-PEMEX, INCLUYE MATERIALES DE CONSUMO, PINTURA, SOLVENTES, LIMPIEZA DEL ÁREA DE TRABAJO, PARA APLICARLO EN TUBERÍA, CODOS, TEES, REDUCCIONES ETC. DE DIFERENTES DIÁMETROS, ASI COMO EN VIGAS, ANGULOS, SOLERAS, ETC. COSTA FUERA</t>
  </si>
  <si>
    <t>C3EXT-0987</t>
  </si>
  <si>
    <t>SUMINISTRO, CARGA, ACARREO, DESCARGA Y PUESTA EN SITIO COSTA FUERA DE EMPAQUE TIPO ANILLO OCTOGONAL DE ACERO INOXIDABLE UNS 31600, CON DUREZA BRINELL MAXIMA DE 160, DE ACUERDO ASME B16.20, LOS MATERIALES DEBEN CUMPLIR CON ANSI/NACE MR-0175, ISO 15156-1 Y 2, Y EL ESTÁNDAR PEMEX-EST-TD-156-2020, PARA BRIDAS ASME B16.5 CARA JUNTA TIPO ANILLO (R. T. J.), DE 4" DE DIAMETRO NPS (100 DN), CLASE 900, RING NUMERO R37.  5/8" ESPESOR.</t>
  </si>
  <si>
    <t>C3EXT-0988</t>
  </si>
  <si>
    <t>SUMINISTRO, CARGA, ACARREO, DESCARGA Y PUESTA EN SITIO COSTA FUERA DE ESPÁRRAGO DE ACERO AL CARBONO ASTM A193 GR. B7, ROSCAS ASME B1.1 CLASE 2A, CON 2 TUERCAS HEXAGONALES DE ACERO AL CARBONO ASTM A194 GR. 2H, ROSCAS ASME B1.1 CLASE 2A,CON RECUBRIMIENTO RESISTENTE A LA CORROSIÓN A BASE DE CADMIO (25 MICRAS DE ESPESOR ASTM B766 O EQUIVALENTE), LOS MATERIALES DEBEN CUMPLIR CON PEMEX-EST-TD-027-2022 DE 3/4" DE DIAMETRO x 5 1/2" DE LONGITUD.</t>
  </si>
  <si>
    <t>C3EXT-0989</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</si>
  <si>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7/8" DE DIAMETRO x 8 1/2" DE LONGITUD.</t>
  </si>
  <si>
    <t>C3EXT-0990</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</si>
  <si>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1 1/4" DE DIAMETRO x 8 1/4" DE LONGITUD,</t>
  </si>
  <si>
    <t>C3EXT-0991</t>
  </si>
  <si>
    <t>SUMINISTRO, PRUEBA HIDROSTÁTICA, CARGA, ACARREO, DESCARGA Y PUESTA EN SITIO COSTA FUERA DE VÁLVULA DE COMPUERTA ROSCADA CUERPO E INTERIORES DE BRONCE AL ALUMINIO ASTM B 763 ALEACIÓN UNS C95500 , VASTAGO ASCENDENTE, CUERDA EXTERIOR Y YUGO, BONETE ATORNILLADO, CUÑA SÓLIDA, ASIENTOS INTERGRALES, OPERADA CON VOLANTE. MSS-SP80, DE 1/2" DE DIAMETRO, CLASE 800.</t>
  </si>
  <si>
    <t>C3EXT-0992</t>
  </si>
  <si>
    <t>SUMINISTRO, PRUEBA HIDROSTÁTICA, CARGA, ACARREO, DESCARGA Y PUESTA EN SITIO COSTA FUERA DE VÁLVULA DE BOLA, CUERPO ACERO AL CARBON ASTM A105 o ASTM A 216 Gr. WCB, PASO COMPLETO,MONTADA SOBRE MUÑON, CUERPO ATORNILLADO O SOLDADO. DEBE CUMPLIR CON REQUERIMIENTOS TECNICOS Y DOCUMENTALES DE LA NRF-211-PEMEX-2008. DE 4” DE DIAMETRO NPS (100 DN), CLASE 1500 EXTREMOS R.T.J.</t>
  </si>
  <si>
    <t>C3EXT-0993</t>
  </si>
  <si>
    <t>SUMINISTRO, PRUEBA HIDROSTÁTICA, CARGA, ACARREO, DESCARGA Y PUESTA EN SITIO COSTA FUERA DE VÁLVULA DE COMPUERTA DE ACERO AL CARBONO ASTM A216 GR. WCB, TRIM 9, CUERDA EXTERIOR Y YUGO, BONETE ATORNILLADO, CUÑA SÓLIDA, ASIENTOS RECAMBIABLES, OPERADA CON VOLANTE. ASME B16.34. LOS MATERIALES DEBEN CUMPLIR CON PEMEX-EST-TD-142-2022, DE 6” DE DIAMETRO NPS (150 DN), CLASE 150.</t>
  </si>
  <si>
    <t>C3EXT-0994</t>
  </si>
  <si>
    <t>SUMINISTRO, CARGA, ACARREO, DESCARGA Y PUESTA EN SITIO COSTA FUERA DE VÁLVULA DE DILUVIO DE ACUERDO CON ASME B16.24, CUERPO Y TAPA DE NI-AL-BRONCE ASTM B-148, CON INTERNOS DE ACERO INOXIDABLE ASTM A 182 / A 182M GR. F 316 (UNS S31600) O EQUIVALENTE; SELLO HERMÉTICO CLASE VI ANSI/FCI 70-2-2006, DIAFRAGMA DE ELASTÓMERO REFORZADO FLEXIBLE DE HULE SINTÉTICO O NATURAL EN TODA SU SUPERFICIE SIN PARTES VULCANIZADAS. INCLUYE TRIM PARA ACTIVACIÓN NEUMÁTICA Y MANUAL CON TUBING DE ACERO INOXIDABLE ASTM A 269 GR. TP. 316 (UNS S31600), LISTADA Y/O APROBADA POR UL Y/O FM PARA SERVICIO CONTRA INCENDIO CON AGUA DE MAR. LA VÁLVULA DEBE TENER ACREDITADA LA PRUEBA DE RESISTENCIA AL FUEGO “FIRE TEST” BAJO LA NORMA ISO 6182-5.  DE 6” DE DIAEMTRO, CON BRIDAS CLASE 150#, CARA REALZADA (R. F.).</t>
  </si>
  <si>
    <t>C3EXT-0995</t>
  </si>
  <si>
    <t>SUMINISTRO, CARGA, ACARREO, DESCARGA Y PUESTA EN SITIO COSTA FUERA DE FILTRO TIPO "Y",  EXTREMO BRIDADOS R.F. ASTM A216 Gr,WCB CLASE 150# R.F. DE 6” DE DIAMETRO NPS (150 DN)</t>
  </si>
  <si>
    <t>C3EXT-0996</t>
  </si>
  <si>
    <t>SUMINISTRO, CARGA, ACARREO, DESCARGA Y PUESTA EN SITIO COSTA FUERA DE REDUCCIÓN SWAGE CONCENTRICA  DE ACERO AL CARBÓN ASTM A-106 Gr B ASME B-36 10M, EXTREMOS PLANO X ROSCADO DE 3/4" X 1/2" DE DIAMETRO,DE 3.5" LONGITUD, CED. XXS.</t>
  </si>
  <si>
    <t>C3EXT-0997</t>
  </si>
  <si>
    <t>SUMINISTRO, CARGA, ACARREO, DESCARGA Y PUESTA EN SITIO COSTA FUERA DE TAPÓN MACHO CABEZA HEXAGONAL DE ACERO INOXIDABLE 316L,ASTM A276/ASME SA479, DE 1/2" DE DIAMETRO NPT, DE 3000#.</t>
  </si>
  <si>
    <t>C3EXT-0998</t>
  </si>
  <si>
    <t>SUMINISTRO, CARGA, ACARREO, DESCARGA Y PUESTA EN SITIO COSTA FUERA DE ABRAZADERA TIPO "U" DE 1/2" DE DIAMETRO GALVANIZADA DE ACERO INOXIDABLE 316, PARA TUBO DE 3/4" DE DIAMETRO CON 04 TUERCAS Y 04 ARANDELAS PLANAS DE ACERO INOXIDABLE 316.</t>
  </si>
  <si>
    <t>C3EXT-0999</t>
  </si>
  <si>
    <t>SUMINISTRO, CARGA, ACARREO, DESCARGA Y PUESTA EN SITIO COSTA FUERA DE ABRAZADERA TIPO "U" DE 1/2" DE DIAMETRO GALVANIZADA DE ACERO ALCARBON ASTM A307 Gr A CON RECUBRIMIENTO DE PVC, PARA TUBO DE 4" DE DIAMETRO CON 04 TUERCAS ASTM A563 Gr. A Y 04 ARANDELAS PLANAS GALVANIZADAS.</t>
  </si>
  <si>
    <t>C3EXT-1000</t>
  </si>
  <si>
    <t>SUMINISTRO, CARGA, ACARREO, DESCARGA Y PUESTA EN SITIO COSTA FUERA DE ABRAZADERA TIPO "U" DE 1/2" DE DIAMETRO GALVANIZADA DE ACERO ALCARBON ASTM A307 Gr A CON RECUBRIMIENTO DE PVC, PARA TUBO DE 6" DE DIAMETRO CON 04 TUERCAS ASTM A563 Gr. A Y 04 ARANDELAS PLANAS GALVANIZADAS.</t>
  </si>
  <si>
    <t>C3EXT-1001</t>
  </si>
  <si>
    <t>SUMINISTRO, CARGA, ACARREO, DESCARGA Y PUESTA EN SITIO COSTA FUERA DE TORNILLO DE ACERO INOXIDABLE 316, CUERDA STD. CABEZA DE GOTA CON TUERCA Y ROLDANA DE ACERO INOXIDABLE 316 DE 3/16" DE DIAMETRO X 1 1/2" LONGITUD.</t>
  </si>
  <si>
    <t>C3EXT-1002</t>
  </si>
  <si>
    <t>SUMINISTRO, CARGA, ACARREO, DESCARGA Y PUESTA EN SITIO COSTA FUERA DE TORNILLO DE ACERO INOXIDABLE A-316,CUERDA STD. CABEZA HEXAGONAL CON TUERCA Y ROLDANA PLANA Y DE PRESIÓN,DE 1/4" DE DIAMETRO X 1 1/4" LONGITUD.</t>
  </si>
  <si>
    <t>C3EXT-1003</t>
  </si>
  <si>
    <t>SUMINISTRO, CARGA, ACARREO, DESCARGA Y PUESTA EN SITIO COSTA FUERA DE PLACA DE NEOPRENO DE 3/16" DE ESPESOR</t>
  </si>
  <si>
    <t>C3EXT-1004</t>
  </si>
  <si>
    <t>SUMINISTRO, CARGA, ACARREO, DESCARGA Y PUESTA EN SITIO COSTA FUERA DE NIPLE DE INYECCIÓN DE 2" DE DIAMETRO CON CUBIERTA DE PROTECCIÓN PARA SERVICIO PESADO, CUERPO EN ACERO AL CARBONO ASTM A105, CON ORIFICIO Y TUERCA DE  MUESTREO DE 1/4"Ø EN AC. INOXIDABLE 316, CONJUNTO DE TUERCA SOLIDA EN AC. INOXIDABLE, Y ORIFICIO DE ALIMENTACIÓN DEL QUÍMICO DE 3/4" DE DIAMETRO Y NIPLE DE 3/4" DE DIAMETRO EN AC. INOXIDABLE.</t>
  </si>
  <si>
    <t>C3EXT-1005</t>
  </si>
  <si>
    <t>SUMINISTRO, CARGA, ACARREO, DESCARGA Y PUESTA EN SITIO COSTA FUERA DE UNIDAD REGULACIÓN DE PRESIÓN NEUMÁTICA CON PILOTO DE CORTE AUTOMÁTICO POR CAÍDA SÚBITA DE PRESIÓN HASTA EL VALOR PREVIAMENTE ESTABLECIDO, FABRICADO EN ACERO INOXIDABLE SST316, PILOTOS DE REGULACIÓN Y ALIVIO EN SST316, ELASTÓMERO EPDM, INCLUYE UN INDICADOR DE PRESIÓN CON UN RANGO DE 0-14 KG/CM2, CARÁTULA DE ALUMINIO, ESCALA DE LECTURA DUAL KG/CM2 (PSI) CAJA DE ACERO INOXIDABLE 316 EXATITUD REQUERIDA DE +/- 0.5% DE LA ESCALA TOTAL.</t>
  </si>
  <si>
    <t>C3EXT-1006</t>
  </si>
  <si>
    <t>SUMINISTRO, CARGA, ACARREO, DESCARGA Y PUESTA EN SITIO COSTA FUERA DE INDICADOR DE PRESIÓN  CON UN RANGO DE 0-21 KG/CM2, CARÁTULA DE ALUMINIO DE 4 1/2" DE DIAMETRO, ESCALA DE LÉCTURA DUAL KG/CM2 (PSIG) CAJA DE FENOL, EXACTITUD REQUERIDA DE +/-.5% DE LA ESCALA TOTAL.</t>
  </si>
  <si>
    <t>C3EXT-1007</t>
  </si>
  <si>
    <t>SUMINISTRO, CARGA, ACARREO, DESCARGA Y PUESTA EN SITIO COSTA FUERA DE INDICADOR DE PRESIÓN (MANÓMETRO) (PI) DE LECTURA DIRECTA, MONTAJE LOCAL, CARATULA DE 4 1/2", FONDO COLOR BLANCO Y CARACTERES NEGROS, ESCALA DUAL (KG/CM² / PSIG); CAJA DE FENOL, ANILLO ROSCADO, LENTE DE CRISTAL INASTILLABLE, EXACTITUD REQUERIDA +/- 0.5% DE LA ESCALA TOTAL, SOCKET Y ELEMENTO DE PRESIÓN DE UNA SOLA PIEZA FABRICADO EN ACERO INOXIDABLE 316L, PIÑON DE MOVIMIENTO EN AC. INOX. 316, CON RECUBRIMIENTO DE TEFLÓN; CONEXIÓN INFERIOR DE 1/2” DIAMETRO NPT MACHO. INCLUYE. SELLO QUIMICO TIPO DIAFRAGMA DE HASTELLOY-CL, CONEXIÒNES DE 13 mm NPT H-H.RANGO 0 – 70 kg/cm2</t>
  </si>
  <si>
    <t>C3EXT-1008</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</si>
  <si>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–70 kg/cm2.</t>
  </si>
  <si>
    <t>C3EXT-1009</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</si>
  <si>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CONEXIÒN A PROCESO DE 1/2” NPTH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250 kg/cm2</t>
  </si>
  <si>
    <t>C3EXT-1010</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</si>
  <si>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AÑOS.RANGO 0 – 1000 kg/cm2</t>
  </si>
  <si>
    <t>C3EXT-1011</t>
  </si>
  <si>
    <t>SUMINISTRO, CARGA, ACARREO, DESCARGA Y PUESTA EN SITIO COSTA FUERA DE VÁLVULA DE AGUJA TIPO RECTA,  CUERPO DE AC. INOXIDABLE, ESPECIFICACIÓN ASTM A182, GRADO 316, INTERNOS DE AC. INOXIDABLE 316, TUERCA DE EMPAQUE DE AC. INOXIDABLE 316, VÁSTAGO DE AC. INOXIDABLE 316, EMPAQUES DE PTFE, TIPO DE MANDO BARRA DE ACERO INOXIDABLE, DE 3/4" DE DIÁMETRO, EXTREMOS ROSCADOS HEMBRA, CLASE 6000.</t>
  </si>
  <si>
    <t>C3EXT-1012</t>
  </si>
  <si>
    <t>SUMINISTRO, CARGA, ACARREO, DESCARGA Y PUESTA EN SITIO COSTA FUERA DE CONECTOR CODO DE 90° MACHO DE 1/2"Ø NPT x 1/2"  O.D., DE ACERO INOXIDABLE 316L, ALTO SELLO Y DOBLE FÉRULA, ASTM A276/ASME SA479.</t>
  </si>
  <si>
    <t>C3EXT-1013</t>
  </si>
  <si>
    <t>SUMINISTRO, CARGA, ACARREO, DESCARGA Y PUESTA EN SITIO COSTA FUERA DE CINCHO DE ACERO INOXIDABLE FORRADO COLOR NEGRO  DE 5MM DE ANCHO, 500 MM DE LONGITUD</t>
  </si>
  <si>
    <t>C3EXT-1014</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</si>
  <si>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IZQUIERDA EN COLOR BLANCO, FORMA GEOMÉTRICA; RECTANGULAR. TEXTO; " RUTA DE EVACUACIÓN" Y FONDO DE COLOR VERDE, FOTOLUMINISCENTE.</t>
  </si>
  <si>
    <t>C3EXT-1015</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</si>
  <si>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DERECHA EN COLOR BLANCO, FORMA GEOMÉTRICA; RECTANGULAR. TEXTO; " RUTA DE EVACIOCIÓN" Y FONDO DE COLOR VERDE, FOTOLUMINISCENTE.</t>
  </si>
  <si>
    <t>C3EXT-1016</t>
  </si>
  <si>
    <t>SUMINISTRO, CARGA, ACARREO, DESCARGA Y PUESTA EN SITIO COSTA FUERA DE VALVULA DE BOLA DE 3 VIAS, 6000# DE 1/4" DE DIAMETRO EXTREMOS ROSCADOS NPT HEMBRA CUERPO, VASTAGO Y ASIENTO DE ACERO INOXIDABLE 316.</t>
  </si>
  <si>
    <t>C3EXT-1017</t>
  </si>
  <si>
    <t>SUMINISTRO, CARGA, ACARREO, DESCARGA Y PUESTA EN SITIO COSTA FUERA DE ÁNGULO DE LADOS IGUALES "LI " DE ACERO AL CARBÓN ASTM A-36 DE 1" x 1" x 1/8" DE ESPESOR (1.19 KG/M).</t>
  </si>
  <si>
    <t>C3EXT-1018</t>
  </si>
  <si>
    <t>SERVICIO DE ACTIVIDADES SUBMARINAS COMPRENDIDAS DESDE UN TIRANTE DE AGUA DE 22 METROS HASTA EL N.M.M (NIVEL MEDIO DEL MAR) EN APOYO A LAS ACTIVIDADES DE INSTALACIÓN DE LA ESTRUCTURA ADOSADA, CON CLAVE DE IDENTIFICACION "YAXCHE-C", INSTALADA EN LA SONDA DE CAMPECHE, EN LAS COORDENADAS UTM WGS84 X=472,355.00 Y Y=2,046,080.33 ORIENTACION= NOROESTE, TIRANTE DE DISEÑO= 22.00M, INCLUYE: ACTIVIDADES DE REVISIÓN DEL LECHO MARINO PREVIO A LA ALINEACIÓN Y ASENTAMIENTO DE LA SUBESTRUCTURA, VERIFICACIÓN EN POSICIÓN FINAL, RETIRO DE EQUIPOS DE GEOPOSICIONAMIENTO Y ARREGLOS DE IZAJE, MONITOREO DURANTE LA INSTALACION DE LA SUBESTRUCTURA, APOYO EN ACTIVIDADES DE INYECCIÓN DE GROUT MEDIANTE CONEXIÓN DE MANGUERAS EN EL NIVEL (-)14.056 Y VERIFICACIÓN DE DESFOGUE EN NIVEL (-)18.130 Y (-)23.200, MANIOBRAS DE ALINEACION Y ASEGURAMIENTO, INCLUYE: SUPERINTENDENTES DE BUCEO, SUPERVISORES DE BUCEO, BUZOS ESPECIALISTAS, PERSONAL TECNICO ELECTRICO, MECÁNICO, ELECTRÓNICO Y CADISTA, 2 CAMARAS DE DESCOMPRESIÓN, GASES MEDICINALES, MOVILIZACIÓN, DESMOVILIZACIÓN DE PERSONAL DESDE SU LUGAR DE ORIGEN AL MUELLE DE EMBARQUE, PRUEBAS OPERACIONALES DE LOS EQUIPOS COSTA AFUERA, TOMA DE VIDEO, EDICION Y ENTREGA DE REPORTES FINAL, TIEMPO EN ESPERA POR CONDICIONES METEREOLOGICAS ADVERSOS, PAROS OPERATIVOS.</t>
  </si>
  <si>
    <t>C3EXT-1019</t>
  </si>
  <si>
    <t>SERVICIO DE ESTABILIZADO ESTRUCTURAL MEDIANTE SUMINISTRO E INYECCION DE GROUT EN EL ESPACIO ANULAR DE LAS COLUMNAS DE LA PRIMERA Y SEGUNDA SECCION DE LA SUBESTRUCTURA, 4.26 M³ EN CADA UNA DE LAS 2 COLUMNAS PARA UN TOTAL DE 8.52 M³ Y 34.264 M³ DE LOS ELEMENTOS EXISTENTES REQUERIENDO UN VOLUMEN DE 42.748 M³ DE GROUT SUBMARINO HPC, BASE DE CEMENTO PORTLAND (API CLASE G 350 kg/cm²) ALTA RESISTENCIA A LOS SULFATOS, SIN ADITIVOS, CON UNA DENSIDAD PROMEDIO DE LA LECHADA DE 2300 KG/M3 Y CON CARACTERISTICAS DE RESISTENCIA A LA COMPRESIÓN REQUERIDA POSTERIOR A LA INYECCION DE 35 MPA A LAS 24 HORAS, DE 55 MPA A LAS 3 DÍAS DE 60 MPA A LOS 7 DÍAS Y DE 80 MPA A LOS 28 DÍAS, LA INYECCION DEL GROUT SE REALIZARA EN CADA UNA DE LAS DOS COLUMNAS MEDIANTE BOMBEO CONTROLADO HACIA EL ESPACIO ANULAR EXISTENTE ENTRE COLUMNA DE 52" DIAM. CON LA COLUMNA DE 42" DIAM. DE FALDONES Y DE LOS ELEMENTOS EXISTENTES DE OC- 20" DIAM. Y 24" DIAM.  CON CLAVE DE IDENTIFICACION "YAXCHE-C", INSTALADA EN LA SONDA DE CAMPECHE, EN LAS COORDENADAS UTM WGS84 X=472,355.00 Y Y=2,046,080.33 ORIENTACION= NOROESTE, TIRANTE DE DISEÑO= 23.20M,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OPERACIONEALES DE LOS EQUIPOS COSTA AFUERA, MOVILIZACION, DESMOVILIZACION DE PERSONAL, TIEMPO EN ESPERA POR CONDICIONES METEREOLOGICAS ADVERSAS O PAROS OPERATIVOS.</t>
  </si>
  <si>
    <t>C3EXT-1020</t>
  </si>
  <si>
    <t>SERVICIO DE GEOPOSICIONAMIENTO SUBMARINO DURANTE LAS ACTIVIDADES DE INSTALACION DE LA ESTRUCTURA ADOSADA, CON  CON CLAVE DE IDENTIFICACION "YAXCHE-C", INSTALADA EN LA SONDA DE CAMPECHE, EN LAS COORDENADAS UTM WGS84 X=472,355.00 Y Y=2,046,080.33 ORIENTACION= NOROESTE, TIRANTE DE DISEÑO= 22.00M, INCLUYE TRABAJOS PREVIOS DE VERIFICACION DE COORDENADAS Y ORIENTACION DE TEMPLETE MARINO, TOMAS DE DIMENCIONAMIENTO CON EQUIPOS ESTACION TOTAL, MEDICION CON SONAR DE BARRIDO CIRCULAR, METROLOGIA SATELITAL CON APOYO DE EQUIPO POSICIONAMIENTO DGPS/GNSS ATLAS LINK CON SEÑAL DIFERENCIAL DE PRECISIÓN 10CM Y RESPALDO DE ANTEMAN GNSS V200 POSITION &amp; HEADING PRECISIÓN 50 CM, SISTEMA DE POSICIONAMIENTO SUBMARINO USBL MINI RANGER 2 SONARDYNE, BEACONS SONARDYNE 1K WSM6. LOS EQUIPOS DEBEN SER OPERADOS POR PERSONAL SURVEY ESPECIALISTA EN GEOPOSICIONAMIENTO MARINOS CON SOFTWARE ESPECIALIZADO, REPORTE FOTOGRAFICO, MOVILIZACION, INSTALACION, CALIBRACION Y PRUEBAS DE LOS EQUIPOS COSTA AFUERA, MOVILIZACION, DESMOVILIZACION DE PERSONAL, TIEMPO EN ESPERA POR CONDICIONES METEREOLOGICAS ADVERSAS O PAROS OPERATIVOS.</t>
  </si>
  <si>
    <t>C3EXT-1021</t>
  </si>
  <si>
    <t>SERVICIO DE VERIFICACION DE NIVELACION DE LA SUBESTRUCTURA DURANTE LAS ACTIVIDADES DE INSTALACION DE LA ESTRUCTURA ADOSADA CON CLAVE DE IDENTIFICACION "YAXCHE-C", INSTALADA EN LA SONDA DE CAMPECHE, EN LAS COORDENADAS UTM WGS84 X=472,355.00 Y Y=2,046,080.33 ORIENTACION= NOROESTE, INCLUYE TRABAJOS PREVIOS CON ESTACIÓN TOTAL SOKKIA ANTENA GPS - RTK, PRISMAS BASTONES. LOS EQUIPOS DEBEN SER OPERADOS POR PERSONAL SURVEY ESPECIALISTA MARINOS EN TOPOGRAFICA CON SOFTWARE ESPECIALIZADO, REPORTE FOTOGRAFICO, MOVILIZACION, CALIBRACION Y PRUEBAS DE LOS EQUIPOS COSTA AFUERA, MOVILIZACION DE PERSONAL, TIEMPO EN ESPERA POR CONDICIONES METEREOLOGICAS ADVERSAS O PAROS OPERATIVOS.</t>
  </si>
  <si>
    <t>C3EXT-1022</t>
  </si>
  <si>
    <t>SERVICIO DE INSPECCION DE GARANTIA MARINA (WARRANTY SURVEYOR) FASE INSTALACIÓN: RECEPCIÓN DE CHALAN DE CARGA CON SUBESTRUCTURA, LIBERACIÓN,  DE SEGUROS MARINOS, IZAJE E INSTALACION DE SUBESTRUCTURA Y MISCELANEOS Y ENTREGA FINAL.</t>
  </si>
  <si>
    <t>C3EXT-1023</t>
  </si>
  <si>
    <t>HINCADO DE PILOTES (INCLUYE: NIVELACION DE LA SUBESTRUCTURA DE ACUERDO AL PROYECTO&amp;  TOLERANCIAS DE NIVELACIÓN FINAL DE LA SUBESTRUCTURA SE DEBE CONSIDERAR LA TOLERANCIA MÁXIMA DE 101.6 MM (4 IN) VERTICALES POR CADA 30.5 M (100 FT) HORIZONTALES, PRUEBAS DE ULTRASONIDO EN JUNTAS, INSTALACION DE CORONAS Y CEMENTADO DE PILOTES).</t>
  </si>
  <si>
    <t>C3EXT-1024</t>
  </si>
  <si>
    <t>VERIFICACIÓN DE ORIENTACIÓN DE ABRAZADERAS EN ESTRUCTURA EXISTENTE (PIERNAS) CON PERSONAL DE BUCEO Y EQUIPOS DE GEOPOSICIONAMIENTO.</t>
  </si>
  <si>
    <t>C3EXT-1025</t>
  </si>
  <si>
    <t>SERVICIO DE LAVADO Y DRENADO (PRUEBA HIDRAULICA Y LIMPIEZA INTERIOR)  DE ELEMENTOS ESTRUCTURALES EXISTENTES EN PLATAFORMA YAXCHE-C (OC-20" DIAM. Y 24" DIAM.)</t>
  </si>
  <si>
    <t>C3EXT-1026</t>
  </si>
  <si>
    <t>SUMINISTRO, PRUEBA HIDROSTÁTICA, CARGA, ACARREO, DESCARGA Y PUESTA EN SITIO COSTA FUERA DE VÁLVULA DE BOLA DE 2" DIAMETRO CLASE 800# EXTREMOS ROSCADOS. PASO COMPLETO 1/4 DE VUELTA ASTM A-105.</t>
  </si>
  <si>
    <t>C3EXT-1027</t>
  </si>
  <si>
    <t>SUMINISTRO, CARGA, ACARREO, DESCARGA Y PUESTA EN SITIO COSTA FUERA DE ADAPTADOR CON CUERDA HEMBRA 2” DIAMETRO TIPO ENGER CRA</t>
  </si>
  <si>
    <t>C3EXT-1028</t>
  </si>
  <si>
    <t>SUMINISTRO, CARGA, ACARREO, DESCARGA Y PUESTA EN SITIO COSTA FUERA DE CODO R.L. 90º DE ACERO AL CARBON ESPECIFICACION ASTM A-234 DE  2" DIAMETRO, CED. 80</t>
  </si>
  <si>
    <t>C3EXT-1029</t>
  </si>
  <si>
    <t>SUMINISTRO, CARGA, ACARREO, DESCARGA Y PUESTA EN SITIO COSTA FUERA DE CRUZ RECTA DE ACERO AL CARBON ESPECIFICACION ASTM A-234 WPB DE  2" DIAMETRO, CED. 80.</t>
  </si>
  <si>
    <t>C3EXT-1030</t>
  </si>
  <si>
    <t>SUMINISTRO, CARGA, ACARREO, DESCARGA Y PUESTA EN SITIO COSTA FUERA DE TEE RECTA DE ACERO AL CARBON ESPECIFICACION ASTM A-234 WPB 2" DIAMETRO CED. 80</t>
  </si>
  <si>
    <t>C3EXT-1031</t>
  </si>
  <si>
    <t>SUMINISTRO, CARGA, ACARREO, DESCARGA Y PUESTA EN SITIO COSTA FUERA DE ESPÁRRAGO DE ACERO ASTM A 193 Gr.B7 DE 3/4" DIAMETRO x 6" DE LONGITUD CON 4 TUERCAS HEXAGONALES ASTM A 194 Gr. 2H Y 2 ARANDELAS ASTM F 436.</t>
  </si>
  <si>
    <t>C3EXT-1032</t>
  </si>
  <si>
    <t>SUMINISTRO, CARGA, ACARREO, DESCARGA Y PUESTA EN SITIO COSTA FUERA DE ESPÁRRAGO DE ACERO ASTM A 193 Gr.B7 DE 2" DIAMETRO x 11" DE LONGITUD CON 4 TUERCAS HEXAGONALES ASTM A 194 Gr. 2H Y 2 ARANDELAS ASTM F 436.</t>
  </si>
  <si>
    <t>C3EXT-1033</t>
  </si>
  <si>
    <t>SUMINISTRO, CARGA, ACARREO, DESCARGA Y PUESTA EN SITIO COSTA FUERA DE ESPÁRRAGO DE DIAMETRO C=51mm (2'') x 16'' (406mm) DE LONGITUG CON 2 TUERCAS HEXAGONALES Y ROLDANAS.</t>
  </si>
  <si>
    <t>C3EXT-1034</t>
  </si>
  <si>
    <t>SUMINISTRO, CARGA, ACARREO, DESCARGA Y PUESTA EN SITIO COSTA FUERA DE ESPÁRRAGO DE ACERO ASTM A 193 Gr.B7 DE 2" DIAMETRO. x 16" DE LONGITUD. CON 2 TUERCAS HEXAGONALES</t>
  </si>
  <si>
    <t>C3EXT-1035</t>
  </si>
  <si>
    <t>SUMINISTRO, CARGA, ACARREO, DESCARGA Y PUESTA EN SITIO COSTA FUERA DE ESPÁRRAGO DE ACERO ASTM A 193 Gr.B7 DE 2" DIAMETRO x 17" DE LONGITUD CON TUERCA HEXAGONAL ASTM A 194 Gr. 2H TODO CADMINIZADO</t>
  </si>
  <si>
    <t>C3EXT-1036</t>
  </si>
  <si>
    <t>SUMINISTRO, CARGA, ACARREO, DESCARGA Y PUESTA EN SITIO COSTA FUERA DE TORNILLO DE DIAMETRO C=13mm (1/2") x 178 (7") LONGITUD CON TUERCA HEXAGONAL Y ROLDANAS PLANAS</t>
  </si>
  <si>
    <t>C3EXT-1037</t>
  </si>
  <si>
    <t>SUMINISTRO, CARGA, ACARREO, DESCARGA Y PUESTA EN SITIO COSTA FUERA DE TORNILLO DE DIAMETRO C=32mm (1 1/4") x 152 (6") LONGITUD CON TUERCA HEXAGONAL Y ROLDANAS PLANAS.</t>
  </si>
  <si>
    <t>C3EXT-1038</t>
  </si>
  <si>
    <t>SUMINISTRO, CARGA, ACARREO, DESCARGA Y PUESTA EN SITIO COSTA FUERA DE TORNILLO DE DIAMETRO C=35mm (1 3/8") x 102 (4") LONGITUD CON TUERCA HEXAGONAL Y ROLDANAS PLANAS.</t>
  </si>
  <si>
    <t>C3EXT-1039</t>
  </si>
  <si>
    <t>SUMINISTRO, CARGA, ACARREO, DESCARGA Y PUESTA EN SITIO COSTA FUERA DE DE VIGA IR-254 mm x 44.8 kg/m DE ACERO AL CARBON ESPECIFICACION ASTM A-572, Gr. 50.</t>
  </si>
  <si>
    <t>C3EXT-1040</t>
  </si>
  <si>
    <t>SUMINISTRO, CARGA, ACARREO, DESCARGA Y PUESTA EN SITIO COSTA FUERA DE REDONDO OS-31.8 mm (1 1/4") DE ACERO AL CARBON ASTM A-572, Gr. 50.</t>
  </si>
  <si>
    <t>C3EXT-1041</t>
  </si>
  <si>
    <t>SUMINISTRO, CARGA, ACARREO, DESCARGA Y PUESTA EN SITIO COSTA FUERA DE REDONDO OS-76.2 mm (3") DE ACERO AL CARBON ESPECIFICACION ASTM A-572 Gr. 50.</t>
  </si>
  <si>
    <t>C3EXT-1042</t>
  </si>
  <si>
    <t>SUMINISTRO, CARGA, ACARREO, DESCARGA Y PUESTA EN SITIO COSTA FUERA DE COMPUESTO, SELLADOR CHICO A CON  FIBRA CHICO X</t>
  </si>
  <si>
    <t>C3EXT-1043</t>
  </si>
  <si>
    <t>SUMINISTRO, PRUEBA HIDROSTÁTICA, CARGA, ACARREO, DESCARGA Y PUESTA EN SITIO COSTA FUERA DE VÁLVULA DE BOLA TRIM 10 DE 12” DE DIAMETRO NPS (300 DN), CLASE 600, BORE = 11.374”. (DE ACUERDO CON TABLA B.4 DEL ESTANDAR PEMEX-EST-TD-211-2022), CUERPO INTEGRAL SOLDADO DE ACERO AL CARBONO ASTM A105 O ASTM A350 GRLF2,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ISO 15156-1 Y 2, A PRUEBA DE FUEGO CONFORME API RP 6F/API 607, API 6FA, PRUEBAS NO DESTRUCTIVAS CONFORME A ASME SECCIÓN VIII Y IX, ESTAMPADO API SPEC 6D, LOS SELLOS DEBEN CUMPLIR PARA AMBIENTE MARINO Y TEMPERATURA DE OPERACIÓN DE 57.5°, DEBE CUMPLIR PEMEX-EST-TD-211-2022.</t>
  </si>
  <si>
    <t>C3EXT-1044</t>
  </si>
  <si>
    <t>SUMINISTRO, CARGA, ACARREO, DESCARGA Y PUESTA EN SITIO COSTA FUERA DE CONECTOR UNIÓN RECTO DE 1/2" O.D. x 1/2" O.D. DE ACERO INOXIDABLE 316L, ALTO SELLO DE DOBLE FERULA, ASTM A276/ASME SA479</t>
  </si>
  <si>
    <t>C3EXT-1045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</si>
  <si>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1/4" LONGITUD.</t>
  </si>
  <si>
    <t>C3EXT-1046</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</si>
  <si>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2" DE DIAMETRO, DE 1/8" DE ESPESOR.</t>
  </si>
  <si>
    <t>C3EXT-1047</t>
  </si>
  <si>
    <t>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</si>
  <si>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 MARCA HIT, MODELO HB-3.</t>
  </si>
  <si>
    <t>C3EXT-0344</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</si>
  <si>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</si>
  <si>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C3EXT-1049</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</si>
  <si>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</si>
  <si>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C3EXT-1050</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</si>
  <si>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</si>
  <si>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C3EXT-1051</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</si>
  <si>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t>
  </si>
  <si>
    <t>C3EXT-1052</t>
  </si>
  <si>
    <t>SERVICIO DE MANTENIMIENTO GENERAL DE VÁLVULA DE CONTROL DE 6”Ø CLASE 150#RF.  Y SUSTITUCIÓN DE ACTUADOR, SE INCLUYE:</t>
  </si>
  <si>
    <t>C3EXT-1053</t>
  </si>
  <si>
    <t>SUMINISTRO, CARGA, ACARREO, DESCARGA Y PUESTA EN SITIO COSTA FUERA DE SELLO TIPO "EYS" HEMBRA-HEMBRA PARA SELLADO EN POSICION VERTICAL U HORIZONTAL, PARA USO EN AREAS PELIGROSAS, DE ALUMINIO LIBRE DE COBRE CON RECUBRIMIENTO EXTERIOR DE PVC DE 40 MILÉSIMAS DE PULGADA E INTERIOR DE URETANO DE 2 MILÉSIMAS DE PULGADA,  DE 3/4" DIAMETRO (21 mm)</t>
  </si>
  <si>
    <t>C3EXT-1054</t>
  </si>
  <si>
    <t>SUMINISTRO, CARGA, ACARREO, DESCARGA Y PUESTA EN SITIO COSTA FUERA DE ÁNODO DE SACRIFICIO DE ALUMINIO-ZINC-INDIO CON PESO NETO DE 328.85 KG (725 LBS) TIPO “B”, DE ACUERDO CON ISO 15589-3.</t>
  </si>
  <si>
    <t>C3EXT-1055</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</si>
  <si>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12" LONGITUD.</t>
  </si>
  <si>
    <t>C3EXT-1056</t>
  </si>
  <si>
    <t>SUMINISTRO, CARGA, ACARREO, DESCARGA Y PUESTA EN SITIO COSTA FUERA DE ESPÁRRAGO DE ACERO AL CARBONO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ESTANDAR PEMEX-EST-TD-027-2022, DE 1" DE DIÁMETRO X 8 1/2" DE LONGITUD.</t>
  </si>
  <si>
    <t>C3EXT-1057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</si>
  <si>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ESTÁNDAR PEMEX-EST-TD-027-2022, DE 1" DE DIAMETRO X 12 1/4" DE LONGITUD.</t>
  </si>
  <si>
    <t>C3EXT-1058</t>
  </si>
  <si>
    <t>SUMINISTRO, PRUEBA HIDROSTÁTICA, CARGA, ACARREO, DESCARGA Y PUESTA EN SITIO COSTA FUERA DE VÁLVULA DE RETENCIÓN DISCO BIPARTIDO TIPO WAFER, CUERPO DE ACERO AL CARBONO ASTM A216 Gr. WCB, CARA REALZADA (R. F.), ASIENTO SS410 OVERLAY, DISCO ASTM A351 CF8M, RESORTE INCONEL X-600, FLECHA A 276 Gr. 410 PERNO TOPE ASTM A 216 Gr. 410, SOPORTE FLECHA A 76 Gr. 410, RETÉN ASTM A726 Gr. 410 BUJE ASTM A276 Gr. 410, LOS MATERIALES DEBEN CUMPLIR CON ANSI/NACE MR-0175, ISO 15156-1 Y 2, Y EL ESTÁNDAR PEMEX-EST-TD-142-2022, DE 6”Ø NPS (150 DN), CLASE 600.</t>
  </si>
  <si>
    <t>C3EXT-1059</t>
  </si>
  <si>
    <t>SUMINISTRO, CARGA, ACARREO, DESCARGA Y PUESTA EN SITIO COSTA FUERA DE MEDIA CAÑA PARA TUBERÍA DE 1 1/2"Ø, DE 120° X 150 MM DE LONGITUD, DE ELASTÓMERO DE POLIURETANO DE 3/8" DE ESP. DE PARED ADHERIDA AL TUBO.</t>
  </si>
  <si>
    <t>C3EXT-1060</t>
  </si>
  <si>
    <t xml:space="preserve">SUMINISTRO, CARGA, ACARREO, DESCARGA Y PUESTA EN SITIO COSTA FUERA DE ABRAZADERA TIPO “UÑA" DE FUNDICIÓN DE ALUMINIO, SIN RECUBRIMIENTO, PARA TUBERÍA CONDUIT DE 21mm (3/4" DE DIAMETRO). </t>
  </si>
  <si>
    <t>C3EXT-1061</t>
  </si>
  <si>
    <t>SUMINISTRO, CARGA, ACARREO, DESCARGA Y PUESTA EN SITIO COSTA FUERA DE ABRAZADERA TIPO "U" PARA TUBERIA DE 1 1/2" DE DIÁMETRO CON VARILLA DE 3/8" DE DIÁMETRO DE ACERO GALVANIZADOASTM A-36, CON TUERCA Y CONTRATUERCA Y ROLDANA DE PRESIÓN.</t>
  </si>
  <si>
    <t>C3EXT-1062</t>
  </si>
  <si>
    <t>SUMINISTRO, CARGA, ACARREO, DESCARGA Y PUESTA EN SITIO COSTA FUERA DE ZAPATA TERMINAL TIPO “YAV” DE COBRE ELECTROLÍTICO ESTAÑADO, DE CAÑÓN ESTANDAR, UNA PERFORACIÓN, PARA CABLE CAL. 2 AWG, CAT. YAV2C-RS.</t>
  </si>
  <si>
    <t>C3EXT-1063</t>
  </si>
  <si>
    <t>SUMINISTRO, CARGA, ACARREO, DESCARGA Y PUESTA EN SITIO COSTA FUERA DE COPLE FLEXIBLE DE 3/4'' DE DIAMETRO X  10'' DE LONGITUD, SERIE ECGJH CON RECUBRIMIENTO EXTERIOR DE PVC PARA AREAS PELIGROSAS.</t>
  </si>
  <si>
    <t>C3EXT-1064</t>
  </si>
  <si>
    <t>SUMINISTRO, CARGA, ACARREO, DESCARGA Y PUESTA EN SITIO COSTA FUERA DE REFLECTOR LED SERIE Champ FMVA, 84 W,  220 VCA, 60 HZ., 11000 LÚMENES,  BLANCO FRÍO, ÓPTICA 7x6, MODELO FMVA-11-UNV1, CUBIERTA DE ALUMINIO FUNDIDO, CON LENTE DE VIDRIO RESISTENTE AL CALOR Y A LOS IMPACTOS. CLASE I, DIVISIÓN 2, MONTAJE EN COLUMNA. INCLUYE SOPORTE TIPO MÉNSULA</t>
  </si>
  <si>
    <t>C3EXT-1065</t>
  </si>
  <si>
    <t>SUMINISTRO, CARGA, ACARREO, DESCARGA Y PUESTA EN SITIO COSTA FUERA DE TORNILLO DE ACERO INOXIDABLE 304 DE 9/16" DE DIAMETRO X  2" DE LONGITUD INCLUYE TUERCA Y ARANDELA DE PRESIÓN.</t>
  </si>
  <si>
    <t>C3EXT-1066</t>
  </si>
  <si>
    <t>SUMINISTRO, CARGA, ACARREO, DESCARGA Y PUESTA EN SITIO COSTA FUERA DE CABLE PAR TRENZADO DE COBRE SOLIDO CALIBRE 16 AWG, PARA SISTEMA DE ALARMA DE FUEGO DIRECCIONABLE, AISLAMIENTO DE PVC TENSIÓN MÁXIMA DE OPERACIÓN 600 VCA, TEMPERATURA DE OPERACIÓN 105ºC, COLOR ROJO Y NEGRO.</t>
  </si>
  <si>
    <t>C3EXT-1067</t>
  </si>
  <si>
    <t>SUMINISTRO, CARGA, ACARREO, DESCARGA Y PUESTA EN SITIO COSTA FUERA DE CABLE UTP, PARA LA SEÑAL DE COMUNICACIÓN DEL GATEWAY Y EL SERVIDOR COMUNICACIÓN APROPIAO PARA PROTOCOLO DE COMUNICACIÓN ETHERNET TCP/IP, PAR TRENZADO CON PANTALLA, (F/UTP), 4 PARES, CAL. 23 AWG, CON CUBIERTA DE PVC, CAT. 6A.</t>
  </si>
  <si>
    <t>C3EXT-1068</t>
  </si>
  <si>
    <t>SUMINISTRO, CARGA, ACARREO, DESCARGA Y PUESTA EN SITIO COSTA FUERA DE CHAROLA TIPO ESCALERA A BASE DE FIBRA DE VIDRIO DE 228 mm (9") DE ANCHO, 101 mm (4") DE PERALTE Y 305 mm (12") ENTRE ESPACIOS COLOR GRIS CON RESINA (POLIESTER) TIPO RETARDANTE A FLAMAS, ASTM-E84 CLASE 1 - UL94 VO. EN TRAMOS RECTOS DE 6.1 METROS.</t>
  </si>
  <si>
    <t>C3EXT-1069</t>
  </si>
  <si>
    <t>SUMINISTRO, CARGA, ACARREO, DESCARGA Y PUESTA EN SITIO COSTA FUERA DE  (CHAROLA), DE FIBRA DE VIDRIO PARA CABLES, TIPO ESCALERA, TRAMO RECTO DE 3.05 M DE LONGITUD, DE 76.20 CM (30") DE ANCHO, ESPACIAMIENTO ENTRE TRAVESAÑOS 30.48 MM. (12"), 4" DE PERALTE ÚTIL.</t>
  </si>
  <si>
    <t>C3EXT-1070</t>
  </si>
  <si>
    <t>SUMINISTRO, CARGA, ACARREO, DESCARGA Y PUESTA EN SITIO COSTA FUERA DE TE HORIZONTAL, CON RADIO DE 305 mm (12") TIPO ESCALERA A BASE DE FIBRA DE VIDRIO DE 228mm (9") DE ANCHO, 101mm (4") DE ALTURA COLOR GRIS CON RESINA (POLIESTER) TIPO RETARDANTE A FLAMAS, ASTM-E84 CLASE 1 - UL94 VO</t>
  </si>
  <si>
    <t>C3EXT-1071</t>
  </si>
  <si>
    <t>SUMINISTRO, CARGA, ACARREO, DESCARGA Y PUESTA EN SITIO COSTA FUERA DE CURVA DE 90° HORIZONTAL, CON RADIO DE 305 mm (12") TIPO ESCALERA A BASE DE FIBRA DE VIDRIO DE 228mm (9") DE ANCHO, 101mm (4") DE ALTURA COLOR GRIS CON RESINA (POLIESTER) TIPO RETARDANTE A FLAMAS, ASTM-E84 CLASE 1 - UL94 VO.</t>
  </si>
  <si>
    <t>C3EXT-1072</t>
  </si>
  <si>
    <t>SUMINISTRO, CARGA, ACARREO, DESCARGA Y PUESTA EN SITIO COSTA FUERA DE CURVA DE 90° VERTICAL INTERIOR, CON RADIO DE 305 mm (12") TIPO ESCALERA A BASE DE FIBRA DE VIDRIO DE 228mm (9") DE ANCHO, 101mm (4") DE ALTURA COLOR GRIS CON RESINA (POLIESTER) TIPO RETARDANTE A FLAMAS, ASTM-E84 CLASE 1 - UL94 VO.</t>
  </si>
  <si>
    <t>C3EXT-1073</t>
  </si>
  <si>
    <t>SUMINISTRO, CARGA, ACARREO, DESCARGA Y PUESTA EN SITIO COSTA FUERA DE CURVA DE 90° VERTICAL EXTERIOR, CON RADIO DE 305 mm (12") TIPO ESCALERA A BASE DE FIBRA DE VIDRIO DE 228mm (9") DE ANCHO, 101mm (4") DE ALTURA COLOR GRIS CON RESINA (POLIESTER) TIPO RETARDANTE A FLAMAS, ASTM-E84 CLASE 1 - UL94 VO.</t>
  </si>
  <si>
    <t>C3EXT-1074</t>
  </si>
  <si>
    <t>SUMINISTRO, CARGA, ACARREO, DESCARGA Y PUESTA EN SITIO COSTA FUERA DE CURVA DE 45° VERTICAL INTERIOR, CON RADIO DE 305 mm (12") TIPO ESCALERA A BASE DE FIBRA DE VIDRIO DE 228mm (9") DE ANCHO, 101mm (4") DE ALTURA COLOR GRIS CON RESINA (POLIESTER) TIPO RETARDANTE A FLAMAS, ASTM-E84 CLASE 1 - UL94 VO.</t>
  </si>
  <si>
    <t>C3EXT-1075</t>
  </si>
  <si>
    <t>SUMINISTRO, CARGA, ACARREO, DESCARGA Y PUESTA EN SITIO COSTA FUERA DE CURVA DE 45° VERTICAL EXTERIOR, CON RADIO DE 305 mm (12") TIPO ESCALERA A BASE DE FIBRA DE VIDRIO DE 228mm (9") DE ANCHO, 101mm (4") DE ALTURA COLOR GRIS CON RESINA (POLIESTER) TIPO RETARDANTE A FLAMAS, ASTM-E84 CLASE 1 - UL94 VO.</t>
  </si>
  <si>
    <t>C3EXT-1076</t>
  </si>
  <si>
    <t>SUMINISTRO, CARGA, ACARREO, DESCARGA Y PUESTA EN SITIO COSTA FUERA DE CURVA 90°  TIPO HORIZONTAL AJUSTABLE, DE 76.20 CM (30") DE ANCHO, 4" DE PERALTE ÚTIL, PARA CHAROLA DE FIBRA DE VIDRIO.</t>
  </si>
  <si>
    <t>C3EXT-1077</t>
  </si>
  <si>
    <t>SUMINISTRO, CARGA, ACARREO, DESCARGA Y PUESTA EN SITIO COSTA FUERA DE BOQUILLA DE ASPERSIÓN, CONEXIÓN DE 25 mm (1"Ø) ROSCA NPTM. FLUJO DE 56.53 GPM (214 lpm) @ 72.52 PSIG DE PRESIÓN, ÁNGULO DE ASPERSIÓN DE 120°, CONO LLENO, FABRICADO EN BRONCE ASTM B 61 ALEACIÓN UNS C92200.</t>
  </si>
  <si>
    <t>C3EXT-1078</t>
  </si>
  <si>
    <t>SUMINISTRO, CARGA, ACARREO, DESCARGA Y PUESTA EN SITIO COSTA FUERA DE MÓDULO DE CONTROL, DIMENSIONES DE ACUERDO AL FABRICANTE, ACCESO; FRONTAL P/FÁCIL INTERCAMBIO.INDICADORES:  DE PRESIÓN LLENOS DE GLICERINA, ESCALA DUAL PSI / KG/CM2, CON UN RANGO DE OPERACIÓN DEL 50% DE LA ESCALA TOTAL, VÁLVULAS DE CONTROL DE ACCESO FRONTAL, UN JUEGO DE SENSORES DE PRESIÓN PSH/L CON ELEMENTO SENSOR TIPO PISTÓN DE FÁCIL MANTENIMIENTO PARA EL MONITOREO DE LA BAJANTE DEL POZO, CUERPO DE ACERO INOXIDABLE 316 Y MATERIAL INTERNO DE ACUERDO A LOS REQUERIMIENTOS DEL ESTÁNDAR ISO15156/NACE MR0175 (ÚLTIMA EDICIÓN), CON ESCALA DE GRADUACIÓN DEL PUNTO DE AJUSTE PARA ALTA Y BAJA PRESIÓN. INDICADORES DE PRESIÓN HIDRÁULICA PARA VÁLVULAS: SSSV, WV-A, WV-A/B. CONTROLES:  VÁLVULAS DE CONTROL DE ACCESO FRONTAL.VÁLVULAS APERTURA/CIERRE PARA: SSSV, SSV, WV-A/B. VÁLVULA DE BOLA TRES VÍAS PARA PRUEBA DE INTERRUPTORES DE PRESIÓN DE ACUERDO CON ESPECIFICACIÓN Y HOJA DE DATOS: EPI-811.026-PP-AYATSIL-B-P-007, HD-811.026-PP-AYATSIL-B-P-007. IDENTIFICACIÓN: TC-1904 (TABLERO DE SEGURIDAD Y CONTROL DE POZOS EXISTENTE).</t>
  </si>
  <si>
    <t>C3EXT-1079</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</si>
  <si>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CORROSIVO MARINO. LA CONEXIÓN A PROCESO DE LOS INSTRUMENTOS TRANSMISORES DE PRESIÓN DEBE SER DE 12,5 MM (½ PULGADA) NPT. DEBERA CONTAR CON SELLO TIPO DIAFRAGMA, CON CONEXIONES A PROCESO E INSTRUMENTO DE 13mm (½”)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EPI-811.026-PP-AYATSIL-B-P-003, HD-811.026-PP-AYATSIL-B-P-003, RANGO  0 – 42 kg/cm2. IDINTIFICACIÓN: PIT-1600A, PIT-1600B,  PIT-1600D, PIT-1600E,  PIT-WV-1600A, PIT-WV-1600B, PIT-SSV-1600.PIT-SSSV-1600.</t>
  </si>
  <si>
    <t>C3EXT-1080</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</si>
  <si>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CON UN RANGO DE 0-200 ° C, DE ACUERDO CON: EPI-811.026-PP-AYATSIL-B-P-004 Y HD-811.026-PP-AYATSIL-B-P-004.
 TAG: TIT-1600A.</t>
  </si>
  <si>
    <t>C3EXT-1081</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</si>
  <si>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SELLO QUÍMICO. DE ACUERDO CON ESPECIFICACION Y HOJA DE DATOS,  EPI-811.026-PP-AYATSIL-B-P-001, HD-811.026-PP-AYATSIL-B-P-001, RANGO  0 – 42 KG/CM2. TAG: PI-1600A.PI-1600B, PI-1700C, PI-1600D.</t>
  </si>
  <si>
    <t>C3EXT-1082</t>
  </si>
  <si>
    <t>SUMINISTRO, CARGA, ACARREO, DESCARGA Y PUESTA EN SITIO COSTA FUERA DE DETECTOR DE GAS COMBUSTIBLE TIPO CATALÍTICO, CONJUNTO DE TRANSMISOR-SENSOR BASADO EN MICROPROCESADORES, PRE-CALIBRADO EN FABRICA, LAS CUBIERTAS ADECUADAS PARA USO EN AMBIENTE MARINO CORROSIVO NEMA 4X, DEBERÁN ESTAR APROBADAS POR UL Y/O FM Y/O CSA PARA USO EN ÁREAS CLASE 1, DIVISIÓN 1, GRUPOS B, C Y D. TEMPERATURA DE OPERACIÓN DE -40 A +60°C, HUMEDAD RELATIVA DE 0 A 99% (SIN CONDENSACIÓN), ALIMENTACIÓN ELÉCTRICA DE 24 VCD (NOMINAL), RANGO DE OPERACIÓN DE 18 A 30 VCD, SALIDA ANALÓGICA DE 0 A 20 MA, 0-4 MA PARA AUTODIAGNÓSTICOS Y DE 4-20 MA PARA MEDICIÓN, RANGO DE MEDICIÓN DE 0 A 100% LEL, ALAMBRADO A 4 HILOS. CON ALARMAS POR BAJA Y POR ALTA CONCENTRACIÓN DE GAS COMBUSTIBLE. EL SENSOR DE ACERO INOXIDABLE 316. INCLUYE KIT DE CALIBRACIÓN. DEBERÁ TENER UNA PLACA PERMANENTE DE ACERO INOXIDABLE 304 GRABADA A GOLPE (NO SE ACEPTA SUJETA CON ADHESIVOS) CON LA SIGUIENTE INFORMACIÓN: NÚMERO DE IDENTIFICACIÓN, SERVICIO, NOMBRE DE FABRICANTE, SUMINISTRO ELÉCTRICO, SEÑAL DE SALIDA, MODELO, NUMERO DE SERIE Y RANGO DEL INSTRUMENTO, CLASIFICACIÓN DE ÁREA ELÉCTRICA Y NÚMERO DE CERTIFICADO QUE INDIQUE QUE LA UNIDAD HA SIDO APROBADA POR LABORATORIO DE PRUEBA.</t>
  </si>
  <si>
    <t>C3EXT-1083</t>
  </si>
  <si>
    <t>SUMINISTRO, CARGA, ACARREO, DESCARGA Y PUESTA EN SITIO COSTA FUERA DE DETECTOR DE GAS TÓXICO PRINCIPIO DE OPERACIÓN DE CELDA ELECTROQUÍMICA, CONSISTIENDO EN UN CONJUNTO TRANSMISOR-SENSOR, TRANSMISOR BASADO EN MICROPROCESADORES, LAS CUBIERTAS DEBERÁN SER NEMA 4X, ADECUADAS PARA USO EN ÁREAS RIESGOSAS DE AMBIENTE MARINO, USO EN ÁREAS ELÉCTRICAS CLASE I, DIVISIÓN 1, GRUPOS B, C Y D. EL TRANSMISOR DE COMUNICACIÓN DIGITAL DEBE SER DE ACERO INOXIDABLE 316, ALIMENTACIÓN ELÉCTRICA DE 18 A 30 VCC., RANGO DE OPERACIÓN DEL SENSOR 12 A 30 VCD, HUMEDAD RELATIVA DEL TRANSMISOR DE 5% A 95% (SIN CONDENSACIÓN). TEMPERATURA DE OPERACIÓN DEL TRANSMISOR DE -55 °C A +75 °C, HUMEDAD RELATIVA DEL SENSOR CONTINUO: 15 A 90% RH, (SIN CONDENSACIÓN). INTERMITENTE: 0 A 99% DE HUMEDAD RELATIVA SIN CONDENSACIÓN. ALMACENAMIENTO: 15 A 90 % HUMEDAD RELATIVA. SALIDAS: ANÁLOGA DE 0 A 20 MA CON RANGO DE MEDICIÓN DE 4-20 MA Y RANGO DE CORRIENTE DE 0 A 4 MA PARA DIAGNOSTICO, CONEXIÓN ELÉCTRICA DE 3/4" NPT, ALAMBRADO A 4 HILOS. DETECTOR ADECUADO PARA AMBIENTE MARINO CORROSIVO. DE ACUERDO A ETP-210.</t>
  </si>
  <si>
    <t>C3EXT-1084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</si>
  <si>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</si>
  <si>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C3EXT-1085</t>
  </si>
  <si>
    <t>SERVICIO POR PARTE DEL FABRICANTE DEL EQUIPO POR PROYECTO; INTERCONEXIÓN, PRUEBAS Y PUESTA EN OPERACIÓN DEL MÓDULO DE CONTROL DE POZOS EN TABLERO DE CONTROL DE POZOS EXISTENTE TC-1904,</t>
  </si>
  <si>
    <t>C3EXT-1086</t>
  </si>
  <si>
    <t>SERVICIO PARA TRABAJOS ESPECIALIZADOS PARA COMISIONAMIENTO, CONFIGURACIÓN E INTEGRACIÓN DE SEÑALES DE EQUIPOS DETECTORES DE GAS   AL SISTEMA EXISTENTE DEL MODULO PRINCIPAL DEL SISTEMA DE GAS &amp; FUEGO.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</si>
  <si>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C3EXT-1087</t>
  </si>
  <si>
    <t>SERVICIO DE INSPECCION, METROLOGIA Y LIMPIEZA (CRECIMIENTO MARINO, PLACAS Y CORROSION) EN AREAS  DE INSTALACION DE ABRAZADERAS Y TABLEROS PARA ESTRUCTURA ADOSADA EN LA PP-AKAL-TE, INCLUYE METROLOGIA PARA  DIMENSIONAMIENTOS Y VERIFICACION DE OBSTRUCCIONES CON EQUIPOS Y PERSONAL DE BUCEO, MOVILIZACION Y DESMOVILIZACION DE LOS EQUIPOS, TOMAS DE VIDEOS Y ENTREGA DE REPORTE FINAL.</t>
  </si>
  <si>
    <t>C3EXT-1088</t>
  </si>
  <si>
    <t>PP-AKAL-TE</t>
  </si>
  <si>
    <t>SERVICIO DE  INSTALACION Y FIJACION DE TABLEROS ADOSADOS EN  ELEMENTOS ESTRUCTURALES SUBMARINAS EN LA PP-AKAL-TE: PARA ESTRUCTURA ADOSADA CON EQUIPOS Y PERSONAL DE BUCEO, INCLUYE:  MOVILIZACION Y DESMOVILIZACION DE LOS EQUIPOS, TOMAS DE VIDEOS Y ENTREGA DE REPORTE FINAL</t>
  </si>
  <si>
    <t>C3EXT-1089</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</si>
  <si>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10" LONGITUD.</t>
  </si>
  <si>
    <t>C3EXT-1090</t>
  </si>
  <si>
    <t>SUMINISTRO E INYECCIÓN DE GROUT SUBMARINO MEDIANTE BOMBEO DEL GROUT POR MEDIO DE LA MANGUERA FLEXIBLE CONECTADA AL SISTEMA. EL BOMBEO SE REALIZARA A RAZON DE 0.75 hpm (HECTOLITRO POR MINUTO), LA PRESION MAXIMA MEDIDA SOBRE EL BARCO NO DEBERA EXCEDER DE 60 psi. SE EMPLEARA CEMENTO PORTLAND CLASE C. LA DENSIDAD DE LA LECHADA SERA DE 2200 kg/m. SE UTILIZARA ADITIVO ACELERANTE DE RESISTENCIA, LIBRE DE CLORUROS, QUE CUMPLA CON LA NORMA ASTM C 494 TIPO C, PARA ALCANZAR UNA RESISTENCIA MINIMA DE 180 kg/cm A LAS 8 HORAS Y DE 300 kg/cm A LAS 72 HORAS. NO SE EMPLEARA CEMENTO ENDURECIDO O QUE TENGA GRUMOS. NO SE EMPLEARAN ADITIVOS QUE CONTENGAN CLORUROS. COMO BASE SE EMPLEARA AGUA LIBRE DE IMPUREZAS, CON UN CONTENIDO DE CLORURO DE CALCIO NO MAYOR DEL 1% DEL PESO DEL CEMENTO EMPLEADO. LAS PROPORCIONES DE LA MEZCLA SERAN LAS SIGUIENTES: 100 PARTES DE CEMENTO NO MAS DE 40 PARTES DE AGUA. SE EMPLEARA ADITIVO NO METALICO EXPANSOR DE VOLUMEN QUE CUMPLA CON LA ESPECIFICACION PEMEX 4.137.05 "ADITIVOS PARA CONCRETO" Y NMX-C-140-1978 A LAS INSTRUCCIONES DEL FABRICANTE. ANTES DE EFECTUAR CADA UNA DE LAS OPERACIONES DE INYECCION SE DEBERA VERIFICAR LA DENSIDAD, LA VISCOSIDAD Y EL TIEMPO DE BOMBEO DE LA MEZCLA.</t>
  </si>
  <si>
    <t>C3EXT-1091</t>
  </si>
  <si>
    <t>SUMINISTRO, CARGA, ACARREO, DESCARGA Y PUESTA EN SITIO COSTA FUERA DE REDUCCION CONCENTRICA, 10" x 4" DE DIAMETRO, CED. 40, x CED. 80 EXTREMOS BISELADOS ESPECIFICACION ASTM A234 GRADO  WPB,  DIMENSIONES Y REQUERIMIENTOS ASME B16.9.</t>
  </si>
  <si>
    <t>C3EXT-1092</t>
  </si>
  <si>
    <t>CHAC-A</t>
  </si>
  <si>
    <t>SUMINISTRO, CARGA, ACARREO, DESCARGA Y PUESTA EN SITIO COSTA FUERA DE TAPON MACHO CABEZA HEXAGONAL DE ACERO AL CARBON, ESPECIFICACION ASTM A-105, ASME B16.11 ROSCADO DE 1/2" DE DIAMETRO CLASE 3000#.</t>
  </si>
  <si>
    <t>C3EXT-1093</t>
  </si>
  <si>
    <t>UDC NHAEC-CI-001</t>
  </si>
  <si>
    <t>SUMINISTRO, CARGA, ACARREO, DESCARGA Y PUESTA EN SITIO COSTA FUERA DE TAPON MACHO CABEZA HEXAGONAL DE ACERO AL CARBON, ESPECIFICACION ASTM A-105, ASME B16.11 ROSCADO DE 1 1/2" DE DIAMETRO CLASE 3000#</t>
  </si>
  <si>
    <t>C3EXT-1094</t>
  </si>
  <si>
    <t>SUMINISTRO, CARGA, ACARREO, DESCARGA Y PUESTA EN SITIO COSTA FUERA DE ESPÁRRAGO DE ACERO ALEADO CON RECUBRIMIENTO CADMINZADO ESPEFICACIONES DE TUERCA: ASTM A-194-2HM ROSCA ESTANDAR, ESPECIFICACIÓN ASTM A-193 Gr. B7M, CON DOS TUERCAS HEXAGONALES DE 3/4" DE DIÁMETRO x 7 3/4" DE LONGITUD.</t>
  </si>
  <si>
    <t>BME-3801-057-2025</t>
  </si>
  <si>
    <t>C3EXT-1095</t>
  </si>
  <si>
    <t>SUMINISTRO, CARGA, ACARREO, DESCARGA Y PUESTA EN SITIO COSTA FUERA DE ABRAZADERA TIPO "U" DE ACERO AL CARBON ACABADO GALVANIZADO A123 RECUBIERTO DE PVC PARA TUBERIA DE 4" DE DIAMETRO X 3/8" DE ESPESOR USO ESTANDAR CON 2 TUERCAS Y 4 ARANDELAS PLANAS ENCAPSULADAS DE PVC.</t>
  </si>
  <si>
    <t>BME-3801-053-2025</t>
  </si>
  <si>
    <t>C3EXT-1096</t>
  </si>
  <si>
    <t>SUMINISTRO, CARGA, ACARREO, DESCARGA Y PUESTA EN SITIO COSTA FUERA DE EMPAQUE TIPO ESPIROMETALICO,MATERIAL DE ANILLOS Y ENRROLLAMIENTO METALICO CON ANILLO CENTRADOR YANILLO INTERIOR UNS S31600, , RELLENO DE GRAFITO PURO FLEXIBLE Y DIMENSIONES Y REQUERIMIENTO ASME B16.20. 1. DE 18" DE DIAMETRO, CLASE 600, ESPESOR 1/8", CARA RF, B16.5</t>
  </si>
  <si>
    <t>C3EXT-1097</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</si>
  <si>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t>
    </r>
    <r>
      <rPr>
        <b/>
        <sz val="14"/>
        <color theme="1"/>
        <rFont val="Swis721 LtCn BT"/>
        <family val="2"/>
      </rPr>
      <t>DE 1 1/8" DE DIAMETRO X 7 3/4" DE LONGITUD</t>
    </r>
    <r>
      <rPr>
        <sz val="14"/>
        <color theme="1"/>
        <rFont val="Swis721 LtCn BT"/>
        <family val="2"/>
      </rPr>
      <t>.</t>
    </r>
  </si>
  <si>
    <t>C3EXT-1098</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</si>
  <si>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1/8" DE DIAMETRO X 9 1/4" DE LONGITUD.</t>
    </r>
  </si>
  <si>
    <t>C3EXT-1099</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</si>
  <si>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11 1/4" DE LONGITUD.</t>
    </r>
  </si>
  <si>
    <t>C3EXT-1100</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</si>
  <si>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12 1/2" DE LONGITUD.</t>
    </r>
  </si>
  <si>
    <t>C3EXT-1101</t>
  </si>
  <si>
    <r>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t>
    </r>
    <r>
      <rPr>
        <b/>
        <sz val="14"/>
        <color theme="1"/>
        <rFont val="Swis721 LtCn BT"/>
        <family val="2"/>
      </rPr>
      <t xml:space="preserve"> 1 5/8" DE DIAMETRO X 13" DE LONGITUD.</t>
    </r>
  </si>
  <si>
    <t>C3EXT-1102</t>
  </si>
  <si>
    <r>
      <t xml:space="preserve">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7/8" DE DIAMETRO X 14 3/4" DE LONGITUD.</t>
    </r>
  </si>
  <si>
    <t>C3EXT-1103</t>
  </si>
  <si>
    <r>
      <t xml:space="preserve">SUMINISTRO, CARGA, ACARREO, DESCARGA Y PUESTA EN SITIO COSTA FUERA DE TAPON MACHO CABEZA HEXAGONAL </t>
    </r>
    <r>
      <rPr>
        <b/>
        <sz val="11"/>
        <color theme="1"/>
        <rFont val="Aptos Narrow"/>
        <family val="2"/>
        <scheme val="minor"/>
      </rPr>
      <t xml:space="preserve">3/4" DE  DIAMETRO, 6000# </t>
    </r>
    <r>
      <rPr>
        <sz val="11"/>
        <color theme="1"/>
        <rFont val="Aptos Narrow"/>
        <family val="2"/>
        <scheme val="minor"/>
      </rPr>
      <t>EXTREMO ROSCADO ACERO AL CARBON ASTM A-105  ASME B16.11, NACE MR-0175/ISO 15156.</t>
    </r>
  </si>
  <si>
    <t>C3EXT-1104</t>
  </si>
  <si>
    <t>SUMINISTRO, CARGA, ACARREO, DESCARGA Y PUESTA EN SITIO COSTA FUERA DE TUBERÍA DE 3/4" DE DIÁMETRO, CEDULA 160, DE ACERO AL CARBONO, EXTREMOS PLANOS, ESPECIFICACIÓN ASTM A 106 GR. B, SIN COSTURA, DIMENSIONES ASME B36.10.</t>
  </si>
  <si>
    <t>C3EXT-1105</t>
  </si>
  <si>
    <t>SUMINISTRO, PRUEBA HIDROSTÁTICA, CARGA, ACARREO, DESCARGA Y PUESTA EN SITIO COSTA FUERA DE VÁLVULA DE BOLA FLOTANTE 1/2" DE DIÁMETRO CLASE 800 EXTREMOS ROSCADOS CUERPO ASTM A105 Y SOLDADO PASO COMPLETO BOLA UNS S31600 VÁSTAGO UNSS316000 ANILLOS DE ASIENTO DE RPTFE SELLOS RPTFE OPERADA CON PALANCA DISEÑO Y FABRICACIÓN ASME B16.34 API 608 INSPECCIÓN Y PRUEBAS API 598 PRUEBA DE FUEGO API 607/ISO 10497 PARA SERVICIO AMARGO NACE NACE MR-0175/ISO 15156.</t>
  </si>
  <si>
    <t>C3EXT-1106</t>
  </si>
  <si>
    <r>
      <rPr>
        <sz val="11"/>
        <color theme="8" tint="-0.499984740745262"/>
        <rFont val="Calibri"/>
        <family val="2"/>
      </rPr>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r>
  </si>
  <si>
    <t>C3EXT-1107</t>
  </si>
  <si>
    <r>
      <rPr>
        <sz val="11"/>
        <color theme="8" tint="-0.499984740745262"/>
        <rFont val="Calibri"/>
        <family val="2"/>
      </rPr>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r>
  </si>
  <si>
    <t>C3EXT-1108</t>
  </si>
  <si>
    <t>REVISION, EVALUACION Y DIAGNOSTICO DE LOS SISTEMAS DE: PARO POR EMERGENCIA, CONTROL DISTRIBUIDO Y GAS Y FUEGO, PARA LA INTEGRAR LAS SEÑALES DEL SLUG CATCHER TAG: FA-1102H, EN LA PLATAFORMA NOHOCH. INCLUYE MANO DE OBRA ESPECIALIZADA.</t>
  </si>
  <si>
    <t>C3EXT-1109</t>
  </si>
  <si>
    <t>SUMINISTRO, CARGA, ACARREO, DESCARGA Y PUESTA EN SITIO COSTA FUERA DE TUBO DE ACERO AL CARBÓN, SIN RECUBRIMIENTO,  SIN COSTURA, EXTREMOS: BISELADOS, ESPECIFICACION: ASTM A106, GRADO: B, ASME: B36.10M, ANSI/NACE MR0175/ISO 15156, DE 3" DE DIAMETRO, CÉDULA: 80 (0.300").</t>
  </si>
  <si>
    <t>C3EXT-1110</t>
  </si>
  <si>
    <t>SUMINISTRO, CARGA, ACARREO, DESCARGA Y PUESTA EN SITIO COSTA FUERA DE TUBO ACERO AL CARBON ESPECIFICACIONES ASTM A106 Gr.B/API-5L, Gr.B/A53B, EXTREMOS BISELADOS. DE 20" DE DIAMETRO, CÉDULA: 0.375".</t>
  </si>
  <si>
    <t>C3EXT-1111</t>
  </si>
  <si>
    <t>SUMINISTRO, CARGA, ACARREO, DESCARGA Y PUESTA EN SITIO COSTA FUERA DE TUBO ACERO AL CARBON ESPECIFICACIONES ASTM A106, Gr.B. DE 20" DE DIAMETRO, CÉDULA: 40.</t>
  </si>
  <si>
    <t>C3EXT-1112</t>
  </si>
  <si>
    <t>SUMINISTRO, CARGA, ACARREO, DESCARGA Y PUESTA EN SITIO COSTA FUERA DE BRIDA FORJADA DE ACERO AL CARBON, SOCKET-WELD, ASTM A-350 GR. LF2, ASME B16.5, DE 2" DE DIAMETRO, CLASE 150# R.F.</t>
  </si>
  <si>
    <t>C3EXT-1113</t>
  </si>
  <si>
    <t>SUMINISTRO, CARGA, ACARREO, DESCARGA Y PUESTA EN SITIO COSTA FUERA DE BRIDA FORJADA DE ACERO AL CARBON FORJADO TIPO CUELLO SOLDABLE (W.N.), ESPECIFICACION ASTM-A-350 GR. LF2, ASME B16.5, DE 4" DE DIAMETRO, CLASE 300, CEDULA 80.</t>
  </si>
  <si>
    <t>C3EXT-1114</t>
  </si>
  <si>
    <t>SUMINISTRO, CARGA, ACARREO, DESCARGA Y PUESTA EN SITIO COSTA FUERA DE BRIDA DE ACERO AL CARBON TIPO: CUELLO SOLDABLE (-WN), CARA REALZADA (-RF), ESPECIFICACION: ASTM A-105, ASME: B16.5 ANSI/NACE MR0175/ISO 15156-2, DE 4" DE DIAMETRO NOMINAL, 0.237" DE ESPESOR, CEDULA (040) STD, CLASE: 300 LIBRAS, BORE: 4.026".</t>
  </si>
  <si>
    <t>C3EXT-1115</t>
  </si>
  <si>
    <t>SUMINISTRO, CARGA, ACARREO, DESCARGA Y PUESTA EN SITIO COSTA FUERA DE BRIDA FORJADA DE ACERO AL CARBON FORJADO TIPO CUELLO SOLDABLE (W.N.), ESPECIFICACION ASTM-A-105, ASME B16.5, DE 4" DE DIAMETRO, CLASE 600 R.F., DE CEDULA 80.</t>
  </si>
  <si>
    <t>C3EXT-1116</t>
  </si>
  <si>
    <t>SUMINISTRO, CARGA, ACARREO, DESCARGA Y PUESTA EN SITIO COSTA FUERA DE BRIDA DE ACERO CARBÓN ASTM 105, TIPO: CUELLO SOLDABLE, PRESIÓN DE TRABAJO: 5000 PSI, API6B , ANSI/NACE MR0175/ISO 15156. DE 4 1/16" DE DIAMETRO, BORE  3.826".</t>
  </si>
  <si>
    <t>C3EXT-1117</t>
  </si>
  <si>
    <t>SUMINISTRO, CARGA, ACARREO, DESCARGA Y PUESTA EN SITIO COSTA FUERA DE BRIDA FORJADA DE ACERO AL CARBON FORJADO TIPO CUELLO SOLDABLE (W.N.), ESPECIFICACION ASTM-A-105, ASME B16.5, DE 6" DE DIAMETRO, CLASE 600 R.F., CEDULA 80.</t>
  </si>
  <si>
    <t>C3EXT-1118</t>
  </si>
  <si>
    <t>SUMINISTRO, CARGA, ACARREO, DESCARGA Y PUESTA EN SITIO COSTA FUERA DE BRIDA DE ACERO AL CARBON TIPO CUELLO SOLDABLE (WN), CARA REALZADA (RF), ESPECIFICACION ASTM A105, ASME B16.5, DE 8" DE DIAMETRO, CLASE 600 LIBRAS, CEDULA 80 (0.377") DE ESPESOR, BORE 7.625".</t>
  </si>
  <si>
    <t>C3EXT-1119</t>
  </si>
  <si>
    <t>SUMINISTRO, CARGA, ACARREO, DESCARGA Y PUESTA EN SITIO COSTA FUERA DE BRIDA DE ACERO AL CARBON TIPO: CUELLO SOLDABLE (WN), CARA REALZADA (RF), ESPECIFICACION: ASTM A105, ASME: B16.5, ANSI/NACE MR0175/ISO 15156-2. DE 10" DE DIAMETRO, CLASE: 600 LIBRAS, CEDULA: 80 (0.594") DE ESPESOR, BORE: 9.562".</t>
  </si>
  <si>
    <t>C3EXT-1120</t>
  </si>
  <si>
    <t>SUMINISTRO, CARGA, ACARREO, DESCARGA Y PUESTA EN SITIO COSTA FUERA DE BRIDA DE ACERO AL CARBÓN, TIPO: CIEGA (BL), CARA REALZADA (RF), ESPECIFICACION: ASTM A105, ASME: B16.5, ANSI/NACE MR0175/ISO 15156, DE 3.00" DE DIÁMETRO NOMINAL, CLASE: 600 LIBRAS.</t>
  </si>
  <si>
    <t>C3EXT-1121</t>
  </si>
  <si>
    <t>SUMINISTRO, CARGA, ACARREO, DESCARGA Y PUESTA EN SITIO COSTA FUERA DE BRIDA FORJADA DE ACERO AL CARBON FORJADO TIPO CIEGA, ESPECIFICACION ASTM-A-105, ASME B16.5, DE 4" DE DIAMETRO, CLASE 600 R.F.</t>
  </si>
  <si>
    <t>C3EXT-1122</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</si>
  <si>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</si>
  <si>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C3EXT-1123</t>
  </si>
  <si>
    <t>SUMINISTRO, CARGA, ACARREO, DESCARGA Y PUESTA EN SITIO COSTA FUERA DE CODO DE ACERO AL CARBON DE 90° GRADOS, RADIO LARGO (R.L.) ESPECIFICACIONES ASTM A-234 Gr., WPB, SIN COSTURA (S/C.) EXTREMOS BISELADOS,  20" DE DIAMETRO, CEDULA STD.</t>
  </si>
  <si>
    <t>C3EXT-1124</t>
  </si>
  <si>
    <t>SUMINISTRO, CARGA, ACARREO, DESCARGA Y PUESTA EN SITIO COSTA FUERA DE CODO DE ACERO AL CARBON DE 45 GRADOS, RADIO LARGO, SIN COSTURA, EXTREMOS BISELADOS PARA SOLDAR, ESPECIFICACION ASTM-A-234, GRADO WPB, ASME/ANSI B16.9, DE 6" DE DIAMETRO, DE CEDULA 80.</t>
  </si>
  <si>
    <t>C3EXT-1125</t>
  </si>
  <si>
    <t>SUMINISTRO, CARGA, ACARREO, DESCARGA Y PUESTA EN SITIO COSTA FUERA DE CODO DE ACERO AL CARBÓN DE 45°, SIN COSTURA, EXTREMOS BISELADOS, ASTM A-234, GRADO WPB ASME B16.9, DE 8" DE DIAMETRO, CED. 80.</t>
  </si>
  <si>
    <t>C3EXT-1126</t>
  </si>
  <si>
    <t>SUMINISTRO, CARGA, ACARREO, DESCARGA Y PUESTA EN SITIO COSTA FUERA DE CODO DE ACERO AL CARBÓN DE 45°, RADIO LARGO (R.L.)  ESPECIFICACIONES ASTM A-234 Gr., WPB, SIN COSTURA (S/C.), EXTREMOS BISELADOS, DE 20" DE DIAMETRO, CEDULA STD.</t>
  </si>
  <si>
    <t>C3EXT-1127</t>
  </si>
  <si>
    <t>SUMINISTRO, CARGA, ACARREO, DESCARGA Y PUESTA EN SITIO COSTA FUERA DE TEE RECTA ACERO AL CARBON SOCKET-WELD, ESPECIFICACION ASTM-A-105, DE 2" DE DIAMETRO, 3000# .</t>
  </si>
  <si>
    <t>C3EXT-1128</t>
  </si>
  <si>
    <t>SUMINISTRO, CARGA, ACARREO, DESCARGA Y PUESTA EN SITIO COSTA FUERA DE TEE RECTA DE ACERO AL CARBON SIN COSTURA ESPECIFICACION ASTM A234 Gr WPB, SIN COSTURA (S/C), ASME B16.9, EXTREMOS BISELADOS, DE 8" DE DIAMETRO,  0.500" DE ESPESOR, CEDULA 80.</t>
  </si>
  <si>
    <t>C3EXT-1129</t>
  </si>
  <si>
    <t>SUMINISTRO, CARGA, ACARREO, DESCARGA Y PUESTA EN SITIO COSTA FUERA DE TEE DE ACERO AL CARBÓN TIPO: REDUCCIÓN, EXTREMOS: BISELADOS, ESPECIFICACION: ASTM: A234, GRADO: WPB, ASME: B16.9, ANSI/NACE MR0175/ISO 15156, DE 6.00" DE DIÁMETRO NOMINAL, 0.432" DE ESPESOR, CÉDULA: 80, X 3.00" DE DIÁMETRO NOMINAL, 0.300" DE ESPESOR, CEDULA: 80.</t>
  </si>
  <si>
    <t>C3EXT-1130</t>
  </si>
  <si>
    <t>SUMINISTRO, CARGA, ACARREO, DESCARGA Y PUESTA EN SITIO COSTA FUERA DE REDUCCION CONCENTRICA DE ACERO AL CARBON, EXTREMOS BISELADOS PARA SOLDAR,  ESPECIFICACION ASTM-A-234, GRADO WPB, DE 4"x 2" DE DIAMETRO, CEDULA 80.</t>
  </si>
  <si>
    <t>C3EXT-1131</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</si>
  <si>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4.00" DE DIÁMETRO NOMINAL, 0.237" DE ESPESOR, CÉDULA: STD.</t>
  </si>
  <si>
    <t>C3EXT-1132</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</si>
  <si>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6.00" DE DIÁMETRO NOMINAL, 0.280" DE ESPESOR, CÉDULA: STD.</t>
  </si>
  <si>
    <t>C3EXT-1133</t>
  </si>
  <si>
    <t>SUMINISTRO, CARGA, ACARREO, DESCARGA Y PUESTA EN SITIO COSTA FUERA DE SOCKOLET DE ACERO AL CARBON  CAJA SOLDAR (S.W.) ESPECIFICACION ASTM A105 SP-97, DE 3/4" DE DIAMETRO, 6000#.</t>
  </si>
  <si>
    <t>C3EXT-1134</t>
  </si>
  <si>
    <t>SUMINISTRO, CARGA, ACARREO, DESCARGA Y PUESTA EN SITIO COSTA FUERA DE SOCKOLET DE ACERO CARBON FORJADO,  ESPECIFICACION ASTM A105, MSS SP-97, ANSI/NACE MR0175/ISO 15156.  DE 12 - 6 X 3/4" DE DIAMETRO, 6000#.</t>
  </si>
  <si>
    <t>C3EXT-1135</t>
  </si>
  <si>
    <t>SUMINISTRO, CARGA, ACARREO, DESCARGA Y PUESTA EN SITIO COSTA FUERA DE SOCKOLET DE ACERO AL CARBÓN FORJADO SIN RECUBRIMIENTO, ESPECIFICACION: ASTM: A105, MSS SP-97, ANSI/NACE MR0175/ISO 15156. RANGO: 4"-3.5", DE 2" DE DIÁMETRO NOMINAL, CLASE: 3000 LIBRAS.</t>
  </si>
  <si>
    <t>C3EXT-1136</t>
  </si>
  <si>
    <t>SUMINISTRO, CARGA, ACARREO, DESCARGA Y PUESTA EN SITIO COSTA FUERA DE THREDOLET DE ACERO AL CARBÓN FORJADO, SIN RECUBRIMIENTO, ESPECIFICACION: ASTM: A105,MSS SP-97, ANSI/NACE MR0175/ISO 15156. RANGO: 5.0"-3.00", DE 0.75" DE DIÁMETRO NOMINAL, CLASE: 3000 LIBRAS.</t>
  </si>
  <si>
    <t>C3EXT-1137</t>
  </si>
  <si>
    <t>SUMINISTRO, CARGA, ACARREO, DESCARGA Y PUESTA EN SITIO COSTA FUERA DE THREDOLET DE ACERO AL CARBÓN FORJADO, ESPECIFICACION: ASTM: A105,  ASME: B16.11, ANSI: B16.11, ANSI/NACE MR0175/ISO 15156, RANGO: 10.0"-3.00", DE 0.75" DE DIÁMETRO NOMINAL, CLASE: 3000 LIBRAS.</t>
  </si>
  <si>
    <t>C3EXT-1138</t>
  </si>
  <si>
    <t>SUMINISTRO, CARGA, ACARREO, DESCARGA Y PUESTA EN SITIO COSTA FUERA DE THREDOLET DE ACERO CARBON FORJADO, ESPECIFICACION ASTM A105, MSS SP-97, ANSI/NACE MR0175/ISO 15156, DE 12 - 6 X 3/4" DE DIAMETRO, 3000#.</t>
  </si>
  <si>
    <t>C3EXT-1139</t>
  </si>
  <si>
    <t>SUMINISTRO, CARGA, ACARREO, DESCARGA Y PUESTA EN SITIO COSTA FUERA DE WELDOLET DE ACERO AL CARBON FORJADO, ESPECIFICACION: ASTM: 105, MSS SP-97 ANSI/NACE MR0175/ISO 15156-2. RANGO: 20.00"-16.00" DE 4.00" DE DIAMETRO NOMINAL, CEDULA: STD.</t>
  </si>
  <si>
    <t>C3EXT-1140</t>
  </si>
  <si>
    <t>SUMINISTRO, CARGA, ACARREO, DESCARGA Y PUESTA EN SITIO COSTA FUERA DE NIPLE DE ACERO AL CARBON ESPECIFICACION ASTM A106 Gr B. ASME B36.10M, DE 1/2" DE DIAMETRO x 4" LONGITUD, CED XXS, EXTREMOS PLANO x ROSCADO.</t>
  </si>
  <si>
    <t>C3EXT-1141</t>
  </si>
  <si>
    <t>SUMINISTRO, CARGA, ACARREO, DESCARGA Y PUESTA EN SITIO COSTA FUERA DE NIPLE DE ACERO AL CARBON ESPECIFICACION ASTM A106 Gr B. ASME B36.10M, DE 1/2" DE DIAMETRO x 4" LONGITUD, CED XXS, EXTREMOS PLANOS.</t>
  </si>
  <si>
    <t>C3EXT-1142</t>
  </si>
  <si>
    <t>SUMINISTRO, CARGA, ACARREO, DESCARGA Y PUESTA EN SITIO COSTA FUERA DE NIPLE DE ACERO AL CARBON SIN COSTURA, ESPECIFICACION ASTM A105, ASME B31.3. DE 3/4" DE DIAMETRO x 3 1/2" DE LONGITUD, CED. 80, EXTREMO PLANO X ROSCADO.</t>
  </si>
  <si>
    <t>C3EXT-1143</t>
  </si>
  <si>
    <t>SUMINISTRO, CARGA, ACARREO, DESCARGA Y PUESTA EN SITIO COSTA FUERA DE NIPLE DE ACERO AL CARBON, ESPECIFICACION ASTM A106 Gr B. ASME B36.10M, DE 3/4" DE DIAMETRO X 4" LONG. CED. XXS, EXTREMOS PLANOS X ROSCADO.</t>
  </si>
  <si>
    <t>C3EXT-1144</t>
  </si>
  <si>
    <t>SUMINISTRO, CARGA, ACARREO, DESCARGA Y PUESTA EN SITIO COSTA FUERA DE NIPLE DE ACERO AL CARBON, ESPECIFICACION ASTM A106 Gr B. ASME B36.10M, DE 3/4" DE DIAMETRO X 4" LONG. CED. XXS, EXTREMOS PLANOS.</t>
  </si>
  <si>
    <t>C3EXT-1145</t>
  </si>
  <si>
    <t>SUMINISTRO, CARGA, ACARREO, DESCARGA Y PUESTA EN SITIO COSTA FUERA DE NIPLE DE ACERO AL CARBON, ESPECIFICACION ASTM A106 Gr B. ASME B36.10M, DE 1" DE DIAMETRO x 4" LONG., CED 160, EXTREMOS PLANOS.</t>
  </si>
  <si>
    <t>C3EXT-1146</t>
  </si>
  <si>
    <t>SUMINISTRO, CARGA, ACARREO, DESCARGA Y PUESTA EN SITIO COSTA FUERA DE NIPLE DE ACERO AL CARBON, ESPECIFICACION ASTM A106 Gr B. ASME B36.10M, DE 1" DE DIAMETRO x 4" LONG. CED XXS, EXTREMOS PLANO x ROSCADO.</t>
  </si>
  <si>
    <t>C3EXT-1147</t>
  </si>
  <si>
    <t>SUMINISTRO, CARGA, ACARREO, DESCARGA Y PUESTA EN SITIO COSTA FUERA DE TAPÓN MACHO ROSCADO DE BARRA SÓLIDA ACERO AL CARBÓN, ASTM A105, ASME B16.11, ANSI/NACE MR0175/ISO 15156.DE 3/4" DE DIÁMETRO, 3000#.</t>
  </si>
  <si>
    <t>C3EXT-1148</t>
  </si>
  <si>
    <t>SUMINISTRO, CARGA, ACARREO, DESCARGA Y PUESTA EN SITIO COSTA FUERA DE TAPON MACHO ROSCADO DE BARRA SÓLIDA ACERO AL CARBÓN, ASTM A105, ASME B16.11, ANSI/NACE MR0175/ISO 15156, DE 3/4" DE DIAMETRO, 6000#.</t>
  </si>
  <si>
    <t>C3EXT-1149</t>
  </si>
  <si>
    <t>SUMINISTRO, CARGA, ACARREO, DESCARGA Y PUESTA EN SITIO COSTA FUERA DE TAPON CACHUCHA HEMBRA ACERO AL CARBÓN, ASTM A105, ASME B16.11, ANSI/NACE MR0175/ISO 15156, DE 3/4" DE DIAMETRO, 6000#.</t>
  </si>
  <si>
    <t>C3EXT-1150</t>
  </si>
  <si>
    <t>SUMINISTRO, CARGA, ACARREO, DESCARGA Y PUESTA EN SITIO COSTA FUERA DE LAMINA DE ASBESTO COMPRIMIDO PARA SERVICIO PESADO, ALTAS TEMPERATURAS DE 1/8" DE ESPESOR, MARCA GARLOCK O SIMILAR.</t>
  </si>
  <si>
    <t>C3EXT-1151</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</si>
  <si>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</si>
  <si>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C3EXT-1152</t>
  </si>
  <si>
    <t>SUMINISTRO, CARGA, ACARREO, DESCARGA Y PUESTA EN SITIO COSTA FUERA DE EMPAQUE TIPO CGI CON ANILLO CENTRADO CON CINTA EN ESPIRAL DE ACERO INOXIDABLE TIPO 316, CON RELLENO DE GRAFITO FLEXIBLE DE 4" DE DIAMETRO, CLASE 300, 1/8" DE ESPESOR.</t>
  </si>
  <si>
    <t>C3EXT-1153</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</si>
  <si>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</si>
  <si>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C3EXT-1154</t>
  </si>
  <si>
    <t>SUMINISTRO, CARGA, ACARREO, DESCARGA Y PUESTA EN SITIO COSTA FUERA DE EMPAQUE ANILLO R OVAL, DE ACERO BAJO CARBONO, 63 MICROINCHES RMS MAXIMO, BRINELL MAXIMO 120, ESPECIFICACION: API 6A. DE 4-1/16” DE DIAMETRO NOMINAL, CLASE: 5000 RTJ, R39.</t>
  </si>
  <si>
    <t>C3EXT-1155</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</si>
  <si>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5/8"DE DIAMETRO X 5 1/2" DE LONG. DE CUERDA UTIL.</t>
  </si>
  <si>
    <t>C3EXT-1156</t>
  </si>
  <si>
    <t>SUMINISTRO, CARGA, ACARREO, DESCARGA Y PUESTA EN SITIO COSTA FUERA DE ESPÁRRAGO ASTM A193 GR. B7M, ROSCAS ASME B1.1 CLASE 2A, CON 02 TUERCAS ASTM A194 GR. 2HM, HEXAGONAL, ROSCAS ASME B1.1 CLASE 2A, CON RECUBRIMIENTO RESISTENTE A LA CORROSIÓN A BASE CADMIO (25 ?M DE ESPESOR, ASTM-B 766 O EQUIVALENTE), DE 3/4" DE DIAMETRO X 4 1/2" DE LONGITUD.</t>
  </si>
  <si>
    <t>C3EXT-1157</t>
  </si>
  <si>
    <t>SUMINISTRO, CARGA, ACARREO, DESCARGA Y PUESTA EN SITIO COSTA FUERA DE ESPÁRRAGO ASTM A193 GR. B7, ROSCAS ASME B1.1 CLASE 2A, CON 02 TUERCAS ASTM A194 GR. 2H, HEXAGONAL, ROSCAS ASME B1.1 CLASE 2A, CON RECUBRIMIENTO RESISTENTE A LA CORROSIÓN A BASE CADMIO (25 ?M DE ESPESOR, ASTM-B 766 O EQUIVALENTE), DE 3/4" DE DIAMETROX 5 3/4" DE LONGITUD.</t>
  </si>
  <si>
    <t>C3EXT-1158</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</si>
  <si>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6 1/2" DE LONG. DE CUERDA UTIL .</t>
  </si>
  <si>
    <t>C3EXT-1159</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</si>
  <si>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</si>
  <si>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C3EXT-1160</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</si>
  <si>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6 3/4" DE LONG. DE CUERDA UTIL.</t>
  </si>
  <si>
    <t>C3EXT-1161</t>
  </si>
  <si>
    <t>SUMINISTRO, CARGA, ACARREO, DESCARGA Y PUESTA EN SITIO COSTA FUERA DE ESPARRAGO ASTM A193 GR. B7, CON DOS TUERCAS HEXAGONALES ASTM A194 GRADO 2H, ROSCAS ASME B1.1 CLASE 2A, CON RECUBRIMIENTO RESISTENTE A LA CORROSIÓN A BASE DE CADMIO (25 MICRAS DE ESPESOR ASTM B766 O EQUIVALENTE), DE 1" DE DIAMETRO X 8" LONG.</t>
  </si>
  <si>
    <t>C3EXT-1162</t>
  </si>
  <si>
    <t>SUMINISTRO, CARGA, ACARREO, DESCARGA Y PUESTA EN SITIO COSTA FUERA DE ESPARRAGO DE CUERDA UTIL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1"DE DIAMETRO X 8" DE LONG.</t>
  </si>
  <si>
    <t>C3EXT-1163</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</si>
  <si>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</si>
  <si>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C3EXT-1164</t>
  </si>
  <si>
    <t>SUMINISTRO, CARGA, ACARREO, DESCARGA Y PUESTA EN SITIO COSTA FUERA DE ESPARRAGO ASTM A193 GR. B7M, CON DOS TUERCAS HEXAGONALES ASTM A193 Gr. B7M,, ROSCAS ASME B1.1 CLASE 2A, CON RECUBRIMIENTO RESISTENTE A LA CORROSIÓN A BASE DE CADMIO (25 MICRAS DE ESPESOR ASTM B766 O EQUIVALENTE), DE 1 1/8" DE DIAMETRO X 6 1/2" LONG.</t>
  </si>
  <si>
    <t>C3EXT-1165</t>
  </si>
  <si>
    <t>SUMINISTRO, CARGA, ACARREO, DESCARGA Y PUESTA EN SITIO COSTA FUERA DE ESPARRAGO ASTM A 193 Gr. B7M ROSCAS ASME B1.1 CLASE 2A CON DOS TUERCAS ASTM A194 Gr. 2HM HEXAGONAL, ROSCAS ASME B1.1 CLASE 2A, CON RECUBIRMIENTOS RESISTENTE A LA CORROSION A BASE DE CADMIO (25M DE ESPESOR, ASTM-B- 766 O EQUIVALENTE), DE 1 1/8" DE DIAMETRO X 9 1/2" DE LONG.</t>
  </si>
  <si>
    <t>C3EXT-1166</t>
  </si>
  <si>
    <t>SUMINISTRO, PRUEBA HIDROSTÁTICA, CARGA, ACARREO, DESCARGA Y PUESTA EN SITIO COSTA FUERA DE VALVULA DE COMPUERTA  S.W. CUERPO ASTM A105, TRIM 1, TORNILLO EXTERIOR Y YUGO, BONETE ATORNILLADO, CUÑA SOLIDA ASIENTOS RECAMBIABLES, OPERADA CON VOLANTE ISO 15761, DE 1/2" DE DIAMETRO, 800#.</t>
  </si>
  <si>
    <t>C3EXT-1167</t>
  </si>
  <si>
    <t>SUMINISTRO, PRUEBA HIDROSTÁTICA, CARGA, ACARREO, DESCARGA Y PUESTA EN SITIO COSTA FUERA DE VALVULA DE COMPUERTA  S.W. CUERPO ASTM A105. TRIM 1, TORNILLO EXTERIOR Y YUGO, BONETE ATORNILLADO, CUÑA SOLIDA, ASIENTOS RECAMBIABLES, OPERADA CON VOLANTE ISO 15761, DE 3/4" DE DIAMETRO, 800#.</t>
  </si>
  <si>
    <t>C3EXT-1168</t>
  </si>
  <si>
    <t>SUMINISTRO, PRUEBA HIDROSTÁTICA, CARGA, ACARREO, DESCARGA Y PUESTA EN SITIO COSTA FUERA DE VALVULA DE COMPUERTA EXTREMOS: INSERTO SOLDABLE (SW),  CUERPO DE ACERO AL CARBÓN ESPECIFICACION ASTM A105, INTERIOR ACERO INOXIDABLE ( TRIM 8), CUERDA EXTERIOR Y YUGO, BONETE ATORNILLADO, CUÑA SÓLIDA, ASIENTOS RECAMBIABLES, OPERADA CON VOLANTE, CONSTRUIDA CONFORME A ASME 602/ ISO 15761. 3/4" (0.75") DE DIÁMETRO NOMINAL, CLASE 800# LIBRAS.</t>
  </si>
  <si>
    <t>C3EXT-1169</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</si>
  <si>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</si>
  <si>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C3EXT-1170</t>
  </si>
  <si>
    <t>SUMINISTRO, PRUEBA HIDROSTÁTICA, CARGA, ACARREO, DESCARGA Y PUESTA EN SITIO COSTA FUERA DE VALVULA ESFERICA ASTM A-105 O ASTM A-126 Gr. WCB DE PESO COMPLETO, MONTADA SOBRE MUÑON, CUERPO ATORNILLADO O SOLDADO, DE 2" DE DIAMETRO, 150# R.F.</t>
  </si>
  <si>
    <t>C3EXT-1171</t>
  </si>
  <si>
    <t>SUMINISTRO, PRUEBA HIDROSTÁTICA, CARGA, ACARREO, DESCARGA Y PUESTA EN SITIO COSTA FUERA DE VALVULA DE COMPUERTA  S.W. CUERPO ASTM A105, TRIM 1, TORNILLO EXTERIOR Y YUGO, BONETE ATORNILLADO, CUÑA SOLIDA ASIENTOS RECAMBIABLES, OPERADA CON VOLANTE ISO 15761, DE 2" DE DIAMETRO, 800#.</t>
  </si>
  <si>
    <t>C3EXT-1172</t>
  </si>
  <si>
    <t>SUMINISTRO, PRUEBA HIDROSTÁTICA, CARGA, ACARREO, DESCARGA Y PUESTA EN SITIO COSTA FUERA DE VALVULA DE COMPUERTA, EXTREMOS: INSERTO SOLDABLE (SW), CUERPO DE ACERO AL CARBÓN, ESPECIFICACION: ASTM A105, INTERIOR DE ACERO INOXIDABLE (TRIM 8), CUERDA EXTERIOR Y YUGO, BONETE ATORNILLADO, CUÑA SÓLIDA, ASIENTOS RECAMBIABLES, OPERADA CON VOLANTE, CONSTRUIDA CONFORME: API 602/ISO 15761. DE 2" (2.00") DE DIÁMETRO NOMINAL, CLASE: 800 LIBRAS.</t>
  </si>
  <si>
    <t>C3EXT-1173</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</si>
  <si>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 DE 3" (3.00") DE DIAMETRO NOMINAL, CLASE: 600 LIBRAS.</t>
  </si>
  <si>
    <t>C3EXT-1174</t>
  </si>
  <si>
    <t>SUMINISTRO, PRUEBA HIDROSTÁTICA, CARGA, ACARREO, DESCARGA Y PUESTA EN SITIO COSTA FUERA DE VALVULA DE BOLA, EXTREMOS BRIDADOS, CUERPO ASTM A 105 O ASTM A 216 GR WCB, PASO COMPLETO, MONTADA SOBRE MUÑÓN, CUERPO SOLDADO DE UNA SOLA PIEZA. DE 4" DE DIAMETRO, 150#, R.F.</t>
  </si>
  <si>
    <t>C3EXT-1175</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</si>
  <si>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</si>
  <si>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C3EXT-1176</t>
  </si>
  <si>
    <t>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</si>
  <si>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 MARCA SMITH, FIG. 1500YWOGW.</t>
  </si>
  <si>
    <t>C3EXT-0347</t>
  </si>
  <si>
    <t>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</si>
  <si>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  MARCA SMITH, FIG. 1500YAOGW.</t>
  </si>
  <si>
    <t>C3EXT-0348</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</si>
  <si>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6" (6.00") DE DIAMETRO NOMINAL, CLASE: 600 LIBRAS.</t>
  </si>
  <si>
    <t>C3EXT-1179</t>
  </si>
  <si>
    <t>SUMINISTRO, PRUEBA HIDROSTÁTICA, CARGA, ACARREO, DESCARGA Y PUESTA EN SITIO COSTA FUERA DE VALVULA DE RETENCION BRIDADA TIPO OBLEA, CUERPO ASTM A-216 GR. WCB. TRIM 1, RESORTE DE ASTM B 166 UNS N06600, SELLO METAL- METAL, TIPO OREJA (Lug). API 594., DISCO BIPARTIDO, (DUO CHECK), DE 6" DE DIAMETRO,  CLASE 600 LBS, R.F.</t>
  </si>
  <si>
    <t>C3EXT-1180</t>
  </si>
  <si>
    <t>SUMINISTRO, PRUEBA HIDROSTÁTICA, CARGA, ACARREO, DESCARGA Y PUESTA EN SITIO COSTA FUERA DE VALVULA RETENCION TIPO COLUMPIO, EXTREMOS: BRIDADOS, CARA REALZADA (-RF), CUERPO DE ACERO AL CARBON, ESPECIFICACION: ASTM A216, GRADO: WCB, INTERIOR DE ACERO INOXIDABLE (TRIM 10), TAPA BRIDADA, ASIENTOS RECAMBIABLES, DEBE CUMPLIR CON API STD 594, ASME B16.34, ANSI/NACE MR0175/ISO 15156, DE 6" (6.00") DE DIAMETRO NOMINAL, CLASE: 600 LIBRAS.</t>
  </si>
  <si>
    <t>C3EXT-1181</t>
  </si>
  <si>
    <t>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</si>
  <si>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</si>
  <si>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C3EXT-0349</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</si>
  <si>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ACIENTOS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DE 8" (8.00") DE DIAMETRO NOMINAL CLASE 600 LIBRAS.</t>
  </si>
  <si>
    <t>C3EXT-1183</t>
  </si>
  <si>
    <t>SUMINISTRO, CARGA, ACARREO, DESCARGA Y PUESTA EN SITIO COSTA FUERA DE PERFIL ESTRUCTURAL TIPO IR-254 x 22.3 kg/m, ACERO AL CARBÓN ESPECIFICACION ASTM A 36/ASTM A-572 Gr.50</t>
  </si>
  <si>
    <t>C3EXT-1184</t>
  </si>
  <si>
    <t>SUMINISTRO, CARGA, ACARREO, DESCARGA Y PUESTA EN SITIO COSTA FUERA DE ANGULO DE LADOS IGUALES “LI” DE 38.1 mm X 6 mm De ESPESOR (1 1/2" X 1/4"ESP.) DE 3.48 kg/m. DE ACERO AL CARBÓN ASTM A-36</t>
  </si>
  <si>
    <t>C3EXT-1185</t>
  </si>
  <si>
    <t>SUMINISTRO, CARGA, ACARREO, DESCARGA Y PUESTA EN SITIO COSTA FUERA DE ANGULO DE LADOS IGUALES “LI” DE 102 mm X 9.5 mm DE ESPESOR (4" X 3/8" ESP.) DE 14.58 kg/m, DE ACERO AL CARBÓN ASTM A-36.</t>
  </si>
  <si>
    <t>C3EXT-1186</t>
  </si>
  <si>
    <t>SUMINISTRO, CARGA, ACARREO, DESCARGA Y PUESTA EN SITIO COSTA FUERA DE TAPON CACHUCHA ACERO INOX ROSCADO ASTM A195, ASME B16.11, DE 3/4" DE DIAMETRO CLASE 6000#.</t>
  </si>
  <si>
    <t>C3EXT-1187</t>
  </si>
  <si>
    <t>SUMINISTRO, CARGA, ACARREO, DESCARGA Y PUESTA EN SITIO COSTA FUERA DE TUBO DE ACERO AL CARBÓN DE 1 1/2" DIAMETRO, XS, CÉDULA 80, ESPESOR DE PARED 0.200.</t>
  </si>
  <si>
    <t>C3EXT-1188</t>
  </si>
  <si>
    <t xml:space="preserve">   PTE-034-2024 TG-01</t>
  </si>
  <si>
    <t>SUMINISTRO, CARGA, ACARREO, DESCARGA Y PUESTA EN SITIO COSTA FUERA DE TUBO CIRCULAR (OC) 168 mm x 7.11 mm (6.63 in. x 0.280 in.) 28.26 kg/m DE ACERO AL CARBÓN ASTM A-53.</t>
  </si>
  <si>
    <t>C3EXT-1189</t>
  </si>
  <si>
    <t>SUMINISTRO, CARGA, ACARREO, DESCARGA Y PUESTA EN SITIO COSTA FUERA DE PLACA LISA DE 1/4" ESP. DE ACERO AL CARBÓN ASTM A-36</t>
  </si>
  <si>
    <t>C3EXT-1190</t>
  </si>
  <si>
    <t>SUMINISTRO, CARGA, ACARREO, DESCARGA Y PUESTA EN SITIO COSTA FUERA DE PLACA LISA DE 1/2" ESP. DE ACERO AL CARBÓN ASTM A-36.</t>
  </si>
  <si>
    <t>C3EXT-1191</t>
  </si>
  <si>
    <t>SUMINISTRO, CARGA, ACARREO, DESCARGA Y PUESTA EN SITIO COSTA FUERA DE PLACA ANTIDERRAPANTE - 6.4 MM X 56.034 KG./M2 EN ACERO ASTM-A36.</t>
  </si>
  <si>
    <t>C3EXT-1192</t>
  </si>
  <si>
    <t>SUMINISTRO, CARGA, ACARREO, DESCARGA Y PUESTA EN SITIO COSTA FUERA DE REDONDO SOLIDO LISO (OS) 19.1 mm (3/4 in.) 2.235 kg/m DE ACERO AL CARBÓN ASTM A-36.</t>
  </si>
  <si>
    <t>C3EXT-1193</t>
  </si>
  <si>
    <t>SUMINISTRO, CARGA, ACARREO, DESCARGA Y PUESTA EN SITIO COSTA FUERA DE SOLERA DE 1/4" ESPESOR X 2" DE ANCHO  DE ACERO AL CARBÓN ASTM A-36.</t>
  </si>
  <si>
    <t>C3EXT-1194</t>
  </si>
  <si>
    <t>SERVICIO DE ACTIVIDADES SUBMARINAS PARA REALIZAR LA METROLOGÍA DE LOS EJES "A" Y "C" DE LA PLATAFORMA DE TARATUNICH-301 PARA LA INSTALACIÓN DE 01 ADOSADA ESTRUCTURAL DE PROTECTOR DE CONDUCTORES DE POZOS Y LA LIMPIEZA DE LA CIRCUNFERENCIA TOTAL DE LOS EJES "A" Y "C" CON UNA LONGITUD MÍNIMA DE 2.0 METROS EN LAS ELEVACIÓN (-) 5.738, (-) 13.500, (-) 19.454, (-) 26.063 Y (-)  35.800, INCLUYE: ENTREGA DE REPORTES DIARIOS Y VIDEO DE ACTIVIDADES REALIZADAS, MOVILIZACIÓN Y DESMOVILIZACIÓN DE EQUIPOS, SUMINISTRO DEL PERSONAL, EQUIPOS, HERRAMIENTAS Y CONSUMIBLES.</t>
  </si>
  <si>
    <t>C3EXT-1195</t>
  </si>
  <si>
    <t>TARATUNICH</t>
  </si>
  <si>
    <t>SERVICIO DE ACTIVIDADES SUBMARINAS PARA REALIZAR EL MONITOREO DURANTE LAS MANIOBRAS DE INSTALACIÓN DE LA ADOSADA DE CONDUCTORES DE POZOS DE LA PLATAFORMA DE TARATUNICH-301 EINSTALACIÓN DE MEDIAS CONCHAS DE LAS ABRAZADERAS EN LAS PIERNAS "A" Y "B" EN ELEVACIÓN (-) 5.738, (-) 13.500, (-) 19.454, (-) 26.063 Y (-) 35.800, INCLUYE: INSTALACIÓN DE 16 ESPÁRRAGOS EN CADA ABRAZADERA, ENTREGA DE REPORTES DIARIOS Y VIDEO DE ACTIVIDADES REALIZADAS, MOVILIZACIÓN Y DESMOVILIZACIÓN DE EQUIPOS, SUMINISTRO DEL PERSONAL, EQUIPOS, HERRAMIENTAS Y CONSUMIBLES.</t>
  </si>
  <si>
    <t>C3EXT-1196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</si>
  <si>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DE DIAMETRO.</t>
  </si>
  <si>
    <t>C3EXT-1197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</si>
  <si>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DE DIAEMTRO.</t>
  </si>
  <si>
    <t>C3EXT-1198</t>
  </si>
  <si>
    <t>SUMINISTRO, CARGA, ACARREO, DESCARGA Y PUESTA EN SITIO COSTA FUERA DE EMPAQUE CENTRAL AISLANTE DE MI CARTA DE CARA COMPLETA CON NEOPRENO EN AMBAS CARAS PARA BRIDA DE 3/4" DE DIAMETRO, CLASE 150# RF,  CUATRO MANGAS AISLANTES DE MYLAR PARA ESPÁRRAGO DE 1/2" X 2 1/2", OCHO ARANDELAS AISLANTES DE CELORON DE 1/2".</t>
  </si>
  <si>
    <t>C3EXT-1199</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</si>
  <si>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1/2" LONGITUD.</t>
  </si>
  <si>
    <t>C3EXT-1200</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</si>
  <si>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1/8" DE DIAMETRO x 6 1/2" LONGITUD.</t>
  </si>
  <si>
    <t>C3EXT-1201</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</si>
  <si>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7 3/4" LONGITUD.</t>
  </si>
  <si>
    <t>C3EXT-1202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</si>
  <si>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5/8" DE DIAMETRO x 13 1/4" LONGITUD.</t>
  </si>
  <si>
    <t>C3EXT-1203</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</si>
  <si>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7/8" DE DIAMETRO x 15" LONGITUD.</t>
  </si>
  <si>
    <t>C3EXT-1204</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</si>
  <si>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2 1/2" DE DIAMETRO x 18 3/4" LONGITUD.</t>
  </si>
  <si>
    <t>C3EXT-1205</t>
  </si>
  <si>
    <t>SUMINISTRO, CARGA, ACARREO, DESCARGA Y PUESTA EN SITIO COSTA FUERA DE BRIDA CIEGA DE ACERO AL CARBONO FORJADO, ASTM A105, ASME B16.5, EXTREMO BISELADO, 16" DE DIÁMETRO, CLASE 300# R.F.</t>
  </si>
  <si>
    <t>C3EXT-1206</t>
  </si>
  <si>
    <t>SUMINISTRO, CARGA, ACARREO, DESCARGA Y PUESTA EN SITIO COSTA FUERA DE TAPÓN CACHUCHA HEMBRA ROSCADO DE ACERO AL CARBON,  3/4"  DE DIAMETRO, CLASE 3000#</t>
  </si>
  <si>
    <t>C3EXT-1207</t>
  </si>
  <si>
    <t>SUMINISTRO, CARGA, ACARREO, DESCARGA Y PUESTA EN SITIO COSTA FUERA DE TAPÓN DE BARRA SOLIDA DE ACERO AL CARBONO FORJADO, ASTM A 105, ASME B16.11 ROSCADO DE 3/4" DE DIAMETRO, 6000#</t>
  </si>
  <si>
    <t>C3EXT-1208</t>
  </si>
  <si>
    <t>SUMINISTRO, PRUEBA HIDROSTÁTICA, CARGA, ACARREO, DESCARGA Y PUESTA EN SITIO COSTA FUERA DE VÁLVULA ESFÉRICA, TIPO PASO COMPLETO, CUERPO ATORNILLADO DE 3 PIEZAS, DE 1" (1.00")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</si>
  <si>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C3EXT-1209</t>
  </si>
  <si>
    <t>SUMINISTRO, PRUEBA HIDROSTÁTICA, CARGA, ACARREO, DESCARGA Y PUESTA EN SITIO COSTA FUERA DE VALVULA ESFERICA, TIPO: BOLA FLOTANTE, DE PASO COMPLETO, DE 1" (1.00")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t>
  </si>
  <si>
    <t>C3EXT-1210</t>
  </si>
  <si>
    <t>SUMINISTRO, PRUEBA HIDROSTÁTICA, CARGA, ACARREO, DESCARGA Y PUESTA EN SITIO COSTA FUERA DE VÁLVULA ESFÉRICA, TIPO PASO COMPLETO, CUERPO ATORNILLADO DE 3 PIEZAS, DE 2" (2.00")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</si>
  <si>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C3EXT-1211</t>
  </si>
  <si>
    <t>SUMINISTRO, PRUEBA HIDROSTÁTICA, CARGA, ACARREO, DESCARGA Y PUESTA EN SITIO COSTA FUERA DE VALVULA ESFERICA, TIPO: BOLA FLOTANTE, DE PASO COMPLETO, DE 2" (2.00")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 ANSI/NACE MR0175/ISO 15156-2.</t>
  </si>
  <si>
    <t>C3EXT-1212</t>
  </si>
  <si>
    <t>SUMINISTRO, PRUEBA HIDROSTÁTICA, CARGA, ACARREO, DESCARGA Y PUESTA EN SITIO COSTA FUERA DE VÁLVULA ESFERICA, TIPO: BOLA FLOTANTE, DE PASO COMPLETO, DE 2" (2.00") DE DIÁMETRO NOMINAL, EXTREMOS: INSERTO SOLDABLE (SW), 2000 WOG, CUERPO: DE TRES PIEZAS SOLDADO, DE ACERO AL CARBÓN, ESPECIFICACIÓN: ASTM A350, GRADO: LF2, EXTREMOS: INSERTO SODABLE (SW): DE ACERO AL CARBÓN, ESPECIFICACIÓN: ASTM A350 GRADO: LF2, BOLA: DE ACERO INOXIDABLE, ESPECIFICACION: ASTM A351 GRADO: CF8M, VASTAGO DE ACERO INOXIDABLE, ESPECIFICACIÓN: ASTM A564 GRADO: 17-4PH, ASIENTOS: DE TEFLON (PTFE), SELLOS: DE VITON, OPERADA CON PALANCA, CON DISPOSITIVO PARA CANDADO, APRUEBA DE FUEGO, CONSTRUIDA CONFORME: API 607, API 598, ASME B16.34, ANSI/NACE MR0175/ISO 15156-2.</t>
  </si>
  <si>
    <t>C3EXT-1213</t>
  </si>
  <si>
    <t xml:space="preserve">SUMINISTRO, PRUEBA HIDROSTÁTICA, CARGA, ACARREO, DESCARGA Y PUESTA EN SITIO COSTA FUERA DE VÁLVULA DE RETENCIÓN, TIPO: COLUMPIO, DE 3" (3.00") DE DIÁMETRO NOMINAL, EXTREMOS: BRIDADOS, CLASE: 600 LIBRAS, CARA REALZADA (RF), CUERPO DE ACERO AL CARBÓN, ESPECIFICACIÓN: ASTM A216, GRADO: WCB, INTERIOR DE ACERO INOXIDABLE (TRIM 16), TAPA BRIDADA, ASIENTO RECAMBIABLE, CONSTRUIDA CONFORME: API 594, ASME B16.5, API 598, ASME B16.34, ANSI/NACE MR0175/ISO 15156-2. </t>
  </si>
  <si>
    <t>C3EXT-1214</t>
  </si>
  <si>
    <t>SUMINISTRO, CARGA, ACARREO, DESCARGA Y PUESTA EN SITIO COSTA FUERA DE ESPÁRRAGO DE ACERO AL CARBON ASTM A193 GR. B7, CON DOS TUERCAS HEXAGONALES ASTM A194 GRADO 2H, ROSCAS ASME B1.1 CLASE 2A, CON RECUBRIMIENTO RESISTENTE A LA CORROSIÓN A BASE DE CADMIO (25 MICRAS DE ESPESOR ASTM B766 O EQUIVALENTE), DE 5/8" DE DIAMETRO X 4 3/4" LONGITUD.</t>
  </si>
  <si>
    <t>C3EXT-1215</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</si>
  <si>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1/4" LONGITUD.</t>
  </si>
  <si>
    <t>C3EXT-1216</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</si>
  <si>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3/4" LONGITUD.</t>
  </si>
  <si>
    <t>C3EXT-1217</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</si>
  <si>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O EQUIVALENTE), DE 5/8"DE DIAMETRO X 5 3/4" LONGITUD.</t>
  </si>
  <si>
    <t>C3EXT-1218</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</si>
  <si>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3/4"DE DIAMETRO X 5 1/4" LONGITUD.</t>
  </si>
  <si>
    <t>C3EXT-1219</t>
  </si>
  <si>
    <t>SUMINISTRO, CARGA, ACARREO, DESCARGA Y PUESTA EN SITIO COSTA FUERA DE ESPARRAGO DE ACERO AL CARBON ASTM A193 GR. B7, ROSCAS ASME B1.1 CLASE 2A, CON 02 TUERCAS ASTM A194 GR. 2H, HEXAGONAL, ROSCAS ASME B1.1 CLASE 2A, CON RECUBRIMIENTO RESISTENTE A LA CORROSIÓN A BASE CADMIO (25 ?M DE ESPESOR, ASTM-B 766 O EQUIVALENTE), DE 3/4"DE DIAMETRO X 5 3/4" DE LONGITUD.</t>
  </si>
  <si>
    <t>C3EXT-1220</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</si>
  <si>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EQUIVALENTE),DE 7/8" DE DIAMETRO X 7 1/4" LONGITUD.</t>
  </si>
  <si>
    <t>C3EXT-1221</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</si>
  <si>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7/8" DE DIAMETRO X 10 1/2" LONGITUD.</t>
  </si>
  <si>
    <t>C3EXT-1222</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</si>
  <si>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1 1/4" DE DIAMETRO X 8 1/2" LONGITUD.</t>
  </si>
  <si>
    <t>C3EXT-1223</t>
  </si>
  <si>
    <t>SUMINISTRO, CARGA, ACARREO, DESCARGA Y PUESTA EN SITIO COSTA FUERA DE ESPARRAGO DE ACERO AL CARBRON ASTM A193 GR. B7M, CON DOS TUERCAS HEXAGONALES ASTM A194 GRADO 2HM, ROSCAS ASME B1.1 CLASE 2A, CON RECUBRIMIENTO RESISTENTE A LA CORROSIÓN A BASE DE CADMIO (25 MICRAS DE ESPESOR ASTM B766 O EQUIVALENTE), DE DE 1 1/4" DE DIAMETRO X 8 3/4" LONGITUD.</t>
  </si>
  <si>
    <t>C3EXT-1224</t>
  </si>
  <si>
    <t>SUMINISTRO, CARGA, ACARREO, DESCARGA Y PUESTA EN SITIO COSTA FUERA DE ABRAZADERA TIPO U, DE ACERO AL CARBONO, ACABADO CADMIZADO, PARA TUBERÍA, DE 8" DE DIÁMETRO X 5/8" DE ESPESOR, ESTÁNDAR, 4 TUERCAS Y 4 ARANDELAS PLANAS, GRADO 8, CADMIZADO TIPO II.</t>
  </si>
  <si>
    <t>C3EXT-1225</t>
  </si>
  <si>
    <t>SUMINISTRO, CARGA, ACARREO, DESCARGA Y PUESTA EN SITIO COSTA FUERA DE NIPLE DE ACERO AL CARBONO DE 3/4" DE DIAMETRO NOMINAL X 3.5" DE LONGITUD,CÉDULA XXS, EXTREMOS PLANO.,ESPECIFICACIÓN  ASTM A106 GR. B,ASME B36.10M.</t>
  </si>
  <si>
    <t>C3EXT-1226</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</si>
  <si>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</si>
  <si>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C3EXT-1227</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</si>
  <si>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</si>
  <si>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C3EXT-1228</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</si>
  <si>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</si>
  <si>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C3EXT-1229</t>
  </si>
  <si>
    <t>NOHOCH-A 4TA.</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</si>
  <si>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</si>
  <si>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C3EXT-1230</t>
  </si>
  <si>
    <t>SUMINISTRO, CARGA, ACARREO, DESCARGA Y PUESTA EN SITIO COSTA FUERA DE ELECTRODOS AWS-E-6010 DE 3/32"</t>
  </si>
  <si>
    <t>C3EXT-1231</t>
  </si>
  <si>
    <t>SUMINISTRO, CARGA, ACARREO, DESCARGA Y PUESTA EN SITIO COSTA FUERA DE ELECTRODOS AWS-E-6010 DE 3/16"</t>
  </si>
  <si>
    <t>C3EXT-1232</t>
  </si>
  <si>
    <t>SUMINISTRO, CARGA, ACARREO, DESCARGA Y PUESTA EN SITIO COSTA FUERA DE ELECTRODO AWS-E-7018 DE 3/32"</t>
  </si>
  <si>
    <t>C3EXT-1233</t>
  </si>
  <si>
    <t>SUMINISTRO, CARGA, ACARREO, DESCARGA Y PUESTA EN SITIO COSTA FUERA DE ELECTRODO AWS-E-7018 DE 3/16"</t>
  </si>
  <si>
    <t>C3EXT-1234</t>
  </si>
  <si>
    <t>SUMINISTRO, CARGA, ACARREO, DESCARGA Y PUESTA EN SITIO COSTA FUERA DE VIGA IR-203 MM X 26.6 KG/M DE ACERO AL CARBON ASTM A-572.</t>
  </si>
  <si>
    <t>C3EXT-1235</t>
  </si>
  <si>
    <t>SUMINISTRO, CARGA, ACARREO, DESCARGA Y PUESTA EN SITIO COSTA FUERA DE  PERFIL IR-356 MM X 38.9 KG/M (14" x 26 lb/ft), ACERO AL CARBONO ASTM A-572 GR. 50.</t>
  </si>
  <si>
    <t>C3EXT-1236</t>
  </si>
  <si>
    <t>SUMINISTRO, CARGA, ACARREO, DESCARGA Y PUESTA EN SITIO COSTA FUERA DE PERFIL ESTRUCTURAL CE 152 MM x 15.6 KG/M (6" x 10 b/ft) DE ACERO AL CARBON ASTM A572 GR 50.</t>
  </si>
  <si>
    <t>C3EXT-1237</t>
  </si>
  <si>
    <t>SUMINISTRO, CARGA, ACARREO, DESCARGA Y PUESTA EN SITIO COSTA FUERA DE CODO 90° DE ACERO INOXIDABLE  A182 GR. F316L  ASME B16.11, CAJA PARA SOLDAR, DE 3/4" DE DIAMETRO, CLASE 3000.</t>
  </si>
  <si>
    <t>C3EXT-1238</t>
  </si>
  <si>
    <t>SUMINISTRO, CARGA, ACARREO, DESCARGA Y PUESTA EN SITIO COSTA FUERA DE CODO DE 90° RADIO CORTO DE ACERO AL CARBONO, ASTM A234 GR. WPB, S/C, ASME B16.9, ESPESOR 0.375", EXTREMOS BISELADOS, DIÁMETRO 24",</t>
  </si>
  <si>
    <t>C3EXT-1239</t>
  </si>
  <si>
    <t>SUMINISTRO, CARGA, ACARREO, DESCARGA Y PUESTA EN SITIO COSTA FUERA DE REDUCCIÓN CONCENTRICA DE ACERO AL CARBONO, ASTM A234 GR. WPB S/C, CEDULA ESTANDAR, ASME B16.9, EXTREMOS BISELADOS. DIÁMETRO 10” x 6".</t>
  </si>
  <si>
    <t>C3EXT-1240</t>
  </si>
  <si>
    <t>SUMINISTRO, CARGA, ACARREO, DESCARGA Y PUESTA EN SITIO COSTA FUERA DE TEE REDUCIDA DE CAJA PARA SOLDAR, ACERO INOXIDABLE, ASTM A182 GR. F316L, ASME B16.11, CLASE 3000#, DIÁMETRO 1" X 3/4".</t>
  </si>
  <si>
    <t>C3EXT-1241</t>
  </si>
  <si>
    <t>SUMINISTRO, CARGA, ACARREO, DESCARGA Y PUESTA EN SITIO COSTA FUERA DE TUBO DE ACERO AL CARBONO ASTM A106 GR. B, S/C, ASME B36.10M, EXTREMOS BISELADOS, DEBE CUMPLIR CON LOS REQUISITOS TÉCNICOS Y DOCUMENTALES DE PEMEX-EST- TD-032-P1-2018. ESPESOR 0.375", DIAMETRO 24”.</t>
  </si>
  <si>
    <t>C3EXT-1242</t>
  </si>
  <si>
    <t xml:space="preserve">
CORRECCIÓN DE ANOMALÍAS POR FUGAS MICRO ANULARES EN POZOS PETROLEROS CON PRODUCTO MFC204.
</t>
  </si>
  <si>
    <t>C3EXT-1243</t>
  </si>
  <si>
    <t>ESTIMULACIONES</t>
  </si>
  <si>
    <t xml:space="preserve">
CORRECCIÓN OPERACIONAL DEL SISTEMA HIDRÁULICO MECÁNICO DE VÁLVULAS DE SEGURIDAD SUBSUPERFICIALES DE CONTROL DE POZOS PETROLEROS COSTA FUERA CON PRODUCTO MFC204.
</t>
  </si>
  <si>
    <t>C3EXT-1244</t>
  </si>
  <si>
    <t xml:space="preserve">
CORRECCIÓN DE LA INTEGRIDAD MECÁNICA POR COMUNICACIÓN INTERNA EN CABEZALES DE POZOS PETROLEROS CON PRODUCTO MFC204.
</t>
  </si>
  <si>
    <t>C3EXT-1245</t>
  </si>
  <si>
    <t xml:space="preserve">
CORRECCIÓN DE LA INTEGRIDAD MECÁNICA POR COMUNICACIÓN INTERNA EN ÁRBOLES DE PRODUCCIÓN, LINEAS DE FLUJO Y VÁLVULAS RELACIONADAS DE 8" O MENOR DIÁMETRO CON PRODUCTO MFC204.
</t>
  </si>
  <si>
    <t>C3EXT-1246</t>
  </si>
  <si>
    <t xml:space="preserve">
CORRECCIÓN DE LA INTEGRIDAD MECÁNICA POR COMUNICACIÓN INTERNA EN VÁLVULAS DE BOLA Y DE COMPUERTA DE 10" O MAYOR DIÁMETRO CON PRODUCTO MFC204.
</t>
  </si>
  <si>
    <t>C3EXT-1247</t>
  </si>
  <si>
    <t>CORRECCIÓN DE LA INTEGRIDAD MECÁNICA POR COMUNICACIÓN INTERNA EN VÁLVULAS SUBMARINAS. (NO INCLUYE BUCEO). CON PRODUCTO MFC204.</t>
  </si>
  <si>
    <t>C3EXT-1248</t>
  </si>
  <si>
    <t xml:space="preserve">
SERVICIO DE TRANSPORTE DE MATERIAL LIGEROS, EQUIPOS Y LOGÍSTICA PARA SUMINISTROS CON UNA LANCHA ABASTECEDORA.
</t>
  </si>
  <si>
    <t>C3EXT-1249</t>
  </si>
  <si>
    <t xml:space="preserve">
LOTES DE LÍNEA DE INTERCONXIÓN DE 3" PARA PRESIÓN DE OPERACIONES DE 2500 PSI.
</t>
  </si>
  <si>
    <t>HORA</t>
  </si>
  <si>
    <t>C3EXT-1250</t>
  </si>
  <si>
    <t xml:space="preserve">
LOTES DE LÍNEA DE INTERCONXIÓN DE 4" PARA PRESIÓN DE OPERACIONES DE 2300 PSI.
</t>
  </si>
  <si>
    <t>C3EXT-1251</t>
  </si>
  <si>
    <t xml:space="preserve">
LOTES DE LÍNEA DE INTERCONEXIÓN DE 6" PARA PRESIÓN DE OPERACIONES DE 1300 PSI.
</t>
  </si>
  <si>
    <t>C3EXT-1252</t>
  </si>
  <si>
    <t xml:space="preserve">
VÁLVULA DE SEGURIDAD SUPERFICIAL.
</t>
  </si>
  <si>
    <t>C3EXT-1253</t>
  </si>
  <si>
    <t xml:space="preserve">
CONSOLA DE CIERRE DE EMERGENCIA.
</t>
  </si>
  <si>
    <t>C3EXT-1254</t>
  </si>
  <si>
    <t xml:space="preserve">
SERVICIO DE UNIDAD DE COILED TUBING EN RANGO DE 1 1/2" O 1 3/4" DE 10,000 PSI.
</t>
  </si>
  <si>
    <t>C3EXT-1255</t>
  </si>
  <si>
    <t xml:space="preserve">
SERVICIO DE UNIDAD DE COILED TUBING EN RANGO DE 1 1/2" O 1 3/4" DE 15,000 PSI.
</t>
  </si>
  <si>
    <t>C3EXT-1256</t>
  </si>
  <si>
    <t xml:space="preserve">
LIBRANZA OPERATIVA PARA SERVICIO DE UNIDAD DE COILED TUBING DE 1 O 1 3/4.
</t>
  </si>
  <si>
    <t>C3EXT-1257</t>
  </si>
  <si>
    <t xml:space="preserve">
SERVICIO DE UNIDAD DE BOMBEO HASTA 10,000 PSI.
</t>
  </si>
  <si>
    <t>C3EXT-1258</t>
  </si>
  <si>
    <t xml:space="preserve">
SERVICIO DE UNIDAD DE BOMBEO DE 15,000 PSI.
</t>
  </si>
  <si>
    <t>C3EXT-1259</t>
  </si>
  <si>
    <t xml:space="preserve">
LIBRANZA OPERATIVA PARA SERVICIO DE LA UNIDAD DE BOMBEO.
</t>
  </si>
  <si>
    <t>C3EXT-1260</t>
  </si>
  <si>
    <t xml:space="preserve">
SERVICIO DE UNIDAD DE REGISTROS ELÉCTRICOS HASTA 150 C.
</t>
  </si>
  <si>
    <t>C3EXT-1261</t>
  </si>
  <si>
    <t xml:space="preserve">
SERVICIO DE UNIDAD DE REGISTROS ELÉCTRICOS MAYOR A 150 C.
</t>
  </si>
  <si>
    <t>C3EXT-1262</t>
  </si>
  <si>
    <t xml:space="preserve">
LIBRANZA OPERATIVA PARA SERVICIO CON UNIDAD DE REGISTROS ELÉCTRICOS.
</t>
  </si>
  <si>
    <t>C3EXT-1263</t>
  </si>
  <si>
    <t xml:space="preserve">
SERVICIO DE UNIDAD DE SLICKLINE CON EQUIPO DE CONTROL DE PRESIÓN DE 5,000 O 10,000 PSI.
</t>
  </si>
  <si>
    <t>C3EXT-1264</t>
  </si>
  <si>
    <t xml:space="preserve">
LIBRANZA OPERATIVA PARA SERVICIO CON UNIDAD DE SLICKLINE.
</t>
  </si>
  <si>
    <t>C3EXT-1265</t>
  </si>
  <si>
    <t xml:space="preserve">
SERVICIO DE CONECTOR EXTERNO TIPO EZ Y/O DE OPRESORES PARA TRABAJOS CON COILED TUBING.
</t>
  </si>
  <si>
    <t>C3EXT-1266</t>
  </si>
  <si>
    <t xml:space="preserve">
SERVICIO DE CONECTOR INTERNO DE GRAPAS PARA TRABAJOS CON COILED TUBING.
</t>
  </si>
  <si>
    <t>C3EXT-1267</t>
  </si>
  <si>
    <t xml:space="preserve">
SERVICIO DE BARRAS RÍGIDAS PARA TRABAJOS CON COILED TUBING.
</t>
  </si>
  <si>
    <t>C3EXT-1268</t>
  </si>
  <si>
    <t xml:space="preserve">
SERVICIO DE VÁLVULA DE CONTRAPRESIÓN DE DOBLE CHARNELA (CHECK) PARA TRABAJOS CON COILED TUBING.
</t>
  </si>
  <si>
    <t>C3EXT-1269</t>
  </si>
  <si>
    <t xml:space="preserve">
SERVICIO DE VÁLVULA (SUB) DE CIRCULACIÓN PARA TRABAJOS CON COILED TUBING.
</t>
  </si>
  <si>
    <t>C3EXT-1270</t>
  </si>
  <si>
    <t xml:space="preserve">
SERVICIO DE VÁLVULA ECUALIZADORA DE CIRCULACIÓN PARA TRABAJOS CON COILED TUBING.
</t>
  </si>
  <si>
    <t>C3EXT-1271</t>
  </si>
  <si>
    <t xml:space="preserve">
SERVICIO DE DESCONECTOR HIDRÁULICO (JUNTA DE SEGURIDAD) PARA TRABAJOS CON COILED TUBING.
</t>
  </si>
  <si>
    <t>C3EXT-1272</t>
  </si>
  <si>
    <t xml:space="preserve">
SERVICIO DE OPTIMIZADOR HIDRÁULICO PARA TRABAJOS CON COILED TUBING.
</t>
  </si>
  <si>
    <t>C3EXT-1273</t>
  </si>
  <si>
    <t xml:space="preserve">
SERVICIO DE OPTIMIZADOR GIRATORIO PARA TRABAJOS CON COILED TUBING.
</t>
  </si>
  <si>
    <t>C3EXT-1274</t>
  </si>
  <si>
    <t xml:space="preserve">
SERVICIO CON MOTORES DE FONDO CONVENCIONALES PARA TRABAJOS CON COILED TUBING.
</t>
  </si>
  <si>
    <t>C3EXT-1275</t>
  </si>
  <si>
    <t xml:space="preserve">
SERVICIO CON MOTORES DE FONDO PARA USARSE CON FLUIDOS GASEOSOS, ÁCIDOS, AROMÁTICOS Y ALTA TEMPERATURA PARA TRABAJOS CON COILED TUBING.
</t>
  </si>
  <si>
    <t>C3EXT-1276</t>
  </si>
  <si>
    <t xml:space="preserve">
SERVICIO DE MOLINOS/ZAPATAS/TARRAJAS PARA TRABAJOS CON COILED TUBING.
</t>
  </si>
  <si>
    <t>C3EXT-1277</t>
  </si>
  <si>
    <t xml:space="preserve">
SERVICIO DE MARTILLO HIDRÁULICO PARA TRABAJOS CON COILED TUBING.
</t>
  </si>
  <si>
    <t>C3EXT-1278</t>
  </si>
  <si>
    <t xml:space="preserve">
SERVICIO DE ACELERADOR HIDRÁULICO PARA TRABAJOS CON COILED TUBING.
</t>
  </si>
  <si>
    <t>C3EXT-1279</t>
  </si>
  <si>
    <t xml:space="preserve">
SERVICIO DE PESCANTE DE INTERIOR GS PARA TRABAJOS CON COILED TUBING.
</t>
  </si>
  <si>
    <t>C3EXT-1280</t>
  </si>
  <si>
    <t xml:space="preserve">
SERVICIO DE PESCANTE EXTERIOR TIPO JDC HIDRÁULICO Y/O MECÁNICO PARA TRABAJOS CON COILED TUBING.
</t>
  </si>
  <si>
    <t>C3EXT-1281</t>
  </si>
  <si>
    <t xml:space="preserve">
SERVICIO DE PESCANTE PARA TRABAJOS CON COILED TUBING.
</t>
  </si>
  <si>
    <t>C3EXT-1282</t>
  </si>
  <si>
    <t xml:space="preserve">
SERVICIO DE PESCANTE MAGNÉTICO PARA TRABAJOS CON COILED TUBING.
</t>
  </si>
  <si>
    <t>C3EXT-1283</t>
  </si>
  <si>
    <t xml:space="preserve">
SERVICIO DE ZAPATAS CONFORMADORAS PARA TRABAJOS CON COILED TUBING.
</t>
  </si>
  <si>
    <t>C3EXT-1284</t>
  </si>
  <si>
    <t xml:space="preserve">
SERVICIO DE ARPONES PARA PESCA DE LÍNEA DE ACERO, PARA TRABAJOS CON COILED TUBING.
</t>
  </si>
  <si>
    <t>C3EXT-1285</t>
  </si>
  <si>
    <t xml:space="preserve">
SERVICIO DE EMPACADOR HIDRÁULICO SUBSUPERFICIAL PARA TRABAJOS CON COILED TUBING.
</t>
  </si>
  <si>
    <t>C3EXT-1286</t>
  </si>
  <si>
    <t xml:space="preserve">
SERVICIO DE EMPACADOR RECUPERABLE HIDRÁULICO PARA TRABAJOS CON COILED TUBING.
</t>
  </si>
  <si>
    <t>C3EXT-1287</t>
  </si>
  <si>
    <t xml:space="preserve">
SERVICIO DE EMPACADOR RECUPERABLE MECÁNICO PARA TRABAJOS CON COILED TUBING.
</t>
  </si>
  <si>
    <t>C3EXT-1288</t>
  </si>
  <si>
    <t xml:space="preserve">
SERVICIO DE VÁLVULA DE COLOCACIÓN DE CEMENTO PARA TRABAJOS CON COILED TUBING.
</t>
  </si>
  <si>
    <t>C3EXT-1289</t>
  </si>
  <si>
    <t xml:space="preserve">
SERVICIO DE SOLTADOR HIDRÁULICO PARA TRABAJOS CON COILED TUBING.
</t>
  </si>
  <si>
    <t>C3EXT-1290</t>
  </si>
  <si>
    <t xml:space="preserve">
SERVICIO DE JUNTA DE RODILLA PARA TRABAJOS CON COILED TUBING.
</t>
  </si>
  <si>
    <t>C3EXT-1291</t>
  </si>
  <si>
    <t xml:space="preserve">
SERVICIO DE REGISTRO DE CORRELACIÓN DE MEMORIA PARA TRABAJOS CON COILED TUBING.
</t>
  </si>
  <si>
    <t>C3EXT-1292</t>
  </si>
  <si>
    <t xml:space="preserve">
SERVICIO DE REGISTRO DE PRESIÓN Y TEMPERATURA DE FONDO DE MEMORIA PARA TRABAJOS CON COILED TUBING.
</t>
  </si>
  <si>
    <t>C3EXT-1293</t>
  </si>
  <si>
    <t xml:space="preserve">
SERVICIO DE CABEZA DE DISPAROS CON PRESIÓN PARA TRABAJOS CON COILED TUBING.
</t>
  </si>
  <si>
    <t>C3EXT-1294</t>
  </si>
  <si>
    <t xml:space="preserve">
SERVICIO DE BLOQUE DE IMPRESIÓN DIFERENTES DIÁMETROS PARA TRABAJOS CON COILED TUBING.
</t>
  </si>
  <si>
    <t>C3EXT-1295</t>
  </si>
  <si>
    <t xml:space="preserve">
SERVICIO DE CENTRADOR DE BAJA FRICCIÓN PARA TRABAJOS CON COILED TUBING.
</t>
  </si>
  <si>
    <t>C3EXT-1296</t>
  </si>
  <si>
    <t xml:space="preserve">
SERVICIO DE CANASTA CHATARRERA PARA TRABAJOS CON COILED TUBING.
</t>
  </si>
  <si>
    <t>C3EXT-1297</t>
  </si>
  <si>
    <t xml:space="preserve">
SERVICIO DE CANASTA CON SISTEMA VENTURI COLECTORA PARA TRABAJOS CON COILED TUBING.
</t>
  </si>
  <si>
    <t>C3EXT-1298</t>
  </si>
  <si>
    <t xml:space="preserve">
SERVICIO DE CALIBRADOR PARA TRABAJOS CON COILED TUBING.
</t>
  </si>
  <si>
    <t>C3EXT-1299</t>
  </si>
  <si>
    <t xml:space="preserve">
SERVICIO DE ESCARIADOR PARA TRABAJOS CON COILED TUBING.
</t>
  </si>
  <si>
    <t>C3EXT-1300</t>
  </si>
  <si>
    <t xml:space="preserve">
SERVICIO DE COMBINACIÓN PARA TRABAJOS CON COILED TUBING.
</t>
  </si>
  <si>
    <t>C3EXT-1301</t>
  </si>
  <si>
    <t xml:space="preserve">
SERVICIO DE BARRIL MUESTRERO PARA TRABAJOS CON COILED TUBING.
</t>
  </si>
  <si>
    <t>C3EXT-1302</t>
  </si>
  <si>
    <t xml:space="preserve">
SERVICIO DE UNIDAD DE COILED TUBING 1 O 1 CON CABLE DE REGISTROS ELÉCTRICOS.
</t>
  </si>
  <si>
    <t>C3EXT-1303</t>
  </si>
  <si>
    <t xml:space="preserve">
SERVICIO DE UNIDAD DE COILED TUBING 1 O 1 CON FIBRA ÓPTICA.
</t>
  </si>
  <si>
    <t>C3EXT-1304</t>
  </si>
  <si>
    <t xml:space="preserve">
SERVICIO DE SOPORTE CON ESTRUCTURA ESPECIALIZADA PARA TRABAJOS EN POZOS SIN EQUIPO.
</t>
  </si>
  <si>
    <t>C3EXT-1305</t>
  </si>
  <si>
    <t xml:space="preserve">
SISTEMA DE DESPLIEGUE DE HERRAMIENTAS DE FONDO EN POZOS BAJO PRESIÓN.
</t>
  </si>
  <si>
    <t>C3EXT-1306</t>
  </si>
  <si>
    <t xml:space="preserve">
SERVICIO DE EQUIPO PARA TRABAJAR CON COILED TUBING DE 1 1/2" DESDE UN BARCO O PLATAFORMA MÓVIL DE APOYO A UNA PLATAFORMA FIJA.
</t>
  </si>
  <si>
    <t>C3EXT-1307</t>
  </si>
  <si>
    <t xml:space="preserve">
SERVICIO DE MANGUERA COFLEXIP CARRETE Y DESCONECTOR RÁPIDO.
</t>
  </si>
  <si>
    <t>C3EXT-1308</t>
  </si>
  <si>
    <t xml:space="preserve">
SERVICIO DE COILED TUBING PARA SER UTILIZADA COMO SARTA DE VELOCIDAD O INYECCIÓN DE FLUIDOS DE 1.
</t>
  </si>
  <si>
    <t>C3EXT-1309</t>
  </si>
  <si>
    <t>C3EXT-1310</t>
  </si>
  <si>
    <t xml:space="preserve">
SERVICIO DE COILED TUBING PARA SER UTILIZADA COMO SARTA DE VELOCIDAD O INYECCIÓN DE FLUIDOS DE 2.
</t>
  </si>
  <si>
    <t>C3EXT-1311</t>
  </si>
  <si>
    <t xml:space="preserve">SERVICIO DE COILED TUBING PARA SER UTILIZADA COMO SARTA DE VELOCIDAD O INYECCIÓN DE FLUIDOS DE 2 3/8.
</t>
  </si>
  <si>
    <t>C3EXT-1312</t>
  </si>
  <si>
    <t xml:space="preserve">
SERVICIO DE COILED TUBING PARA SER UTILIZADA COMO SARTA DE VELOCIDAD O INYECCIÓN DE FLUIDOS DE 3.
</t>
  </si>
  <si>
    <t>C3EXT-1313</t>
  </si>
  <si>
    <t xml:space="preserve">
SERVICIO DE PARCHES CONVENCIONALES PARA TUBERÍA DE PRODUCCIÓN DE 3 1/2".
</t>
  </si>
  <si>
    <t>C3EXT-1314</t>
  </si>
  <si>
    <t xml:space="preserve">
SERVICIO DE PARCHES CONVENCIONALES PARA TUBERÍA DE PRODUCCIÓN DE 4 1/2".
</t>
  </si>
  <si>
    <t>C3EXT-1315</t>
  </si>
  <si>
    <t xml:space="preserve">
SERVICIO DE PARCHES EXPANDIBLES PARA TUBERÍA DE PRODUCCIÓN 4 1/2".
</t>
  </si>
  <si>
    <t>C3EXT-1316</t>
  </si>
  <si>
    <t xml:space="preserve">
SERVICIO DE PARCHES EXPANDIBLES PARA TUBERÍA DE PRODUCCIÓN 5 1/2".
</t>
  </si>
  <si>
    <t>C3EXT-1317</t>
  </si>
  <si>
    <t xml:space="preserve">
SERVICIO DE EMPACADOR INFLABLE PARA TRABAJOS CON COILED TUBING.
</t>
  </si>
  <si>
    <t>C3EXT-1318</t>
  </si>
  <si>
    <t xml:space="preserve">
SERVICIO DE CABEZA DE REGISTROS ELÉCTRICOS Y DISPAROS CON CABLE.
</t>
  </si>
  <si>
    <t>C3EXT-1319</t>
  </si>
  <si>
    <t xml:space="preserve">
SERVICIO DE CABEZA DE REGISTROS ELÉCTRICOS CON FIBRA ÓPTICA.
</t>
  </si>
  <si>
    <t>C3EXT-1320</t>
  </si>
  <si>
    <t xml:space="preserve">
SERVICIO DE REGISTRO DE CORRELACIÓN EN TIEMPO REAL.
</t>
  </si>
  <si>
    <t>C3EXT-1321</t>
  </si>
  <si>
    <t xml:space="preserve">
SERVICIO DE REGISTRADOR DE PRESIÓN Y TEMPERATURA DE FONDO EN TIEMPO REAL.
</t>
  </si>
  <si>
    <t>C3EXT-1322</t>
  </si>
  <si>
    <t xml:space="preserve">
SERVICIO DE SENSOR DE TENSIÓN Y COMPRESIÓN EN FONDO EN TIEMPO REAL.
</t>
  </si>
  <si>
    <t>C3EXT-1323</t>
  </si>
  <si>
    <t xml:space="preserve">
SERVICIO DE REGISTRADOR DE PRODUCCIÓN / INYECCIÓN EN TIEMPO REAL PARA POZOS VERTICALES O DE BAJA DESVIACIÓN.
</t>
  </si>
  <si>
    <t>C3EXT-1324</t>
  </si>
  <si>
    <t xml:space="preserve">
SERVICIO DE REGISTRADOR DE PRODUCCIÓN / INYECCIÓN EN TIEMPO REAL PARA POZOS HORIZONTALES O DE ALTA DESVIACIÓN.
</t>
  </si>
  <si>
    <t>C3EXT-1325</t>
  </si>
  <si>
    <t xml:space="preserve">
SERVICIO DE SONDA DE REGISTROS DE PRESIÓN Y TEMPERATURA A TIEMPO REAL HASTA 150 C.
</t>
  </si>
  <si>
    <t>C3EXT-1326</t>
  </si>
  <si>
    <t>C3EXT-1327</t>
  </si>
  <si>
    <t xml:space="preserve">
SERVICIO DE SONDA DE REGISTRO DE PERFILES DE PRODUCCIÓN PLT HASTA 150 C.
</t>
  </si>
  <si>
    <t>C3EXT-1328</t>
  </si>
  <si>
    <t>C3EXT-1329</t>
  </si>
  <si>
    <t xml:space="preserve">
SERVICIO DE SONDA DE REGISTRO DE SATURACIÓN DE FLUIDOS HASTA 150 C.
</t>
  </si>
  <si>
    <t>C3EXT-1330</t>
  </si>
  <si>
    <t xml:space="preserve">
SERVICIO DE SONDA DE REGISTRO DE MOVILIDAD DE FLUIDOS ENTRE ESPACIOS ANULARES HASTA 150 C.
</t>
  </si>
  <si>
    <t>C3EXT-1331</t>
  </si>
  <si>
    <t xml:space="preserve">
SERVICIO DE SONDA DE REGISTROS DE COPLES CCL HASTA 150 C.
</t>
  </si>
  <si>
    <t>C3EXT-1332</t>
  </si>
  <si>
    <t xml:space="preserve">
SERVICIO DE SONDA DE REGISTROS DE IMÁGENES DE INTEGRIDAD MECÁNICA DE APAREJO DE PRODUCCIÓN HASTA 150 C.
</t>
  </si>
  <si>
    <t>C3EXT-1333</t>
  </si>
  <si>
    <t xml:space="preserve">
SERVICIO DE SONDA DE REGISTRO DE IMÁGENES RADIOACTIVAS HASTA 150 C.
</t>
  </si>
  <si>
    <t>C3EXT-1334</t>
  </si>
  <si>
    <t xml:space="preserve">
SERVICIO DE SONDA DE REGISTRO DIRECCIONAL GIROSCÓPICO HASTA 150 C.
</t>
  </si>
  <si>
    <t>C3EXT-1335</t>
  </si>
  <si>
    <t xml:space="preserve">
SERVICIO DE PISTOLAS PARA DISPAROS PUNCHER (INCLUYE CARGA).
</t>
  </si>
  <si>
    <t>C3EXT-1336</t>
  </si>
  <si>
    <t xml:space="preserve">
SERVICIO DE PISTOLAS PARA DISPAROS DE INTERVALOS (INCLUYE CARGA).
</t>
  </si>
  <si>
    <t>C3EXT-1337</t>
  </si>
  <si>
    <t xml:space="preserve">
SERVICIO DE HERRAMIENTA PARA CORTE QUÍMICO Y TÉRMICO DE TUBERÍAS.
</t>
  </si>
  <si>
    <t>C3EXT-1338</t>
  </si>
  <si>
    <t xml:space="preserve">
SERVICIO DE HERRAMIENTA PARA COLOCACIÓN DE TAPONES DE CEMENTO.
</t>
  </si>
  <si>
    <t>C3EXT-1339</t>
  </si>
  <si>
    <t xml:space="preserve">
SERVICIO DE HERRAMIENTA PARA CARGAS VIBRATORIAS PARA LIMPIEZA DE TUBERÍAS.
</t>
  </si>
  <si>
    <t>C3EXT-1340</t>
  </si>
  <si>
    <t xml:space="preserve">
SERVICIO DE TAPÓN DE CEMENTO CON VÁLVULA.
</t>
  </si>
  <si>
    <t>C3EXT-1341</t>
  </si>
  <si>
    <t xml:space="preserve">
SERVICIO DE SONDA DE REGISTRO SONICO DE CEMENTACION (CBL-VDL) HASTA 150 C.
</t>
  </si>
  <si>
    <t>C3EXT-1342</t>
  </si>
  <si>
    <t xml:space="preserve">
SERVICIO DE SONDA DE REGISTRO SONICO DE CEMENTACION CON MAPEO Y DIRECION AZIMUTHAL (CBL-VDL) HASTA 150 C.
</t>
  </si>
  <si>
    <t>C3EXT-1343</t>
  </si>
  <si>
    <t xml:space="preserve">
SERVICIO DE SONDA DE REGISTRO DE CARBONO OXIGENO CON 2 DETECTORES HASTA 150 C.
</t>
  </si>
  <si>
    <t>C3EXT-1344</t>
  </si>
  <si>
    <t xml:space="preserve">
SERVICIO DE SONDA DE REGISTRO DE CARBONO OXIGENO CON 3 DETECTORES HASTA 175 C.
</t>
  </si>
  <si>
    <t>C3EXT-1345</t>
  </si>
  <si>
    <t xml:space="preserve">
SERVICIO DE SONDA DE REGISTRO DE SATURACION DE FLUIDOS SIGMA CON 3 DETECTORES HASTA 175 C.
</t>
  </si>
  <si>
    <t>C3EXT-1346</t>
  </si>
  <si>
    <t xml:space="preserve">
SERVICIO DE SONDA DE REGISTRO DE MOVILIDAD DE FLUIDOS ENTRE ESPACIOS ANULARES CON 3 DETECTORES HASTA 175 C.
</t>
  </si>
  <si>
    <t>C3EXT-1347</t>
  </si>
  <si>
    <t>ESTACION</t>
  </si>
  <si>
    <t>C3EXT-1348</t>
  </si>
  <si>
    <t xml:space="preserve">
SERVICIO DE SONDA DE REGISTRO DE EVALUACIÓN DE FORMACIÓN INTEGRAL AUTÓNOMO EN AGUJERO ENTUBADO CON 3 DETECTORES HASTA 175 C. (PRODUCTOS: MINERALOGÍA, POROSIDAD TOTAL, SATURACIÓN DE FLUIDOS Y GAS).
</t>
  </si>
  <si>
    <t>C3EXT-1349</t>
  </si>
  <si>
    <t xml:space="preserve">
SERVICIO DE SONDA DE REGISTRO DE DETECCION MAGNETICA DE ESPESORES DE TUBERIA HASTA 150 C.
</t>
  </si>
  <si>
    <t>C3EXT-1350</t>
  </si>
  <si>
    <t xml:space="preserve">
SERVICIO DE CORTADOR TIPO JET (POWER CUTTER) PARA TUBERIAS DE 2-7/8'' A 4-1/2''.
</t>
  </si>
  <si>
    <t>C3EXT-1351</t>
  </si>
  <si>
    <t xml:space="preserve">
SERVICIO DE CORTADOR TIPO JET (POWER CUTTER) PARA TUBERIAS DE 5'' A 7''.
</t>
  </si>
  <si>
    <t>C3EXT-1352</t>
  </si>
  <si>
    <t xml:space="preserve">
SERVICIO DE DISPARO CON PISTOLAS ENTUBADAS DE 2'' 2 1/8'', 400 F/100 HORAS, 20 CARGAS POR METRO, FASE 60, BAJADAS CON CABLE ELÉCTRICO.
</t>
  </si>
  <si>
    <t>C3EXT-1353</t>
  </si>
  <si>
    <t xml:space="preserve">
SERVICIO DE DISPARO CON PISTOLAS ENTUBADAS DE 2 1/2'' O 2 7/8'', 400 F/100 HORAS, 20 CARGAS POR METRO, FASE 60, BAJADAS CON CABLE ELÉCTRICO.
</t>
  </si>
  <si>
    <t>C3EXT-1354</t>
  </si>
  <si>
    <t xml:space="preserve">
SERVICIO DE DISPARO CON PISTOLAS ENTUBADAS 3 3/8'' 3 1/2'', 400 F/100 HORAS, 20 CARGAS POR METRO, FASE 60, BAJADAS CON CABLE ELÉCTRICO.
</t>
  </si>
  <si>
    <t>C3EXT-1355</t>
  </si>
  <si>
    <t xml:space="preserve">
SERVICIO DE DISPARO CON PISTOLAS ENTUBADAS 4 1/2'' O 4 5/8'', 400 F/100 HORAS, 20 CARGAS POR METRO, FASE 60, BAJADAS CON CABLE ELÉCTRICO.
</t>
  </si>
  <si>
    <t>C3EXT-1356</t>
  </si>
  <si>
    <t xml:space="preserve">
SERVICIO DE CABLE PARA CONDICIONES DE POZOS CON H2S Y CO2 (POR CORRIDA).
</t>
  </si>
  <si>
    <t>C3EXT-1357</t>
  </si>
  <si>
    <t xml:space="preserve">
SERVICIOS CON EQUIPO PARA CONTROL DE PRESIÓN DE 10,000 PSI. (PRESIÓN DE TRABAJO) CON SELLO DINÁMICO INTERCONECTADO CON ADAPTADOR TIPO FLANGE.
</t>
  </si>
  <si>
    <t>C3EXT-1358</t>
  </si>
  <si>
    <t xml:space="preserve">
SERVICIO DE SENSOR DE PRESIÓN DE MEMORIA PARA TRABAJOS CON SLICKLINE
</t>
  </si>
  <si>
    <t>C3EXT-1359</t>
  </si>
  <si>
    <t xml:space="preserve">
SERVICIO DE SENSOR DE TEMPERATURA MEMORIA PARA TRABAJOS CON SLICKLINE.
</t>
  </si>
  <si>
    <t>C3EXT-1360</t>
  </si>
  <si>
    <t xml:space="preserve">
SERVICIO DE BLOCK DE IMPRESIÓN DE DIFERENTES DIÁMETROS PARA TRABAJOS CON SLICKLINE.
</t>
  </si>
  <si>
    <t>C3EXT-1361</t>
  </si>
  <si>
    <t xml:space="preserve">
SERVICIO CORTADORES DE PARAFINAS DIFERENTES DIÁMETROS PARA TRABAJOS CON SLICKLINE.
</t>
  </si>
  <si>
    <t>C3EXT-1362</t>
  </si>
  <si>
    <t xml:space="preserve">
SERVICIO DE BARRAS DE CONTRAPESO PARA TRABAJOS CON SLICKLINE.
</t>
  </si>
  <si>
    <t>C3EXT-1363</t>
  </si>
  <si>
    <t xml:space="preserve">
SERVICIO DE TIJERAS MECÁNICAS PARA TRABAJOS CON SLICKLINE.
</t>
  </si>
  <si>
    <t>C3EXT-1364</t>
  </si>
  <si>
    <t xml:space="preserve">
SERVICIO DE OPERADORAS DE CAMISAS MECÁNICAS PARA TRABAJOS CON SLICKLINE.
</t>
  </si>
  <si>
    <t>C3EXT-1365</t>
  </si>
  <si>
    <t xml:space="preserve">
SERVICIO DE PESCANTES SERIE S O R PARA TRABAJOS CON SLICKLINE.
</t>
  </si>
  <si>
    <t>C3EXT-1366</t>
  </si>
  <si>
    <t xml:space="preserve">
SERVICIO DE PESCANTES ARPÓN DE 2 O 3 PATAS PARA TRABAJOS CON SLICKLINE.
</t>
  </si>
  <si>
    <t>C3EXT-1367</t>
  </si>
  <si>
    <t xml:space="preserve">
SERVICIO DE SOLTADORA SERIE X O R PARA TRABAJOS CON SLICKLINE.
</t>
  </si>
  <si>
    <t>C3EXT-1368</t>
  </si>
  <si>
    <t xml:space="preserve">
SERVICIO DE LOCALIZADORES DE SLICKLINE.
</t>
  </si>
  <si>
    <t>C3EXT-1369</t>
  </si>
  <si>
    <t xml:space="preserve">
SERVICIO DE DIABLO CORTADOR DE SLICKLINE.
</t>
  </si>
  <si>
    <t>C3EXT-1370</t>
  </si>
  <si>
    <t xml:space="preserve">
SERVICIO DE CUBETAS PARA RECUPERAR MUESTRAS LIQUIDAS SIN PRESIÓN.
</t>
  </si>
  <si>
    <t>C3EXT-1371</t>
  </si>
  <si>
    <t xml:space="preserve">
SERVICIO DE CANASTA HIDROSTÁTICA PARA RECUPERAR MUESTRAS SÓLIDAS.
</t>
  </si>
  <si>
    <t>C3EXT-1372</t>
  </si>
  <si>
    <t xml:space="preserve">
SERVICIO DE DISPOSITIVOS DE ANCLAJE TIPO COLLAR STOP O TUBING STOP", EN APAREJOS DE 2 3/8", 2 7/8", 3 1/2" Y 4 1/2".
</t>
  </si>
  <si>
    <t>C3EXT-1373</t>
  </si>
  <si>
    <t xml:space="preserve">
SERVICIO DE PESCANTES TIPO JDC O JUC PARA TRABAJOS CON SLICKLINE.
</t>
  </si>
  <si>
    <t>C3EXT-1374</t>
  </si>
  <si>
    <t xml:space="preserve">
SERVICIO DE TAPÓN DE PRUEBA TIPO N PARA ANCLARSE EN NIPLES TIPO RN O XN , TAPÓN "FB-2 O "XX" PARA APAREJOS DE 2 3/8", 2 7/8" 3 1/2" Y 4 1/2".
</t>
  </si>
  <si>
    <t>C3EXT-1375</t>
  </si>
  <si>
    <t xml:space="preserve">
SERVICIO DE PATEADOR AJUSTABLE PARA COLOCAR Y RECUPERAR VÁLVULAS DE BOMBEO NEUMÁTICO, Y TAPONES DUMMY EN MANDRILES COMBINADOS DE 2 3/8 ., 2 7/8", 3 1/2" Y 4 1/2".
</t>
  </si>
  <si>
    <t>C3EXT-1376</t>
  </si>
  <si>
    <t xml:space="preserve">
SERVICIO DE PUNZÓN PARA ROMPER TAPONES DE CERÁMICA.
</t>
  </si>
  <si>
    <t>C3EXT-1377</t>
  </si>
  <si>
    <t xml:space="preserve">
SERVICIO DE TAPON RECUPERABLE PARA ASENTAMIENTO SIN REQUERIMIENTO DE PERFIL DE ANCLADO PARA TUBERIAS DE 2.875'', 3.5'', 4.5'', 5''.
</t>
  </si>
  <si>
    <t>C3EXT-1378</t>
  </si>
  <si>
    <t xml:space="preserve">
SERVICIO DE ASENTAMIENTO O RECUPERACION DE TAPONES.
</t>
  </si>
  <si>
    <t>C3EXT-1379</t>
  </si>
  <si>
    <t xml:space="preserve">
SERVICIO DE HERRAMIENTA DE ACCIÓN CON TORQUE PARA REMOCIÓN DE RESIDUOS EN PAREDES DE TUBERÍA. (INCLUYE 3 TAMAÑOS DIFERENTES).
</t>
  </si>
  <si>
    <t>C3EXT-1380</t>
  </si>
  <si>
    <t xml:space="preserve">
SERVICIO DE ASENTAMIENTO DE COLGADOR DE SENSORES PT CON ANCLAJE DE ALTA EXPANSIÓN.
</t>
  </si>
  <si>
    <t>C3EXT-1381</t>
  </si>
  <si>
    <t xml:space="preserve">
SERVICIO DE COLGADOR DE SENSORES PT CON ANCLAJE DE ALTA EXPANSIÓN.
</t>
  </si>
  <si>
    <t>C3EXT-1382</t>
  </si>
  <si>
    <t>SERVICIO DE SISTEMA DE ANCLAJE INFERIOR Y SUPERIOR PARA HERRAMIENTA AISLADORA DE FUGAS (STRADDLE) DE MEDIDAS 2 7/8'' Y 3 1/2''.</t>
  </si>
  <si>
    <t>C3EXT-1383</t>
  </si>
  <si>
    <t>SERVICIO DE TUBO ESPACIADOR DE 1.5 METROS PARA HERRAMIENTA AISLADORA DE FUGAS (STRADDLE) DE DE 2 7/8'' Y 3 1/2''.</t>
  </si>
  <si>
    <t>C3EXT-1384</t>
  </si>
  <si>
    <t>SERVICIO DE TUBO ESPACIADOR DE 3 METROS PARA HERRAMIENTA AISLADORA DE FUGAS (STRADDLE) DE 2 7/8'' Y 3 1/2''.</t>
  </si>
  <si>
    <t>C3EXT-1385</t>
  </si>
  <si>
    <t>SERVICIO DE SISTEMA DE ANCLAJE INFERIOR Y SUPERIOR PARA HERRAMIENTA AISLADORA DE FUGAS (STRADDLE) DE MEDIDAS 4 1/2'' Y 5''.</t>
  </si>
  <si>
    <t>C3EXT-1386</t>
  </si>
  <si>
    <t>SERVICIO DE TUBO ESPACIADOR DE 1.5 METROS PARA HERRAMIENTA AISLADORA DE FUGAS (STRADDLE) DE 4 1/2'' Y 5''.</t>
  </si>
  <si>
    <t>C3EXT-1387</t>
  </si>
  <si>
    <t>SERVICIO DE TUBO ESPACIADOR DE 3 METROS PARA HERRAMIENTA AISLADORA DE FUGAS (STRADDLE) DE 4 1/2'' Y 5''.</t>
  </si>
  <si>
    <t>C3EXT-1388</t>
  </si>
  <si>
    <t>SERVICIO DE SISTEMA DE ANCLAJE INFERIOR Y SUPERIOR PARA HERRAMIENTA AISLADORA DE FUGAS (STRADDLE) DE MEDIDAS 5 1/2'' Y 7''.</t>
  </si>
  <si>
    <t>C3EXT-1389</t>
  </si>
  <si>
    <t>SERVICIO DE TUBO ESPACIADOR DE 1.5 METROS PARA HERRAMIENTA AISLADORA DE FUGAS (STRADDLE) DE 5 1/2'' Y 7''.</t>
  </si>
  <si>
    <t>C3EXT-1390</t>
  </si>
  <si>
    <t>SERVICIO DE TUBO ESPACIADOR DE 3 METROS PARA HERRAMIENTA AISLADORA DE FUGAS (STRADDLE) DE 5 1/2'' Y 7''.</t>
  </si>
  <si>
    <t>C3EXT-1391</t>
  </si>
  <si>
    <t>SERVICIO DE INSTALACION DE SISTEMA DE ANCLAJE, DE TUBOS ESPACIADORES O RECUPERACION DE HERRAMIENTA AISLADORA (CARGO POR CORRIDA).</t>
  </si>
  <si>
    <t>C3EXT-1392</t>
  </si>
  <si>
    <t>SERVICIO DE KIT DE MANTENIMIENTO PARA HERRAMIENTA RECUPERABLE AISLADORA DE FUGAS (STRADDLE).</t>
  </si>
  <si>
    <t>C3EXT-1393</t>
  </si>
  <si>
    <t xml:space="preserve">
SERVICIO POR HERRAMIENTA DE DETECCION DE FUGAS PARA TUBERIAS 2 7/8'' HASTA 4 1/2''. (POR CORRIDA).
</t>
  </si>
  <si>
    <t>C3EXT-1394</t>
  </si>
  <si>
    <t xml:space="preserve">
SERVICIO DE HERRAMIENTA DE DETECCION DE FUGAS PARA TUBERIAS 2 7/8'' HASTA 4 1/2''.
</t>
  </si>
  <si>
    <t>C3EXT-1395</t>
  </si>
  <si>
    <t xml:space="preserve">
SERVICIO INTEGRAL PARA MEDICIÓN DE SUPERFICIE DE FLUJO DE ACEITE, GAS, AGUA Y SÓLIDOS DEL POZO CON SISTEMA PARA MEDICIÓN TIPO MULTIFÁSICO DE 500 A 10,000 BPD, PARA TEMPERATURA DE HASTA 150 C Y DE 10,000 A 15,000 PSI DE TRABAJO.
</t>
  </si>
  <si>
    <t>C3EXT-1396</t>
  </si>
  <si>
    <t xml:space="preserve">
LIBRANZA OPERATIVA DE SERVICIO INTEGRAL PARA MEDICIÓN DE SUPERFICIE DE FLUJO DE ACEITE, GAS, AGUA Y SÓLIDOS DEL POZO CON SISTEMA PARA MEDICIÓN TIPO MULTIFÁSICO DE 500 A 10,000 BPD, PARA TEMPERATURA DE HASTA 150 C Y DE 10,000 A 15,000 PSI DE TRABAJO.
</t>
  </si>
  <si>
    <t>C3EXT-1397</t>
  </si>
  <si>
    <t xml:space="preserve">
SERVICIO INTEGRAL PARA MEDICIÓN DE SUPERFICIE DE FLUJO DE ACEITE, GAS, AGUA Y SÓLIDOS DEL POZO CON SISTEMA PARA MEDICIÓN TIPO MULTIFÁSICO DE 10,000 A 20,000 BPD, PARA TEMPERATURA DE HASTA 150 C Y DE 10,000 A 15,000 PSI DE TRABAJO.
</t>
  </si>
  <si>
    <t>C3EXT-1398</t>
  </si>
  <si>
    <t xml:space="preserve">
LIBRANZA OPERATIVA DE SERVICIO INTEGRAL PARA MEDICIÓN DE SUPERFICIE DE FLUJO DE ACEITE, GAS, AGUA Y SÓLIDOS DEL POZO CON SISTEMA PARA MEDICIÓN TIPO MULTIFÁSICO DE 10,000 A 20,000 BPD, PARA TEMPERATURA DE HASTA 150 C Y DE 10,000 A 15,000 PSI DE TRABAJO.
</t>
  </si>
  <si>
    <t>C3EXT-1399</t>
  </si>
  <si>
    <t xml:space="preserve">
SERVICIO DE MANEJO DE FLUIDOS DE PRODUCCIÓN EN SUPERFICIE DE ACEITE, GAS, AGUA Y SÓLIDOS DEL POZO CON ÁRBOL DE ESTRANGULACIÓN CON 1 ESTRANGULADOR FIJO Y 1 VARIABLE DE 0 HASTA 2 , CON TOMAS PARA MUESTREO Y PUNTOS DE ADQUISICIÓN DE DATOS CON VÁLVULA DE
</t>
  </si>
  <si>
    <t>C3EXT-1400</t>
  </si>
  <si>
    <t xml:space="preserve">
SERVICIO DE MEDICIÓN DE FLUIDOS DE APORTE DE POZOS CON SEPARADOR MULTIFÁSICO DE DIFERENTES PRESIONES DE TRABAJO DE HASTA 1,440 PSI Y TEMPERATURA DE OPERACIÓN DE HASTA 125 C.
</t>
  </si>
  <si>
    <t>C3EXT-1401</t>
  </si>
  <si>
    <t xml:space="preserve">
LIBRANZA OPERATIVA DE SERVICIO DE MEDICIÓN DE FLUIDOS DE APORTE DE POZOS CON LOS SEPARADORES MULTIFÁSICOS DE DIFERENTES PRESIONES DE TRABAJO.
</t>
  </si>
  <si>
    <t>C3EXT-1402</t>
  </si>
  <si>
    <t xml:space="preserve">
SERVICIO DE CONJUNTO DE CONEXIONES DE APLICACIÓN ESPECIAL A BASE DE LÍNEAS DE INTERCONEXIÓN DE 2" O 3" DE DIÁMETRO PARA PRESIONES DE OPERACIÓN DE 5,000 PSI A 10,000 PSI.
</t>
  </si>
  <si>
    <t>C3EXT-1403</t>
  </si>
  <si>
    <t xml:space="preserve">
SERVICIO INTEGRAL PARA LA VISUALIZACIÓN DE INFORMACIÓN RELACIONADA CON ACTIVIDADES DE PERFORACIÓN Y PRODUCCIÓN, PROVENIENTE DE TRABAJOS DESARROLLADOS POR LA INDUSTRIA PETROLERA.
</t>
  </si>
  <si>
    <t>C3EXT-1404</t>
  </si>
  <si>
    <t xml:space="preserve">
SERVICIO DE BOMBEO DE NITRÓGENO GASEOSO HASTA 80 M3/MIN.
</t>
  </si>
  <si>
    <t>C3EXT-1405</t>
  </si>
  <si>
    <t xml:space="preserve">
SERVICIO DE BOMBEO DE NITRÓGENO GASEOSO EN RANGO DE 81 M3/MIN HASTA 150 M3/MIN.
</t>
  </si>
  <si>
    <t>C3EXT-1406</t>
  </si>
  <si>
    <t xml:space="preserve">
LIBRANZA OPERATIVA PARA SERVICIO DE BOMBEO DE NITRÓGENO GASEOSO.
</t>
  </si>
  <si>
    <t>C3EXT-1407</t>
  </si>
  <si>
    <t xml:space="preserve">
SERVICIO DE SUMINISTRO DE GAS NITRÓGENO PARA INTERVENCIONES A POZOS.
</t>
  </si>
  <si>
    <t>C3EXT-1408</t>
  </si>
  <si>
    <t xml:space="preserve">
SERVICIO DE SUMINISTRO Y PREPARACIÓN DE SALMUERA CÁLCICA DE 1.01 A 1.09 GR/CM3.
</t>
  </si>
  <si>
    <t>C3EXT-1409</t>
  </si>
  <si>
    <t xml:space="preserve">
SERVICIO DE SUMINISTRO Y PREPARACIÓN DE CLORURO DE CALCIO PARA DENSIFICAR SALMUERAS
</t>
  </si>
  <si>
    <t>C3EXT-1410</t>
  </si>
  <si>
    <t xml:space="preserve">
SERVICIO DE SUMINISTRO Y PREPARACIÓN DE BACHE DE HCL INHIBIDO DE 7.5% AL 15% PARA LIMPIEZA DE TUBERÍAS.
</t>
  </si>
  <si>
    <t>C3EXT-1411</t>
  </si>
  <si>
    <t xml:space="preserve">
SERVICIO DE SUMINISTRO Y PREPARACIÓN DE SISTEMA MULTIFUNCIONAL PARA DISOLVER Y DISPERSAR DEPÓSITOS DE ASFALTENOS/PARAFINAS.
</t>
  </si>
  <si>
    <t>C3EXT-1412</t>
  </si>
  <si>
    <t xml:space="preserve">
SERVICIO DE SUMINISTRO Y PREPARACIÓN DE SISTEMA DIVERGENTE PARA ÁCIDOS.
</t>
  </si>
  <si>
    <t>C3EXT-1413</t>
  </si>
  <si>
    <t xml:space="preserve">
SERVICIO DE SUMINISTRO Y PREPARACIÓN DE GEL PARA CONTROL DE AGUA.
</t>
  </si>
  <si>
    <t>C3EXT-1414</t>
  </si>
  <si>
    <t xml:space="preserve">
SERVICIO DE SUMINISTRO Y PREPARACIÓN DE GEL LINEAL PARA LIMPIEZA DE APAREJOS DE PRODUCCIÓN.
</t>
  </si>
  <si>
    <t>C3EXT-1415</t>
  </si>
  <si>
    <t xml:space="preserve">
SERVICIO DE SUMINISTRO Y PREPARACIÓN DE FLUIDO PARA CONTROL DE GAS.
</t>
  </si>
  <si>
    <t>C3EXT-1416</t>
  </si>
  <si>
    <t xml:space="preserve">
SERVICIO DE SUMINISTRO Y PREPARACIÓN DE BACHE NEUTRALIZADOR DE ÁCIDO.
</t>
  </si>
  <si>
    <t>C3EXT-1417</t>
  </si>
  <si>
    <t xml:space="preserve">
SERVICIO DE SUMINISTRO Y PREPARACIÓN DE SISTEMAS ÁCIDOS PARA LIMPIEZAS DE FORMACIÓN.
</t>
  </si>
  <si>
    <t>C3EXT-1418</t>
  </si>
  <si>
    <t xml:space="preserve">
SERVICIO DE SUMINISTRO Y PREPARACIÓN DE SISTEMAS NO ÁCIDOS PARA LIMPIEZAS DE FORMACIÓN (CLEANSWEEP I).
</t>
  </si>
  <si>
    <t>C3EXT-1419</t>
  </si>
  <si>
    <t xml:space="preserve">
SERVICIO DE SUMINISTRO Y PREPARACIÓN DE AGENTE ESPUMANTE.
</t>
  </si>
  <si>
    <t>C3EXT-1420</t>
  </si>
  <si>
    <t xml:space="preserve">
SERVICIO DE SUMINISTRO Y PREPARACIÓN DE LECHADA DE TAPÓN DE CEMENTO PARA CONTROL DE AGUA
</t>
  </si>
  <si>
    <t>C3EXT-1421</t>
  </si>
  <si>
    <t xml:space="preserve">
SERVICIO DE SUMINISTRO Y PREPARACIÓN DE SISTEMA SOLVENTE SINTÉTICO ESPUMADO.
</t>
  </si>
  <si>
    <t>C3EXT-1422</t>
  </si>
  <si>
    <t xml:space="preserve">
SERVICIO DE SUMINISTRO Y PREPARACIÓN DE TRATAMIENTO SQUEEZE ESPUMADO PARA INHIBICIÓN DE INCRUSTACIONES DE CARBONATO DE CALCIO Y SULFATO DE CALCIO (TRATAMIENTO SQUEEZE).
</t>
  </si>
  <si>
    <t>C3EXT-1423</t>
  </si>
  <si>
    <t xml:space="preserve">
SERVICIO DE SUMINISTRO Y PREPARACIÓN DE SISTEMA ROMPEDOR DE PELÍCULAS ASFALTÉNICAS, PARAFÍNICAS Y RESINAS ASFÁLTICAS.
</t>
  </si>
  <si>
    <t>C3EXT-1424</t>
  </si>
  <si>
    <t xml:space="preserve">
SERVICIO DE SUMINISTRO Y PREPARACIÓN DE SISTEMA ESTIMULANTE PARA ARENAS Y ARENISCAS.
</t>
  </si>
  <si>
    <t>C3EXT-1425</t>
  </si>
  <si>
    <t xml:space="preserve">
SERVICIO DE SUMINISTRO Y PREPARACIÓN DE SISTEMA ROMPEDOR DE EMULSIONES BASE SOLVENTE PARA LÍNEAS SUPERFICIALES Y BAJANTES.
</t>
  </si>
  <si>
    <t>C3EXT-1426</t>
  </si>
  <si>
    <t xml:space="preserve">
SERVICIO DE SUMINISTRO Y PREPARACIÓN DE SISTEMA DIVERGENTE ESPUMADO BASE VISCOELÁSTICO.
</t>
  </si>
  <si>
    <t>C3EXT-1427</t>
  </si>
  <si>
    <t xml:space="preserve">
SISTEMA SOLUBILIZADOR Y DILUYENTES DE DAÑOS POLIMÉRICOS
</t>
  </si>
  <si>
    <t>C3EXT-1428</t>
  </si>
  <si>
    <t xml:space="preserve">
SERVICIO DE SUMINISTRO Y PREPARACIÓN DE SISTEMA ESTIMULANTE Y SOLUBILIZADOR PARA YACIMIENTOS DE CARBONATOS Y DOLOMITAS  (OPENPATH REACH LT  Y OPENPATH REACH FLEX 20%).
</t>
  </si>
  <si>
    <t>C3EXT-1429</t>
  </si>
  <si>
    <t xml:space="preserve">
SERVICIO DE SUMINISTRO Y PREPARACIÓN DE SISTEMA REACTIVO BASE SOLVENTE (DAD).
</t>
  </si>
  <si>
    <t>C3EXT-1430</t>
  </si>
  <si>
    <t xml:space="preserve">
SERVICIO DE SUMINISTRO Y PREPARACIÓN DE SISTEMA DESPEGADOR DE HERRAMIENTAS DE FONDO.
</t>
  </si>
  <si>
    <t>C3EXT-1431</t>
  </si>
  <si>
    <t xml:space="preserve">
SERVICIO DE SUMINISTRO Y PREPARACIÓN DE SISTEMA DESPEGADOR BASE ÁCIDO PARA EQUIPOS DE PERFORACIÓN.
</t>
  </si>
  <si>
    <t>C3EXT-1432</t>
  </si>
  <si>
    <t xml:space="preserve">
SERVICIO DE SUMINISTRO Y PREPARACIÓN DE SISTEMA SOLVENTE.
</t>
  </si>
  <si>
    <t>C3EXT-1433</t>
  </si>
  <si>
    <t xml:space="preserve">
SERVICIO DE SUMINISTRO Y PREPARACIÓN DE SISTEMA REDUCTOR DE VISCOSIDAD.
</t>
  </si>
  <si>
    <t>C3EXT-1434</t>
  </si>
  <si>
    <t xml:space="preserve">
SERVICIO DE SUMINISTRO Y PREPARACIÓN DE SISTEMA ESPUMADO REACTIVO.
</t>
  </si>
  <si>
    <t>C3EXT-1435</t>
  </si>
  <si>
    <t xml:space="preserve">
SERVICIO DE SUMINISTRO Y PREPARACIÓN DE SISTEMA QUÍMICO PARA CONTROL DE GAS DE FORMACIÓN.
</t>
  </si>
  <si>
    <t>C3EXT-1436</t>
  </si>
  <si>
    <t xml:space="preserve">
SERVICIO DE SUMINISTRO Y PREPARACIÓN DE SISTEMA DE CONTROL DE AGUA SELECTIVO.
</t>
  </si>
  <si>
    <t>C3EXT-1437</t>
  </si>
  <si>
    <t xml:space="preserve">
SERVICIO DE SUMINISTRO Y PREPARACIÓN DE SISTEMA QUÍMICO SOLVENTE CON NANOTECNOLOGÍA.
</t>
  </si>
  <si>
    <t>C3EXT-1438</t>
  </si>
  <si>
    <t xml:space="preserve">
SERVICIO DE SUMINISTRO Y PREPARACIÓN DE SISTEMA QUÍMICO PARA INDUCCIÓN DE POZOS.
</t>
  </si>
  <si>
    <t>C3EXT-1439</t>
  </si>
  <si>
    <t xml:space="preserve">
SERVICIO DE SUMINISTRO Y PREPARACIÓN DE SISTEMA ÁCIDO BIODEGRADABLE.
</t>
  </si>
  <si>
    <t>C3EXT-1440</t>
  </si>
  <si>
    <t xml:space="preserve">
SERVICIO DE SUMINISTRO Y PREPARACIÓN DE SISTEMA TRATAMIENTO SQUEEZE DE INCRUSTACIONES ORGÁNICAS (ASFÁLTENOS) (CLEANSWEEP ASP).
</t>
  </si>
  <si>
    <t>C3EXT-1441</t>
  </si>
  <si>
    <t xml:space="preserve">
SERVICIO DE SUMINISTRO Y PREPARACIÓN DE SISTEMA REMOVEDOR DE INCRUSTACIONES PARA ALTA TEMPERATURA.
</t>
  </si>
  <si>
    <t>C3EXT-1442</t>
  </si>
  <si>
    <t xml:space="preserve">
SERVICIO DE SUMINISTRO Y PREPARACIÓN DE SISTEMA PARA LIMPIEZA DE ARENAS.
</t>
  </si>
  <si>
    <t>C3EXT-1443</t>
  </si>
  <si>
    <t xml:space="preserve">
SERVICIO DE SUMINISTRO Y PREPARACIÓN DE SISTEMA REACTIVO ESPUMADO BIODEGRADABLE.
</t>
  </si>
  <si>
    <t>C3EXT-1444</t>
  </si>
  <si>
    <t xml:space="preserve">
SERVICIO DE SUMINISTRO Y PREPARACIÓN DE SISTEMA NO-REACTIVO BASE AGUA CON NANOTECNOLOGÍA.
</t>
  </si>
  <si>
    <t>C3EXT-1445</t>
  </si>
  <si>
    <t xml:space="preserve">
SERVICIO DE SUMINISTRO Y PREPARACIÓN DE SISTEMA ÁCIDO RETARDADO PARA FORMACIÓN.
</t>
  </si>
  <si>
    <t>C3EXT-1446</t>
  </si>
  <si>
    <t xml:space="preserve">
SERVICIO DE SUMINISTRO Y PREPARACIÓN DE SISTEMA DE ÁCIDO PARA FORMACIÓN PARA ALTAS TEMPERATURAS.
</t>
  </si>
  <si>
    <t>C3EXT-1447</t>
  </si>
  <si>
    <t xml:space="preserve">
SERVICIO DE SUMINISTRO Y PREPARACIÓN DE SISTEMA DE ÁCIDO ESPUMADO DIVERGENTE.
</t>
  </si>
  <si>
    <t>C3EXT-1448</t>
  </si>
  <si>
    <t xml:space="preserve">
SERVICIO DE SUMINISTRO Y PREPARACIÓN DE SISTEMA ACIDO ORGÁNICO PARA ALTA TEMPERATURA.
</t>
  </si>
  <si>
    <t>C3EXT-1449</t>
  </si>
  <si>
    <t xml:space="preserve">
SERVICIO DE SUMINISTRO Y PREPARACIÓN DE SISTEMA DISOLVENTE REACTIVO NO CORROSIVO.
</t>
  </si>
  <si>
    <t>C3EXT-1450</t>
  </si>
  <si>
    <t xml:space="preserve">
SERVICIO DE SUMINISTRO Y PREPARACIÓN DE SISTEMA ÁCIDO FLUORHÍDRICO.
</t>
  </si>
  <si>
    <t>C3EXT-1451</t>
  </si>
  <si>
    <t xml:space="preserve">
SERVICIO DE SUMINISTRO Y PREPARACIÓN DE SISTEMA AROMÁTICO REMOVEDOR DE ORGÁNICOS.
</t>
  </si>
  <si>
    <t>C3EXT-1452</t>
  </si>
  <si>
    <t xml:space="preserve">
SERVICIO DE SUMINISTRO Y PREPARACIÓN DE SISTEMA SOLVENTE MODIFICADOR DE MOJABILIDAD.
</t>
  </si>
  <si>
    <t>C3EXT-1453</t>
  </si>
  <si>
    <t xml:space="preserve">
SERVICIO DE SUMINISTRO Y PREPARACIÓN DE SOLVENTE LAVADOR ESPUMADO.
</t>
  </si>
  <si>
    <t>C3EXT-1454</t>
  </si>
  <si>
    <t xml:space="preserve">
SERVICIO DE SUMINISTRO Y PREPARACIÓN DE SISTEMA REMOVEDOR DE INCRUSTACIONES.
</t>
  </si>
  <si>
    <t>C3EXT-1455</t>
  </si>
  <si>
    <t xml:space="preserve">
SERVICIO DE SUMINISTRO Y PREPARACIÓN DE SISTEMA REMOVEDOR DE POLÍMEROS.
</t>
  </si>
  <si>
    <t>C3EXT-1456</t>
  </si>
  <si>
    <t xml:space="preserve">
SERVICIO DE SUMINISTRO Y PREPARACIÓN DE GEL LINEAL BASE ACEITE.
</t>
  </si>
  <si>
    <t>C3EXT-1457</t>
  </si>
  <si>
    <t xml:space="preserve">
SERVICIO DE SUMINISTRO Y PREPARACIÓN DE ÁCIDO SINTÉTICO.
</t>
  </si>
  <si>
    <t>C3EXT-1458</t>
  </si>
  <si>
    <t xml:space="preserve">
SERVICIO DE SUMINISTRO Y PREPARACIÓN DE SISTEMA ÁCIDO EMULSIONADO.
</t>
  </si>
  <si>
    <t>C3EXT-1459</t>
  </si>
  <si>
    <t xml:space="preserve">
SERVICIO DE SUMINISTRO Y PREPARACIÓN DE SISTEMA ÁCIDO FLUOBÓRICO PARA CONTROL DE FINOS.
</t>
  </si>
  <si>
    <t>C3EXT-1460</t>
  </si>
  <si>
    <t xml:space="preserve">
SERVICIO DE SUMINISTRO Y PREPARACIÓN DE TRABAJO PARA PRUEBAS FISICAS.
</t>
  </si>
  <si>
    <t>C3EXT-1461</t>
  </si>
  <si>
    <t xml:space="preserve">
SERVICIO DE SUMINISTRO Y PREPARACIÓN DE SISTEMA DIVERGENTE MODIFICADOR DE PERMEABILIDAD RELATIVA.
</t>
  </si>
  <si>
    <t>C3EXT-1462</t>
  </si>
  <si>
    <t xml:space="preserve">
SERVICIO DE SUMINISTRO Y PREPARACIÓN DE SISTEMA ACIDO RETARDADO PARA ALTA TEMPERATURA.
</t>
  </si>
  <si>
    <t>C3EXT-1463</t>
  </si>
  <si>
    <t xml:space="preserve">
SERVICIO DE SUMINISTRO Y PREPARACIÓN DE PILDORA CON PARTICULAS Y FIBRAS BIODEGRADABLES.
</t>
  </si>
  <si>
    <t>C3EXT-1464</t>
  </si>
  <si>
    <t xml:space="preserve">
SERVICIO DE SUMINISTRO Y PREPARACIÓN DE SISTEMA AUTODIVERGENTE BIODEGRADABLE.
</t>
  </si>
  <si>
    <t>C3EXT-1465</t>
  </si>
  <si>
    <t xml:space="preserve">
SERVICIO DE SUMINISTRO Y PREPARACIÓN DE SISTEMA QUELANTE PARA CALIZAS HT.
</t>
  </si>
  <si>
    <t>C3EXT-1466</t>
  </si>
  <si>
    <t xml:space="preserve">
SERVICIO DE SUMINISTRO Y PREPARACIÓN DE SISTEMA QUELANTE PARA DOLOMIAS HT.
</t>
  </si>
  <si>
    <t>C3EXT-1467</t>
  </si>
  <si>
    <t xml:space="preserve">
SERVICIO DE SUMINISTRO Y PREPARACIÓN DE SISTEMA PARA CONTROL DE AGUA BASE MICROCEMENTO.
</t>
  </si>
  <si>
    <t>C3EXT-1468</t>
  </si>
  <si>
    <t xml:space="preserve">
SERVICIO DE SUMINISTRO Y PREPARACIÓN DE SISTEMA PARA ESTIMULAR ARENISCAS SENSIBLES AL HCL.
</t>
  </si>
  <si>
    <t>C3EXT-1469</t>
  </si>
  <si>
    <t xml:space="preserve">
SERVICIO DE SUMINISTRO Y PREPARACIÓN DE SISTEMA VISCOSO PARA FRACTURAR YACIMIENTOS DE LUTITAS.
</t>
  </si>
  <si>
    <t>C3EXT-1470</t>
  </si>
  <si>
    <t xml:space="preserve">
SERVICIO DE SUMINISTRO Y PREPARACIÓN DE PARTÍCULAS BIODEGRADABLES PARA BAJAS TEMPERATURAS.
</t>
  </si>
  <si>
    <t>C3EXT-1471</t>
  </si>
  <si>
    <t xml:space="preserve">
SERVICIO DE SUMINISTRO Y PREPARACIÓN DE PARTICULAS BIODEGRADABLES PARA ALTAS TEMPERATURAS.
</t>
  </si>
  <si>
    <t>C3EXT-1472</t>
  </si>
  <si>
    <t>SERVICIO DE SUMINISTRO Y PREPARACIÓN DE FLUIDO VES PARA EMPAQUES CON GRAVA PARA HT.</t>
  </si>
  <si>
    <t>C3EXT-1473</t>
  </si>
  <si>
    <t>SERVICIO DE SUMINISTRO Y PREPARACIÓN DE FLUIDO HEC PARA EMPAQUES CON GRAVA.</t>
  </si>
  <si>
    <t>C3EXT-1474</t>
  </si>
  <si>
    <t>SERVICIO DE SUMINISTRO Y PREPARACIÓN DE FLUIDO XANTAN PARA EMPAQUES CON GRAVA.</t>
  </si>
  <si>
    <t>C3EXT-1475</t>
  </si>
  <si>
    <t xml:space="preserve">
SERVICIO DE SUMINISTRO Y PREPARACIÓN DE ESTABILIZADOR DE ARCILLAS ALTAMENTE INESTABLES.
</t>
  </si>
  <si>
    <t>LITRO</t>
  </si>
  <si>
    <t>C3EXT-1476</t>
  </si>
  <si>
    <t xml:space="preserve">
SERVICIO DE SUMINISTRO Y PREPARACIÓN DE APUNTALANTE CERAMICO DE MEDIANA RESISTENCIA.
</t>
  </si>
  <si>
    <t>C3EXT-1477</t>
  </si>
  <si>
    <t xml:space="preserve">
SERVICIO DE SUMINISTRO Y PREPARACIÓN DE APUNTALANTE CERAMICO CON TRAZADOR NO RADIACTIVO DE MEDIANA RESISTENCIA.
</t>
  </si>
  <si>
    <t>C3EXT-1478</t>
  </si>
  <si>
    <t xml:space="preserve">
SERVICIO DE SUMINISTRO Y PREPARACIÓN DE FLUIDO DE FRACTURA RETARDADO.
</t>
  </si>
  <si>
    <t>C3EXT-1479</t>
  </si>
  <si>
    <t>SERVICIO DE SUMINISTRO Y PREPARACIÓN DE FLUIDO HPG PARA EMPAQUES CON GRAVA</t>
  </si>
  <si>
    <t>C3EXT-1480</t>
  </si>
  <si>
    <t>SERVICIO DE SUMINISTRO Y PREPARACIÓN DE FLUIDO VES PARA EMPAQUES CON GRAVA.</t>
  </si>
  <si>
    <t>C3EXT-1481</t>
  </si>
  <si>
    <t xml:space="preserve">
SERVICIO DE SUMINISTRO Y PREPARACIÓN DE SOLVENTE AMIGABLE AL AMBIENTE.
</t>
  </si>
  <si>
    <t>C3EXT-1482</t>
  </si>
  <si>
    <t xml:space="preserve">
SERVICIO DE SUMINISTRO Y PREPARACIÓN DE TRAZADOR GREEN / YELLOW DYE.
</t>
  </si>
  <si>
    <t>C3EXT-1483</t>
  </si>
  <si>
    <t xml:space="preserve">
SERVICIO INTEGRAL DE ADQUISICIÓN DE DATOS EN TIEMPO REAL PARA OPERACIONES E INTERVENCIONES DE POZOS PETROLEROS.
</t>
  </si>
  <si>
    <t>C3EXT-1484</t>
  </si>
  <si>
    <t xml:space="preserve">
SERVICIO DE TANQUES DE NITRÓGENO DE 2000 GLN.
</t>
  </si>
  <si>
    <t>C3EXT-1485</t>
  </si>
  <si>
    <t xml:space="preserve">
SERVICIO DE TANQUES DE NITRÓGENO DE 5500 GLN.
</t>
  </si>
  <si>
    <t>C3EXT-1486</t>
  </si>
  <si>
    <t xml:space="preserve">
SERVICIO DE CONEXIONES DE APLICACIÓN ESPECIAL DE LÍNEAS DE INTERCONEXIÓN DE 2" PARA PRESIONES DE OPERACIÓN DE 5,000 PSÍ A 15,000PSI.
</t>
  </si>
  <si>
    <t>C3EXT-1487</t>
  </si>
  <si>
    <t xml:space="preserve">
SERVICIO DE CONEXIONES DE APLICACIÓN ESPECIAL DE LÍNEAS DE INTERCONEXIÓN DE 4" PARA PRESIONES DE OPERACIÓN DE 5,000 PSÍ A 15,000PSI.
</t>
  </si>
  <si>
    <t>C3EXT-1488</t>
  </si>
  <si>
    <t xml:space="preserve">
SERVICIO DE CONEXIONES DE APLICACIÓN ESPECIAL DE LÍNEAS DE INTERCONEXIÓN DE 6" PARA PRESIONES DE OPERACIÓN DE 500 PSI A 2,000PSI.
</t>
  </si>
  <si>
    <t>C3EXT-1489</t>
  </si>
  <si>
    <t xml:space="preserve">
SERVICIO DE APRIETE Y AFLOJE DE LÍNEAS DE INTERCONEXIÓN CON HERRAMIENTAS ESPECIALIZADA.
</t>
  </si>
  <si>
    <t>C3EXT-1490</t>
  </si>
  <si>
    <t xml:space="preserve">
SERVICIO DE CONEXIONES DE APLICACIÓN ESPECIAL DE LÍNEAS DE INTERCONEXIÓN DE DISEÑO ESPECIALIZADO PARA PRESIONES DE OPERACIÓN DE 5,000 PSÍ A 15,000PSI.
</t>
  </si>
  <si>
    <t>C3EXT-1491</t>
  </si>
  <si>
    <t xml:space="preserve">
SERVICIO DE INSTALACIÓN Y ADECUACIÓN DE EQUIPOS EN EMBARCACIÓN PARA TRABAJOS DE CATENARIA.
</t>
  </si>
  <si>
    <t>C3EXT-1492</t>
  </si>
  <si>
    <t xml:space="preserve">
SERVICIO DE DESINSTALACIÓN DE EQUIPOS Y REACONDICIONAMIENTO DE EMBARCACIÓN PARA ENTREGA.
</t>
  </si>
  <si>
    <t>C3EXT-1493</t>
  </si>
  <si>
    <t>SUMINISTRO, CARGA, ACARREO, DESCARGA Y PUESTA EN SITIO COSTA FUERA DE TUBO DE ACERO AL CARBÓN DE 1"Ø, CÉDULA 160, ESPESOR DE PARED 0.250 ASTM A-106, EXTREMOS PLANOS</t>
  </si>
  <si>
    <t>C3EXT-1494</t>
  </si>
  <si>
    <t>OT-16.6</t>
  </si>
  <si>
    <t>SUMINISTRO, CARGA, ACARREO, DESCARGA Y PUESTA EN SITIO COSTA FUERA DE TUBO DE ACERO AL CARBÓN DE 2"Ø, CÉDULA 160, ESPESOR DE PARED 0.344 ASTM A-106, EXTREMOS PLANOS.</t>
  </si>
  <si>
    <t>C3EXT-1495</t>
  </si>
  <si>
    <t>SUMINISTRO, CARGA, ACARREO, DESCARGA Y PUESTA EN SITIO COSTA FUERA DE CODO DE ACERO AL CARBÓN DE 1"Ø, 90° GRADOS 6,000# ASTM A-105, FABRICADOS DE ACUERDO AL ASME B16.11 (DEBE CUMPLIR CON EL ESTÁNDAR NACE MR0175).</t>
  </si>
  <si>
    <t>C3EXT-1496</t>
  </si>
  <si>
    <t>SUMINISTRO, CARGA, ACARREO, DESCARGA Y PUESTA EN SITIO COSTA FUERA DE CODO DE ACERO AL CARBÓN DE 2"Ø, 90° GRADOS 6,000# ASTM A-105, FABRICADOS DE ACUERDO AL ASME B16.11 (DEBE CUMPLIR CON EL ESTÁNDAR NACE MR0175).</t>
  </si>
  <si>
    <t>C3EXT-1497</t>
  </si>
  <si>
    <t>SUMINISTRO, CARGA, ACARREO, DESCARGA Y PUESTA EN SITIO COSTA FUERA DE CODO DE ACERO AL CARBÓN DE 1"Ø, 45° GRADOS 6,000# ASTM A-105, FABRICADOS DE ACUERDO AL ASME B16.11 (DEBE CUMPLIR CON EL ESTÁNDAR NACE MR0175).</t>
  </si>
  <si>
    <t>C3EXT-1498</t>
  </si>
  <si>
    <t>SUMINISTRO, CARGA, ACARREO, DESCARGA Y PUESTA EN SITIO COSTA FUERA DE CODO DE 45 , DE ACERO AL CARBON FORJADO, ASTM A 105 ASME B16.11 CLASE 6000#, EXTREMOS CAJA PARA SOLDAR. (PARA SERVICIO AMARGO Y DEBE CUMPLIR CON LOS REQUERIMIENTOS DEL ESTÁNDAR ISO 15156-2.), DE 2" DE DIAMETRO.</t>
  </si>
  <si>
    <t>C3EXT-1499</t>
  </si>
  <si>
    <t>SUMINISTRO, CARGA, ACARREO, DESCARGA Y PUESTA EN SITIO COSTA FUERA DE BRIDA CAJA PARA SOLDAR, DE 2" DE DIÁMETRO, BORE=CEDULA 160, CLASE 600, CARA REALZADA (R.F.), DE ACERO AL CARBONO, ASTM A105, CONFORME ASME B16.5, ESTE MATERIAL ES PARA SERVICIO AMARGO QUE CAUSA "SSC" Y DEBE CUMPLIR CON LOS REQUERIMIENTOS DEL ESTÁNDAR ISO 15156-2</t>
  </si>
  <si>
    <t>C3EXT-1500</t>
  </si>
  <si>
    <t>SUMINISTRO, CARGA, ACARREO, DESCARGA Y PUESTA EN SITIO COSTA FUERA DE COPLE RECTO, EXTREMOS CAJA SOLDABLE DE 2" DE DIÁMETRO, CLASE 6000, DE ACERO AL CARBONO ASTM A105, CONFORME ASME B16.11. ESTE MATERIAL ES PARA SERVICIO AMARGO QUE CAUSA "SSC" Y DEBE CUMPLIR CON LOS REQUERIMIENTOS DEL ESTÁNDAR ISO 15156-2</t>
  </si>
  <si>
    <t>C3EXT-1501</t>
  </si>
  <si>
    <t>SUMINISTRO, CARGA, ACARREO, DESCARGA Y PUESTA EN SITIO COSTA FUERA DE COPLE DE ACERO AL CARBONO, ASTM A105, ASME B16.11 CLASE 6000#, EXTREMOS CAJA PARA SOLDAR, DIAMETRO 1”.</t>
  </si>
  <si>
    <t>C3EXT-1502</t>
  </si>
  <si>
    <t>SUMINISTRO, CARGA, ACARREO, DESCARGA Y PUESTA EN SITIO COSTA FUERA DE TAPON CACHUCHA DE ACERO AL CARBONO, ASTM A105, ASME B16.11 CLASE 6000#, EXTREMOS CAJA PARA SOLDAR, DIAMETRO 2”.</t>
  </si>
  <si>
    <t>C3EXT-1503</t>
  </si>
  <si>
    <t>SUMINISTRO, CARGA, ACARREO, DESCARGA Y PUESTA EN SITIO COSTA FUERA DE TE RECTA DE ACERO AL CARBONO, ASTM A105, ASME B16.11 CLASE 6000#, EXTREMOS CAJA PARA SOLDAR, DIAMETRO 2”.</t>
  </si>
  <si>
    <t>C3EXT-1504</t>
  </si>
  <si>
    <t>SUMINISTRO, CARGA, ACARREO, DESCARGA Y PUESTA EN SITIO COSTA FUERA DE TE REDUCCIÓN DE ACERO AL CARBONO, ASTM A105, ASME B16.11 CLASE 6000#, EXTREMOS CAJA PARA SOLDAR, DIAMETRO 2" X 1”.</t>
  </si>
  <si>
    <t>C3EXT-1505</t>
  </si>
  <si>
    <t>SUMINISTRO, CARGA, ACARREO, DESCARGA Y PUESTA EN SITIO COSTA FUERA DE TE REDUCCIÓN DE ACERO AL CARBONO, ASTM A105, ASME B16.11 CLASE 6000#, EXTREMOS CAJA PARA SOLDAR, DIAMETRO 2" X 3/4”.</t>
  </si>
  <si>
    <t>C3EXT-1506</t>
  </si>
  <si>
    <t>SUMINISTRO, CARGA, ACARREO, DESCARGA Y PUESTA EN SITIO COSTA FUERA DE BRIDA CAJA PARA SOLDAR 600# CARA REALZADA (R.F.) DE ACERO AL CARBONO ASTM A105, ASME B16.5. DE 1" DE DIÁMETRO</t>
  </si>
  <si>
    <t>C3EXT-1507</t>
  </si>
  <si>
    <t>SUMINISTRO, CARGA, ACARREO, DESCARGA Y PUESTA EN SITIO COSTA FUERA DE ESPÁRRAGO DE ACERO ALEADO ASTM A193 GR.B7M DE 1 1/4" DE DIÁMETRO X 12” LONGITUD, CON 2 TUERCAS HEXAGONALES ASTMA194 GR.2HM., ROSCAS ASME B1.1 CLASE 2A, ESPECIFICACIÓN ASME B18.31.2, CADMINIZADOS CONFORME AESPECIFICACIÓN ASTM-B766, TIPO II CLASE 25 (25 MICRAS DE ESPESOR).</t>
  </si>
  <si>
    <t>C3EXT-1508</t>
  </si>
  <si>
    <t>SERVICIO DE SELLADO CONVENCIONAL DE VÁLVULA TIPO COMPUERTA, ESFÉRICA, GLOBO O DE MARIPOSA DE 6" DE DIÁMETRO CON RANGO DE PRESIÓN DE 150# A 900#   INCLUYE: EQUIPOS, HERRAMIENTAS, MATERIALES E INSUMOS NECESARIOS PARA EL CORRECTO SELLADO DE LA VÁLVULA.</t>
  </si>
  <si>
    <t>C3EXT-1509</t>
  </si>
  <si>
    <t>OT-16.8</t>
  </si>
  <si>
    <t>SERVICIO DE SELLADO CONVENCIONAL DE VÁLVULA TIPO COMPUERTA, ESFÉRICA, GLOBO O DE MARIPOSA DE 10" DE DIÁMETRO CON RANGO DE PRESIÓN DE 150# A 900# INCLUYE: EQUIPOS, HERRAMIENTAS, MATERIALES E INSUMOS NECESARIOS PARA EL CORRECTO SELLADO DE LA VÁLVULA.</t>
  </si>
  <si>
    <t>C3EXT-1510</t>
  </si>
  <si>
    <t>SERVICIO DE SELLADO CONVENCIONAL DE VÁLVULA TIPO COMPUERTA, ESFÉRICA, GLOBO O DE MARIPOSA DE 16" DE DIÁMETRO CON RANGO DE PRESIÓN DE 150# A 900# INCLUYE: EQUIPOS, HERRAMIENTAS, MATERIALES E INSUMOS NECESARIOS PARA EL CORRECTO SELLADO DE LA VÁLVULA.</t>
  </si>
  <si>
    <t>C3EXT-1511</t>
  </si>
  <si>
    <t>SERVICIO DE SELLADO CONVENCIONAL DE VÁLVULA TIPO COMPUERTA, ESFÉRICA, GLOBO O DE MARIPOSA  DE 18" DE DIÁMETRO CON RANGO DE PRESIÓN DE  DE 150# A 900#  INCLUYE: EQUIPOS, HERRAMIENTAS, MATERIALES E INSUMOS NECESARIOS PARA EL CORRECTO SELLADO DE LA VÁLVULA.</t>
  </si>
  <si>
    <t>C3EXT-1512</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</si>
  <si>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1/8" DE 30" DE DIÁMETRO.</t>
  </si>
  <si>
    <t>C3EXT-1513</t>
  </si>
  <si>
    <t>SERVICIO TÉCNICO ESPECIALIZADO COSTA FUERA DE INSPECCIÓN Y DICTAMEN DE CONDICIONES DE VÁLVULA TIPO COMPUERTA, ESFÉRICA, GLOBO O DE MARIPOSA DE 6" DE DIAMETRO CON RANGO DE PRESIÓN DE 150# A 900#, INCLUYE: EQUIPOS, HERRAMIENTAS, MATERIALES E INSUMOS NECESARIOS PARA LA CORRECTA EJECUCION DE LOS TRABAJOS.</t>
  </si>
  <si>
    <t>C3EXT-1514</t>
  </si>
  <si>
    <t>0T-05.1</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</si>
  <si>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</si>
  <si>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C3EXT-1515</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</si>
  <si>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</si>
  <si>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C3EXT-1516</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</si>
  <si>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</si>
  <si>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C3EXT-1517</t>
  </si>
  <si>
    <t>SERVICIO DE SELLADO CONVENCIONAL DE VALVULA TIPO COMPUERTA, ESFERICA, GLOBO O DE MARIPOSA DE 8" DIAM. CON RANGO DE PRESION DESDE 150# HASTA 900#, INCLUYE EQUIPOS, HERRAMIENTAS, MATERIALES E INSUMOS NECESARIOS PARA EL CORRECTO SELLADO DE LA VALVULA</t>
  </si>
  <si>
    <t>C3EXT-1518</t>
  </si>
  <si>
    <t>SERVICIO DE SELLADO CONVENCIONAL DE VALVULA TIPO COMPUERTA, ESFERICA, GLOBO O DE MARIPOSA DE 14" DIAM. CON RANGO DE PRESION DESDE 150# HASTA 900#, INCLUYE EQUIPOS, HERRAMIENTAS, MATERIALES E INSUMOS NECESARIOS PARA EL CORRECTO SELLADO DE LA VALVULA</t>
  </si>
  <si>
    <t>C3EXT-1519</t>
  </si>
  <si>
    <t>SUMINISTRO, CARGA, ACARREO, DESCARGA Y PUESTA EN SITIO COSTA FUERA DE RECUBRIMIENTO ANTICORROSIVO EPOXICO RICO EN ZINC, "ZR-70".</t>
  </si>
  <si>
    <t>C3EXT-1520</t>
  </si>
  <si>
    <t>SUMINISTRO, CARGA, ACARREO, DESCARGA Y PUESTA EN SITIO COSTA FUERA DE RECUBRIMIENTO ANTICORROSIVO EPOXICO MULTIFUNCIONAL AUTOIMPRIMANTE ALTO ESPESOR, "E-31".</t>
  </si>
  <si>
    <t>C3EXT-1521</t>
  </si>
  <si>
    <t>SUMINISTRO, CARGA, ACARREO, DESCARGA Y PUESTA EN SITIO COSTA FUERA DE RECUBRIMIENTO ANTICORROSIVO POLISILOXANO ACRILICO DE DOS COMPONENTES, "X-53".</t>
  </si>
  <si>
    <t>C3EXT-1522</t>
  </si>
  <si>
    <t>SUMINISTRO, CARGA, ACARREO, DESCARGA Y PUESTA EN SITIO COSTA FUERA DE THINNER INDUSTRIAL DE PRIMERA.</t>
  </si>
  <si>
    <t>C3EXT-1523</t>
  </si>
  <si>
    <t>SUMINISTRO, CARGA, ACARREO, DESCARGA Y PUESTA EN SITIO COSTA FUERA DE ADELGAZADOR 8.</t>
  </si>
  <si>
    <t>C3EXT-1524</t>
  </si>
  <si>
    <t>APLICACIÓN COSTA FUERA DE RECUBRIMIENTO ANTICORROSIVO ACABADO CON POLISILOXANO AUTOIMPRIMANTE DE ALTO BRILLO, CON UNA CAPA DE 75-175 MICRAS DE ESPESOR (3-7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</si>
  <si>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C3EXT-1525</t>
  </si>
  <si>
    <t>APLICACIÓN COSTA FUERA DE RECUBRIMIENTO ANTICORROSIVO EPOXICO RICO EN ZINC DE TRES COMPONENTES, CON UNA CAPA DE 50-100 MICRAS DE ESPESOR (2-4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</si>
  <si>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C3EXT-1526</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</si>
  <si>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</si>
  <si>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BME-3801-037-2026</t>
  </si>
  <si>
    <t>C3EXT-1527</t>
  </si>
  <si>
    <t>APLICACIÓN COSTA FUERA DE RECUBRIMIENTO ANTICORROSIVO ACABADO DE DOS COMPONENTES DE POLIURETANO ALIFATICO ACRILICO,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</si>
  <si>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C3EXT-1528</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</si>
  <si>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</si>
  <si>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C3EXT-1529</t>
  </si>
  <si>
    <t>SERVICIO TÉCNICO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</si>
  <si>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C3EXT-1530</t>
  </si>
  <si>
    <t>SERVICIO TÉCNICO ESPECIALIZADO COSTA FUERA DE INSPECCION Y DICTAMEN DE VALVULA TIPO COMPUERTA, ESFERICA, GLOBO O DE MARIPOSA DE 10" DIAM. CON RANGO DE PRESION DESDE 150# HASTA 900#, INCLUYE: EQUIPOS, HERRAMIENTAS, MATERIALES E INSUMOS NECESARIOS PARA LA CORRECTA EJECUCION DE LOS TRABAJOS</t>
  </si>
  <si>
    <t>C3EXT-1531</t>
  </si>
  <si>
    <t>SERVICIO TÉCNICO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</si>
  <si>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C3EXT-1532</t>
  </si>
  <si>
    <t>SERVICIO TÉCNICO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</si>
  <si>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C3EXT-1533</t>
  </si>
  <si>
    <t>SERVICIO TÉCNICO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</si>
  <si>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C3EXT-1534</t>
  </si>
  <si>
    <t>SERVICIO TÉCNICO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</si>
  <si>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C3EXT-1535</t>
  </si>
  <si>
    <t>SELLADO DE VALVULA TIPO COMPUERTA, ESFERICA, GLOBO O DE MARIPOSA DE 4" DIAM. CON RANGO DE PRESION DESDE 150# HASTA 900#, INCLUYE EQUIPOS, HERRAMIENTAS, MATERIALES E INSUMOS NECESARIOS PARA EL CORRECTO SELLADO DE LA VALVULA</t>
  </si>
  <si>
    <t>C3EXT-1536</t>
  </si>
  <si>
    <t>SELLADO DE VALVULA TIPO COMPUERTA, ESFERICA, GLOBO O DE MARIPOSA DE 24" DIAM. CON RANGO DE PRESION DESDE 150# HASTA 900#, INCLUYE EQUIPOS, HERRAMIENTAS, MATERIALES E INSUMOS NECESARIOS PARA EL CORRECTO SELLADO DE LA VALVULA</t>
  </si>
  <si>
    <t>C3EXT-1537</t>
  </si>
  <si>
    <t>SELLADO DE VALVULA TIPO COMPUERTA, ESFERICA, GLOBO O DE MARIPOSA DE 30" DIAM. CON RANGO DE PRESION DESDE 150# HASTA 900#, INCLUYE EQUIPOS, HERRAMIENTAS, MATERIALES E INSUMOS NECESARIOS PARA EL CORRECTO SELLADO DE LA VALVULA</t>
  </si>
  <si>
    <t>C3EXT-1538</t>
  </si>
  <si>
    <t>SELLADO DE VALVULA TIPO COMPUERTA, ESFERICA, GLOBO O DE MARIPOSA DE 36" DIAM. CON RANGO DE PRESION DESDE 150# HASTA 900#, INCLUYE EQUIPOS, HERRAMIENTAS, MATERIALES E INSUMOS NECESARIOS PARA EL CORRECTO SELLADO DE LA VALVULA</t>
  </si>
  <si>
    <t>C3EXT-1539</t>
  </si>
  <si>
    <t>REHABILITACION Y MANTENIMIENTO DE ACTUADOR DE VALVULA TIPO COMPUERTA, ESFERICA, GLOBO O DE MARIPOSA DE 4" DIAM. CON RANGO DE PRESION DESDE 150# HASTA 900#, INCLUYE: EQUIPOS, HERRAMIENTAS, MATERIALES E INSUMOS NECESARIOS PARA LA CORRECTA EJECUCION DE LOS TRABAJOS</t>
  </si>
  <si>
    <t>C3EXT-1540</t>
  </si>
  <si>
    <t>REHABILITACION Y MANTENIMIENTO DE ACTUADOR DE VALVULA TIPO COMPUERTA, ESFERICA, GLOBO O DE MARIPOSA DE 6" DIAM. CON RANGO DE PRESION DESDE 150# HASTA 900#, INCLUYE: EQUIPOS, HERRAMIENTAS, MATERIALES E INSUMOS NECESARIOS PARA LA CORRECTA EJECUCION DE LOS TRABAJOS</t>
  </si>
  <si>
    <t>C3EXT-1541</t>
  </si>
  <si>
    <t>REHABILITACION Y MANTENIMIENTO DE ACTUADOR DE VALVULA TIPO COMPUERTA, ESFERICA, GLOBO O DE MARIPOSA DE 8" DIAM. CON RANGO DE PRESION DESDE 150# HASTA 900#, INCLUYE: EQUIPOS, HERRAMIENTAS, MATERIALES E INSUMOS NECESARIOS PARA LA CORRECTA EJECUCION DE LOS TRABAJOS</t>
  </si>
  <si>
    <t>C3EXT-1542</t>
  </si>
  <si>
    <t>REHABILITACION Y MANTENIMIENTO DE ACTUADOR DE VALVULA TIPO COMPUERTA, ESFERICA, GLOBO O DE MARIPOSA DE 10" DIAM. CON RANGO DE PRESION DESDE 150# HASTA 900#, INCLUYE: EQUIPOS, HERRAMIENTAS, MATERIALES E INSUMOS NECESARIOS PARA LA CORRECTA EJECUCION DE LOS TRABAJOS</t>
  </si>
  <si>
    <t>C3EXT-1543</t>
  </si>
  <si>
    <t>REHABILITACION Y MANTENIMIENTO DE ACTUADOR DE VALVULA TIPO COMPUERTA, ESFERICA, GLOBO O DE MARIPOSA DE 14" DIAM. CON RANGO DE PRESION DESDE 150# HASTA 900#, INCLUYE: EQUIPOS, HERRAMIENTAS, MATERIALES E INSUMOS NECESARIOS PARA LA CORRECTA EJECUCION DE LOS TRABAJOS</t>
  </si>
  <si>
    <t>C3EXT-1544</t>
  </si>
  <si>
    <t>REHABILITACION Y MANTENIMIENTO DE ACTUADOR DE VALVULA TIPO COMPUERTA, ESFERICA, GLOBO O DE MARIPOSA DE 16" DIAM. CON RANGO DE PRESION DESDE 150# HASTA 900#, INCLUYE: EQUIPOS, HERRAMIENTAS, MATERIALES E INSUMOS NECESARIOS PARA LA CORRECTA EJECUCION DE LOS TRABAJOS</t>
  </si>
  <si>
    <t>C3EXT-1545</t>
  </si>
  <si>
    <t>REHABILITACION Y MANTENIMIENTO DE ACTUADOR DE VALVULA TIPO COMPUERTA, ESFERICA, GLOBO O DE MARIPOSA DE 18" DIAM. CON RANGO DE PRESION DESDE 150# HASTA 900#, INCLUYE: EQUIPOS, HERRAMIENTAS, MATERIALES E INSUMOS NECESARIOS PARA LA CORRECTA EJECUCION DE LOS TRABAJOS</t>
  </si>
  <si>
    <t>C3EXT-1546</t>
  </si>
  <si>
    <t>REHABILITACION Y MANTENIMIENTO DE ACTUADOR DE VALVULA TIPO COMPUERTA, ESFERICA, GLOBO O DE MARIPOSA DE 24" DIAM. CON RANGO DE PRESION DESDE 150# HASTA 900#, INCLUYE: EQUIPOS, HERRAMIENTAS, MATERIALES E INSUMOS NECESARIOS PARA LA CORRECTA EJECUCION DE LOS TRABAJOS</t>
  </si>
  <si>
    <t>C3EXT-1547</t>
  </si>
  <si>
    <t>REHABILITACION Y MANTENIMIENTO DE ACTUADOR DE VALVULA TIPO COMPUERTA, ESFERICA, GLOBO O DE MARIPOSA DE 30" DIAM. CON RANGO DE PRESION DESDE 150# HASTA 900#, INCLUYE: EQUIPOS, HERRAMIENTAS, MATERIALES E INSUMOS NECESARIOS PARA LA CORRECTA EJECUCION DE LOS TRABAJOS</t>
  </si>
  <si>
    <t>C3EXT-1548</t>
  </si>
  <si>
    <t>REHABILITACION Y MANTENIMIENTO DE ACTUADOR DE VALVULA TIPO COMPUERTA, ESFERICA, GLOBO O DE MARIPOSA DE 36" DIAM. CON RANGO DE PRESION DESDE 150# HASTA 900#, INCLUYE: EQUIPOS, HERRAMIENTAS, MATERIALES E INSUMOS NECESARIOS PARA LA CORRECTA EJECUCION DE LOS TRABAJOS</t>
  </si>
  <si>
    <t>C3EXT-1549</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</si>
  <si>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</si>
  <si>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C3EXT-1550</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</si>
  <si>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</si>
  <si>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C3EXT-1551</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</si>
  <si>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</si>
  <si>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C3EXT-1552</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</si>
  <si>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</si>
  <si>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C3EXT-1553</t>
  </si>
  <si>
    <t>APLICACIÓN COSTA FUERA DE RECUBRIMIENTO ANTICORROSIVO EPOXICO RICO EN ZINC DE TRES COMPONENTES, CON UNA CAPA DE 50-100 MICRAS DE ESPESOR (2-4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</si>
  <si>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C3EXT-1554</t>
  </si>
  <si>
    <t>APLICACIÓN COSTA FUERA DE RECUBRIMIENTO ANTICORROSIVO REVESTIMIENTO EPOXI ALTO ESPESOR CURADO CON ADUCTO DE POLIAMINA DE DOS COMPONENTES, CON UNA CAPA DE 500 MICRAS DE ESPESOR (20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</si>
  <si>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C3EXT-1555</t>
  </si>
  <si>
    <t>APLICACIÓN COSTA FUERA DE RECUBRIMIENTO ANTICORROSIVO ACABADO DE DOS COMPONENTES DE POLIURETANO ALIFATICO ACRILICO,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</si>
  <si>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C3EXT-1556</t>
  </si>
  <si>
    <t>APLICACIÓN COSTA FUERA DE RECUBRIMIENTO ANTICORROSIVO ACABADO DE POLIURETANO ACRILICO ALIFATICO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</si>
  <si>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C3EXT-1557</t>
  </si>
  <si>
    <t>APLICACIÓN COSTA FUERA DE RECUBRIMIENTO ANTICORROSIVO ACABADO DE POLIURETANO ALIFATICO, POLIESTER-ACRILICO, DE DOS COMPONENTES, CON UNA CAPA DE 125 -175 MICRAS DE ESPESOR (5 - 7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HELIPUERTOS, ETC. DE ACUERDO CON LA ETP-295-PEMEX-2018 O VERSIÓN ACTUAL.</t>
  </si>
  <si>
    <t>C3EXT-1558</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</si>
  <si>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</si>
  <si>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C3EXT-1559</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</si>
  <si>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</si>
  <si>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C3EXT-1560</t>
  </si>
  <si>
    <t>SUMINISTRO, CARGA, ACARREO, DESCARGA Y PUESTA EN SITIO COSTA FUERA DE ESPÁRRAGO, DE 1 1/2" DE DIÁMETRO NOMINAL, 8 1/4" DE LONGITUD, DE ACERO AL CARBONO, CON RECUBRIMIENTO CADMINIZADO, DE 25 MICRAS DE ESPESOR, TIPO II, ESPECIFICACIÓN ASTM A193, GRADO B7M, CON 2 TUERCAS HEXAGONALES, EN ASTM A194, GRADO 2HM.</t>
  </si>
  <si>
    <t>C3EXT-1561</t>
  </si>
  <si>
    <t>TUBOS J</t>
  </si>
  <si>
    <t xml:space="preserve">SUMINISTRO, CARGA, ACARREO, DESCARGA Y PUESTA EN SITIO COSTA FUERA DE TORNILLO DE CABEZA HEXAGONAL DE ALTA RESISTENCIA ASTM A-325 DE 9.52 mm DE DIAMETRO x 102 mm DE LONGITUD (3/8" x 4" LONGITUD) CON UNA ARANDELA DE PRESION, UNA ARANDELA PLANA F-436 Y 02 TUERCAS HEXAGONAL ASTM A 194 GR. 2H. </t>
  </si>
  <si>
    <t>C3EXT-1562</t>
  </si>
  <si>
    <t>SUMINISTRO, CARGA, ACARREO, DESCARGA Y PUESTA EN SITIO COSTA FUERA DE MUEBLE Z, MARCA HONEYWELL.</t>
  </si>
  <si>
    <t>C3EXT-1563</t>
  </si>
  <si>
    <t>SUMINISTRO, CARGA, ACARREO, DESCARGA Y PUESTA EN SITIO COSTA FUERA DE MONITOR INTEGRADO EN MUEBLE Z, MARCA HONEYWELL, No. PARTE 51197097-100</t>
  </si>
  <si>
    <t>C3EXT-1564</t>
  </si>
  <si>
    <t>SUMINISTRO, CARGA, ACARREO, DESCARGA Y PUESTA EN SITIO COSTA FUERA DE MAU ASSY TARJETA MAU, MARCA HONEYWELL, NO. PARTE 51305348-100</t>
  </si>
  <si>
    <t>C3EXT-1565</t>
  </si>
  <si>
    <t>SUMINISTRO, CARGA, ACARREO, DESCARGA Y PUESTA EN SITIO COSTA FUERA DE CABLE, MAU, EC CABLE PARA MAU, MARCA HONEYWELL, No. PARTE 51305380-100</t>
  </si>
  <si>
    <t>C3EXT-1566</t>
  </si>
  <si>
    <t>SUMINISTRO, CARGA, ACARREO, DESCARGA Y PUESTA EN SITIO COSTA FUERA DE TECLADO, MARCA HONEYWELL, No. PARTE TP-DIKTBTA</t>
  </si>
  <si>
    <t>C3EXT-1567</t>
  </si>
  <si>
    <t>SUMINISTRO, CARGA, ACARREO, DESCARGA Y PUESTA EN SITIO COSTA FUERA DE INDUSTRIAL FASTENERS, MARCA HONEYWELL, No. PARTE 51199478-100</t>
  </si>
  <si>
    <t>C3EXT-1568</t>
  </si>
  <si>
    <t>SUMINISTRO, CARGA, ACARREO, DESCARGA Y PUESTA EN SITIO COSTA FUERA DE KEYBOARD CABLE, IKBI2 PS/2 120-INCH, MARCA HONEYWELL, No. PARTE 51305381-500</t>
  </si>
  <si>
    <t>C3EXT-1569</t>
  </si>
  <si>
    <t>SUMINISTRO, CARGA, ACARREO, DESCARGA Y PUESTA EN SITIO COSTA FUERA DE AC POWER CABLE, MARCA HONEYWELL, No. PARTE 51305830-100</t>
  </si>
  <si>
    <t>C3EXT-1570</t>
  </si>
  <si>
    <t>SUMINISTRO, CARGA, ACARREO, DESCARGA Y PUESTA EN SITIO COSTA FUERA DE TOUCHSCREEN ADAPTER CABLE, MARCA HONEYWELL, NO. PARTE 51305845-100.</t>
  </si>
  <si>
    <t>C3EXT-1571</t>
  </si>
  <si>
    <t>SUMINISTRO, CARGA, ACARREO, DESCARGA Y PUESTA EN SITIO COSTA FUERA DE AC ADAPTER, USB-IKB, MARCA HONEYWELL, NO. PARTE 51197184-100</t>
  </si>
  <si>
    <t>C3EXT-1572</t>
  </si>
  <si>
    <t>SUMINISTRO, CARGA, ACARREO, DESCARGA Y PUESTA EN SITIO COSTA FUERA DE 8´ SERIAL EXTENSION CABLE, DB9 M/F, MARCA HONEYWELL, No. PARTE 51196990-500</t>
  </si>
  <si>
    <t>C3EXT-1573</t>
  </si>
  <si>
    <t>SUMINISTRO, CARGA, ACARREO, DESCARGA Y PUESTA EN SITIO COSTA FUERA DE OEP/IKB MODULE ASSEMBLY, MARCA HONEYWELL, No. PARTE 51305776-100</t>
  </si>
  <si>
    <t>C3EXT-1574</t>
  </si>
  <si>
    <t>SUMINISTRO, CARGA, ACARREO, DESCARGA Y PUESTA EN SITIO COSTA FUERA DE FICHERO DUAL, MARCA HONEYWELL, No. PARTE MP-DNCF02-400</t>
  </si>
  <si>
    <t>C3EXT-1575</t>
  </si>
  <si>
    <t>SUMINISTRO, CARGA, ACARREO, DESCARGA Y PUESTA EN SITIO COSTA FUERA DE FUENTE DE ALIMENTACIÓN PARA FICHERO DUAL, MARCA HONEYWELL, No. PARTE 51401594-200</t>
  </si>
  <si>
    <t>C3EXT-1576</t>
  </si>
  <si>
    <t>SUMINISTRO, CARGA, ACARREO, DESCARGA Y PUESTA EN SITIO COSTA FUERA DE TARJETA DE COMUNICACIÓN PARA RED DE CONTROL LOCAL (LCN) CANAL "A". MARCA HONEYWELL, No. PARTE 51305072-200.</t>
  </si>
  <si>
    <t>C3EXT-1577</t>
  </si>
  <si>
    <t>SUMINISTRO, CARGA, ACARREO, DESCARGA Y PUESTA EN SITIO COSTA FUERA DE TARJETA DE COMUNICACIÓN PARA RED DE CONTROL LOCAL (LCN) CANAL "B". MARCA HONEYWELL, No. PARTE 51305072-300</t>
  </si>
  <si>
    <t>C3EXT-1578</t>
  </si>
  <si>
    <t>SUMINISTRO, CARGA, ACARREO, DESCARGA Y PUESTA EN SITIO COSTA FUERA DE TARJETA DE INTERFASE A PLCS (PLCI), MARCA HONEYWELL, No. PARTE 51400997-200</t>
  </si>
  <si>
    <t>C3EXT-1579</t>
  </si>
  <si>
    <t>SUMINISTRO, CARGA, ACARREO, DESCARGA Y PUESTA EN SITIO COSTA FUERA DE TARJETA PROCESADORA (K4LCN), MARCA HONEYWELL, NO. PARTE 51403519-160</t>
  </si>
  <si>
    <t>C3EXT-1580</t>
  </si>
  <si>
    <t>SUMINISTRO, CARGA, ACARREO, DESCARGA Y PUESTA EN SITIO COSTA FUERA DE ADAPTADOR DE ENTRADAS Y SALIDAS. EPLCI (PADDLEBOARD CON PLACA METALICA PARA MODULOS "CEMARK". MARCA HONEYWELL, No. PARTE 51195096-200.</t>
  </si>
  <si>
    <t>C3EXT-1581</t>
  </si>
  <si>
    <t>SUMINISTRO, CARGA, ACARREO, DESCARGA Y PUESTA EN SITIO COSTA FUERA DE RELAY PANEL ASSY, MARCA HONEYWELL, No. PARTE 51304421-200</t>
  </si>
  <si>
    <t>C3EXT-1582</t>
  </si>
  <si>
    <t>SUMINISTRO, CARGA, ACARREO, DESCARGA Y PUESTA EN SITIO COSTA FUERA DE CABLE DE REDUNDANCIA SCSI ENTRE NODOS EPLCGS PARA COMUNICACIÓN MODBUS, MARCA HONEYWELL, No. PARTE 51196489-002</t>
  </si>
  <si>
    <t>C3EXT-1583</t>
  </si>
  <si>
    <t>SUMINISTRO, CARGA, ACARREO, DESCARGA Y PUESTA EN SITIO COSTA FUERA DE CABLE DE REDUNDANCIA SCSI PARA MÓDULO EPLCG PRIMARIO, MARCA HONEYWELL, No. PARTE 51196489-001</t>
  </si>
  <si>
    <t>C3EXT-1584</t>
  </si>
  <si>
    <t>SUMINISTRO, CARGA, ACARREO, DESCARGA Y PUESTA EN SITIO COSTA FUERA DE TARJETA (EPNI), MARCA HONEYWELL, No. PARTE 51401583-100</t>
  </si>
  <si>
    <t>C3EXT-1585</t>
  </si>
  <si>
    <t>SUMINISTRO, CARGA, ACARREO, DESCARGA Y PUESTA EN SITIO COSTA FUERA DE TARJETA DE RED NIM MODEM, MARCA HONEYWELL, NO. PARTE 51304511-200</t>
  </si>
  <si>
    <t>C3EXT-1586</t>
  </si>
  <si>
    <t>SUMINISTRO, CARGA, ACARREO, DESCARGA Y PUESTA EN SITIO COSTA FUERA DE LOCAL CONTROL NETWORK EXTENDER, MARCA HONEYWELL, No. PARTE 51304540-200</t>
  </si>
  <si>
    <t>C3EXT-1587</t>
  </si>
  <si>
    <t>SUMINISTRO, CARGA, ACARREO, DESCARGA Y PUESTA EN SITIO COSTA FUERA DE CONVERTIDOR DE MEDIOS RS485/RS232 A ETHERNET, MARCA LANTRONIX, No. PARTE 900-288</t>
  </si>
  <si>
    <t>C3EXT-1588</t>
  </si>
  <si>
    <t>SUMINISTRO, CARGA, ACARREO, DESCARGA Y PUESTA EN SITIO COSTA FUERA DE SET DE CABLES (JUEGO DE 2 CABLES) COAXIALES PARA LA RED DE COMUNICACIÓN LCN DE 2M., MARCA HONEYWELL, No. PARTE 51308111-002.</t>
  </si>
  <si>
    <t>C3EXT-1589</t>
  </si>
  <si>
    <t>SUMINISTRO, CARGA, ACARREO, DESCARGA Y PUESTA EN SITIO COSTA FUERA DE LCN BNC TEE SET CONECTOR “T” BNC PARA RED LCN, MARCA HONEYWELL NÚMERO DE PARTE:51196041-100 ANTES 51190728-105. 7025_LCN HARDWARE, MARCA HONEYWELL, NO. PARTE 51196041-100</t>
  </si>
  <si>
    <t>C3EXT-1590</t>
  </si>
  <si>
    <t>SUMINISTRO, CARGA, ACARREO, DESCARGA Y PUESTA EN SITIO COSTA FUERA DE TERMINADORES DE LCN, MARCA HONEYWELL</t>
  </si>
  <si>
    <t>C3EXT-1591</t>
  </si>
  <si>
    <t>SUMINISTRO, CARGA, ACARREO, DESCARGA Y PUESTA EN SITIO COSTA FUERA DE TERMINADORES DE UCN, MARCA HONEYWELL</t>
  </si>
  <si>
    <t>C3EXT-1592</t>
  </si>
  <si>
    <t>SUMINISTRO, CARGA, ACARREO, DESCARGA Y PUESTA EN SITIO COSTA FUERA DE CONVERTIDOR USB A RS232, MARCA HONEYWELL</t>
  </si>
  <si>
    <t>C3EXT-1593</t>
  </si>
  <si>
    <t>SUMINISTRO, CARGA, ACARREO, DESCARGA Y PUESTA EN SITIO COSTA FUERA DE RC-500, MARCA HONEYWELL</t>
  </si>
  <si>
    <t>C3EXT-1594</t>
  </si>
  <si>
    <t>SUMINISTRO, CARGA, ACARREO, DESCARGA Y PUESTA EN SITIO COSTA FUERA DE SWITCH CISCO 2900 SERIES, MARCA CISCO, NO. PARTE 14672122666-945</t>
  </si>
  <si>
    <t>C3EXT-1595</t>
  </si>
  <si>
    <t>SUMINISTRO, CARGA, ACARREO, DESCARGA Y PUESTA EN SITIO COSTA FUERA DE ANALOG INPUT HIGH LEVEL, MARCA HONEYWELL, No. PARTE 51304754-150</t>
  </si>
  <si>
    <t>C3EXT-1596</t>
  </si>
  <si>
    <t>SUMINISTRO, CARGA, ACARREO, DESCARGA Y PUESTA EN SITIO COSTA FUERA DE ANALOG OUTPUT, MARCA HONEYWELL, No. PARTE 51309152-175</t>
  </si>
  <si>
    <t>C3EXT-1597</t>
  </si>
  <si>
    <t>SUMINISTRO, CARGA, ACARREO, DESCARGA Y PUESTA EN SITIO COSTA FUERA DE DIGITAL INPUT, MARCA HONEYWELL, No. PARTE 51304485-150</t>
  </si>
  <si>
    <t>C3EXT-1598</t>
  </si>
  <si>
    <t>SUMINISTRO, CARGA, ACARREO, DESCARGA Y PUESTA EN SITIO COSTA FUERA DE MONITOR DELL 27 4K CON CONCENTRADOR USB-C, P2723QE</t>
  </si>
  <si>
    <t>C3EXT-1599</t>
  </si>
  <si>
    <t>SUMINISTRO, CARGA, ACARREO, DESCARGA Y PUESTA EN SITIO COSTA FUERA DE WORKSTATION PRECISION 3280 COMPACTA, MARCA DELL</t>
  </si>
  <si>
    <t>C3EXT-1600</t>
  </si>
  <si>
    <t>SUMINISTRO, CARGA, ACARREO, DESCARGA Y PUESTA EN SITIO COSTA FUERA DE TECLADO MULTIMEDIA DELL-KB216 - ESPAÑOL (QWERTY) - NEGRO </t>
  </si>
  <si>
    <t>C3EXT-1601</t>
  </si>
  <si>
    <t>SUMINISTRO, CARGA, ACARREO, DESCARGA Y PUESTA EN SITIO COSTA FUERA DE CABLE CAT 6 PANDUIT, NUR6C04BU-C</t>
  </si>
  <si>
    <t>C3EXT-1602</t>
  </si>
  <si>
    <t>SUMINISTRO, CARGA, ACARREO, DESCARGA Y PUESTA EN SITIO COSTA FUERA DE RATÓN ÓPTICO DELL MS116 (NEGRO)</t>
  </si>
  <si>
    <t>C3EXT-1603</t>
  </si>
  <si>
    <t>SUMINISTRO, CARGA, ACARREO, DESCARGA Y PUESTA EN SITIO COSTA FUERA DE PLUG RJ45 CAT6, PARA CABLE UTP SP688-C</t>
  </si>
  <si>
    <t>C3EXT-1604</t>
  </si>
  <si>
    <t>SUMINISTRO, CARGA, ACARREO, DESCARGA Y PUESTA EN SITIO COSTA FUERA DE KOBLENZ ER-2550 REGULADOR DE VOLTAJE AUTOMÁTICO, 2500 VA, 6 CONTACTOS, COLOR NEGRO</t>
  </si>
  <si>
    <t>C3EXT-1605</t>
  </si>
  <si>
    <t>SUMINISTRO, CARGA, ACARREO, DESCARGA Y PUESTA EN SITIO COSTA FUERA DE CODO, DE ACERO AL CARBÓN, DE 1 1/2" DE DIÁMETRO NOMINAL, 0.200" DE ESPESOR, CÉDULA: 80, SIN COSTURA, TIPO: 90 GRADOS, RADIO LARGO, EXTREMOS: BISELADOS, ESPECIFICACIÓN: ASTM A234, GRADO: WPB, ASME: B16.9.</t>
  </si>
  <si>
    <t>C3EXT-1606</t>
  </si>
  <si>
    <t xml:space="preserve">SUMINISTRO, CARGA, ACARREO, DESCARGA Y PUESTA EN SITIO COSTA FUERA DE REDUCCIÓN, DE ACERO AL CARBÓN, DE 2" DE DIÁMETRO NOMINAL, 0.218" DE ESPESOR, CÉDULA: 80, X 1.50" DE DIÁMETRO NOMINAL, 0.200" DE ESPESOR, CÉDULA: 80, S/C, TIPO: CONCÉNTRICA, EXTREMOS: BISELADOS, ESPECIFICACIÓN: ASTMA234, GRADO: WPB, ASME: B16.9. </t>
  </si>
  <si>
    <t>C3EXT-1607</t>
  </si>
  <si>
    <t>SUMINISTRO, CARGA, ACARREO, DESCARGA Y PUESTA EN SITIO COSTA FUERA DE BRIDA, DE ACERO AL CARBÓN, DE 1.50" DE DIÁMETRO NOMINAL, 0.200" DE ESPESOR, CÉDULA: 80, CLASE: 300 LIBRAS, BORE: 1.50", TIPO: CUELLO SOLDABLE (-WN), CARA REALZADA (-RF), ESPECIFICACIÓN: ASTM: A105, ASME: B16.5.</t>
  </si>
  <si>
    <t>C3EXT-1608</t>
  </si>
  <si>
    <t>SUMINISTRO, CARGA, ACARREO, DESCARGA Y PUESTA EN SITIO COSTA FUERA DE EMPAQUE ESPIROMETALICO DE 1 1/2"Ø, CLASE 300#, DE 3.1 mm (1/8”) DE ESPESOR, CON ANILLO METÁLICO CENTRADOR (EXTERIOR), RELLENO DE GRAFITO FLEXIBLE, ENROLLAMIENTO Y ANILLO CENTRADOR DE ACERO INOX. TIPO UNS N04400, ANILLO DE RESPALDO (INTERNO) DE PTFE, ASME B16.20 PARA BRIDAS ASME B16.5 O ASME B16.47 SERIE A.</t>
  </si>
  <si>
    <t>C3EXT-1609</t>
  </si>
  <si>
    <t>SUMINISTRO, CARGA, ACARREO, DESCARGA Y PUESTA EN SITIO COSTA FUERA DE  NIPLE DE 3/4"Ø x 3 1/2" DE LONGITUD, ACERO AL CARBONO, SIN COSTURA,  CED. 160, EXTREMO PLANO/ROSCADO, ESPECIFICACIÓN ASTM A105 GR. B, ASME B36.10M.</t>
  </si>
  <si>
    <t>C3EXT-1610</t>
  </si>
  <si>
    <t>SUMINISTRO, CARGA, ACARREO, DESCARGA Y PUESTA EN SITIO COSTA FUERA DE VÁLVULA ESFÉRICA, DE PASO COMPLETO Y CONTINUADO, DE 2" (2.00") DE DIÁMETRO NOMINAL, CLASE: 300 LIBRAS, CUERPO INTEGRAL SOLDADO, EXTREMOS: BRIDADOS, CARA REALZADA (RF), MATERIALES DE FABRICACIÓN: CUERPO DE ACERO AL CARBÓN, ESPECIFICACIÓN: ASTM A105, BRIDAS: DE ACERO AL CARBÓN, ESPECIFICACIÓN: ASTM A105, BOLA MONTADA SOBRE MUÑÓN: DE ACERO AL CARBÓN, ESPECIFICACIÓN: ASTM A105, CON RECUBRIMIENTO DE 0.003" DE ESPESOR DE NÍQUEL ELECTROLESS, VASTAGO: DE ACERO AL CARBÓN, ESPECIFICACIÓN: AISI 4140, CON RECUBRIMIENTO DE 0.003" DE ESPESOR DE NÍQUEL ELECTROLESS, ANILLOS DE LOS ASIENTOS DE ACERO INOXIDABLE, ESPECIFICACIÓN: ASTM A182, GRADO: 316, INSERTOS DE LOS ASIENTOS: DE TEFLON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</si>
  <si>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C3EXT-1611</t>
  </si>
  <si>
    <t xml:space="preserve">SUMINISTRO, CARGA, ACARREO, DESCARGA Y PUESTA EN SITIO COSTA FUERA DE  VÁLVULA DE COMPUERTA, DE 1/2" (0.50") DE DIÁMETRO NOMINAL,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 </t>
  </si>
  <si>
    <t>C3EXT-1612</t>
  </si>
  <si>
    <t xml:space="preserve">SUMINISTRO, CARGA, ACARREO, DESCARGA Y PUESTA EN SITIO COSTA FUERA DE  NIPLE, DE ACERO AL CARBÓN, DE 1/2" (0.50") DE DIÁMETRO NOMINAL, 0.188" DE ESPESOR, CÉDULA: 160, 3.50" DE LONGITUD,SIN COSTURA, EXTREMOS: PLANO X ROSCADO (TOE), ESPECIFICACIÓN: ASTM: A106 GRADO: B, ASME: B36.10M. </t>
  </si>
  <si>
    <t>C3EXT-1613</t>
  </si>
  <si>
    <t>SUMINISTRO, CARGA, ACARREO, DESCARGA Y PUESTA EN SITIO COSTA FUERA DE  COPLE, DE ACERO AL CARBÓN FORJADO, DE 1/2"(0.50") DE DIÁMETRO NOMINAL, CLASE: 3000 LIBRAS, TIPO: RECTO, EXTREMOS: ROSCADOS, ESPECIFICACIÓN: ASTM: A105, ASME: B16.11.</t>
  </si>
  <si>
    <t>C3EXT-1614</t>
  </si>
  <si>
    <t>SUMINISTRO, CARGA, ACARREO, DESCARGA Y PUESTA EN SITIO COSTA FUERA DE  BRIDA, DE ACERO AL CARBÓN, DE 1.00" DE DIÁMETRO NOMINAL, CLASE: 150 LIBRAS, TIPO: CIEGA (-BL), CARA REALZADA (-RF), ESPECIFICACIÓN: ASTM: A105, ASME: B16.5.</t>
  </si>
  <si>
    <t>C3EXT-1615</t>
  </si>
  <si>
    <t>SUMINISTRO, CARGA, ACARREO, DESCARGA Y PUESTA EN SITIO COSTA FUERA DE  BRIDA, DE ACERO AL CARBÓN, DE 2.00" DE DIÁMETRO NOMINAL, CLASE: 150 LIBRAS, TIPO: CIEGA (-BL), CARA REALZADA (-RF), ESPECIFICACIÓN: ASTM: A105, ASME: B16.5.</t>
  </si>
  <si>
    <t>C3EXT-1616</t>
  </si>
  <si>
    <t>SUMINISTRO, CARGA, ACARREO, DESCARGA Y PUESTA EN SITIO COSTA FUERA DE  EMPAQUE ESPIROMETALICO DE 4"Ø, CLASE 300#, DE 3.1 mm (1/8”) DE ESPESOR, CON ANILLO METÁLICO CENTRADOR (EXTERIOR), RELLENO DE GRAFITO FLEXIBLE, ENROLLAMIENTO Y ANILLO CENTRADOR DE ACERO INOX. TIPO UNS N04400, ANILLO DE RESPALDO (INTERNO) DE PTFE, ASME B16.20 PARA BRIDAS ASME B16.5 O ASME B16.47 SERIE A.</t>
  </si>
  <si>
    <t>C3EXT-1617</t>
  </si>
  <si>
    <t>SUMINISTRO, CARGA, ACARREO, DESCARGA Y PUESTA EN SITIO COSTA FUERA DE  ESPÁRRAGO DE 3/4" X 5 3/8" LONG. ASTM A193 GR. B7, CON DOS TUERCAS HEXAGONALES ASTM A194 GRADO 2H, ROSCAS ASME B1.1 CLASE 2A, CON RECUBRIMIENTO RESISTENTE A LA CORROSIÓN A BASE DE CADMIO (25 MICRAS DE ESPESOR ASTM B766 O EQUIVALENTE) P/BRIDAS DE 2"%%C-300# (P/AMA-01).</t>
  </si>
  <si>
    <t>C3EXT-1618</t>
  </si>
  <si>
    <t xml:space="preserve">SUMINISTRO, CARGA, ACARREO, DESCARGA Y PUESTA EN SITIO COSTA FUERA DE  VÁLVULA  DE COMPUERTA DE  2" (2.00") DE DIÁMETRO NOMINAL, CLASE: 800 LIBRAS, EXTREMOS: SW,  CUERPO DE ACERO AL CARBON A-105 , INTERIORES DE ACERO INOXIDABLE (TRIM-1) </t>
  </si>
  <si>
    <t>C3EXT-1619</t>
  </si>
  <si>
    <t>TRABAJOS PARA LA INSTALACION, CONEXION Y PRUEBAS DE LOS COMPONENTES SUMINISTRADOS PARA EL SISTEMA DE CONTROL DISTRIBUIDO (SDC) MARCA HONEYWELL PARA EL SEPARADOR SLUG CATCHER FA-1102H DE NOHOCH-A, INCLUYE PERSONAL ESPECIALISTA, HERRAMIENTAS Y EQUIPOS.</t>
  </si>
  <si>
    <t>C3EXT-1620</t>
  </si>
  <si>
    <t>TRABAJOS PARA LA INSTALACION, CONEXION Y PRUEBAS DE LOS COMPONENTES SUMINISTRADOS PARA  EEL SISTEMAS  PARO POR EMERGENCIA (SPPE) MARCA FOXBORO BY SCHNEIDER ELECTRIC / TRICONEX SIS PARA EL SEPARADOR SLUG CATCHER FA-1102H DE NOHOCH-A,  INCLUYE PERSONAL ESPECIALISTA, HERRAMIENTAS Y EQUIPOS.</t>
  </si>
  <si>
    <t>C3EXT-1621</t>
  </si>
  <si>
    <t>TRABAJOS PARA LA INSTALACION, CONEXION Y PRUEBAS DE LOS COMPONENTES SUMINISTRADOS PARA  EL SISTEMAS GAS Y FUEGO (G&amp;F) MARCA TRICONEX SIS Y DET-TRONICS  PARA EL SEPARADOR SLUG CATCHER FA-1102H DE NOHOCH-A,  INCLUYE PERSONAL ESPECIALISTA, HERRAMIENTAS Y EQUIPOS.</t>
  </si>
  <si>
    <t>C3EXT-1622</t>
  </si>
  <si>
    <t>SUMINISTRO, CARGA, ACARREO, DESCARGA Y PUESTA EN SITIO COSTA FUERA DE CODO DE ACERO AL CARBONO, DE 1 1/2" DE DIÁMETRO CÉDULA: 80, SIN COSTURA, TIPO: 90 GRADOS, RADIO LARGO, EXTREMOS: BISELADOS, ESPECIFICACIÓN: ASTM A234, GRADO: WPB, ASME: B16.9.</t>
  </si>
  <si>
    <t>C3EXT-1623</t>
  </si>
  <si>
    <t>SUMINISTRO, CARGA, ACARREO, DESCARGA Y PUESTA EN SITIO COSTA FUERA DE REDUCCIÓN, DE ACERO AL CARBONO, DE 2" DE DIÁMETRO CÉDULA: 80, X 1 1/2" DE DIÁMETRO CÉDULA: 80, S/C, TIPO: CONCÉNTRICA, EXTREMOS: BISELADOS, ESPECIFICACIÓN: ASTM A-234, GRADO: WPB, ASME: B16.9.</t>
  </si>
  <si>
    <t>C3EXT-1624</t>
  </si>
  <si>
    <t>SUMINISTRO, CARGA, ACARREO, DESCARGA Y PUESTA EN SITIO COSTA FUERA DE BRIDA DE ACERO AL CARBONO, DE 1 1/2" DE DIÁMETRO CÉDULA: 80, CLASE: 300 LIBRAS, INSERTO SOLDADBLE (S.W.), CARA REALZADA (RF), ESPECIFICACIÓN: ASTM: A105, ASME: B16.5.</t>
  </si>
  <si>
    <t>C3EXT-1625</t>
  </si>
  <si>
    <t>SUMINISTRO, CARGA, ACARREO, DESCARGA Y PUESTA EN SITIO COSTA FUERA DE EMPAQUE ESPIROMETALICO DE 1 1/2"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</si>
  <si>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C3EXT-1626</t>
  </si>
  <si>
    <t>SUMINISTRO, CARGA, ACARREO, DESCARGA Y PUESTA EN SITIO COSTA FUERA DE NIPLE DE 3/4" DE DIÁMETRO x 3 1/2" DE LONGITUD, ACERO AL CARBONO, SIN COSTURA, CED. 160, EXTREMO PLANO/ROSCADO, ESPECIFICACIÓN ASTM A105 GR. B, ASME B36.10M.</t>
  </si>
  <si>
    <t>C3EXT-1627</t>
  </si>
  <si>
    <t>SUMINISTRO, CARGA, ACARREO, DESCARGA Y PUESTA EN SITIO COSTA FUERA DE VÁLVULA ESFÉRICA, DE PASO COMPLETO Y CONTINUADO, DE 2"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</si>
  <si>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C3EXT-1628</t>
  </si>
  <si>
    <t>SUMINISTRO, CARGA, ACARREO, DESCARGA Y PUESTA EN SITIO COSTA FUERA DE VÁLVULA DE COMPUERTA, DE 1/2" DE DIÁMETRO,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t>
  </si>
  <si>
    <t>C3EXT-1629</t>
  </si>
  <si>
    <t>SUMINISTRO, CARGA, ACARREO, DESCARGA Y PUESTA EN SITIO COSTA FUERA DE NIPLE DE ACERO AL CARBONO DE 1/2" DE DIÁMETRO X 3 1/2" DE LONGITUD, CED-160, SIN COSTURA, EXTREMOS: PLANO X ROSCADO (TOE), ESPECIFICACIÓN: ASTM: A106 GRADO: B, ASME: B36.10M.</t>
  </si>
  <si>
    <t>C3EXT-1630</t>
  </si>
  <si>
    <t>SUMINISTRO, CARGA, ACARREO, DESCARGA Y PUESTA EN SITIO COSTA FUERA DE COPLE DE ACERO AL CARBONO FORJADO DE 1/2" DE DIÁMETRO, CLASE: 3000 LIBRAS, TIPO: RECTO, EXTREMOS: ROSCADOS, ESPECIFICACIÓN: ASTM: A105, ASME: B16.11.</t>
  </si>
  <si>
    <t>C3EXT-1631</t>
  </si>
  <si>
    <t>SUMINISTRO, CARGA, ACARREO, DESCARGA Y PUESTA EN SITIO COSTA FUERA DE BRIDA TIPO CIEGA DE ACERO AL CARBONO DE 1" DE DIÁMETRO, CLASE: 150 LIBRAS, CARA REALZADA (RF), ESPECIFICACIÓN: ASTM: A105, ASME: B16.5.</t>
  </si>
  <si>
    <t>C3EXT-1632</t>
  </si>
  <si>
    <t>SUMINISTRO, CARGA, ACARREO, DESCARGA Y PUESTA EN SITIO COSTA FUERA DE BRIDA TIPO CIEGA DE ACERO AL CARBONO DE 2" DE DIÁMETRO, CLASE: 150 LIBRAS, CARA REALZADA (RF), ESPECIFICACIÓN: ASTM: A105, ASME: B16.5.</t>
  </si>
  <si>
    <t>C3EXT-1633</t>
  </si>
  <si>
    <t>SUMINISTRO, CARGA, ACARREO, DESCARGA Y PUESTA EN SITIO COSTA FUERA DE EMPAQUE ESPIROMETÁLICO DE 4"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</si>
  <si>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C3EXT-1634</t>
  </si>
  <si>
    <t>SUMINISTRO, CARGA, ACARREO, DESCARGA Y PUESTA EN SITIO COSTA FUERA DE ESPÁRRAGO DE 3/4" DE DIÁMETRO X 5 3/8" LONGITUD, ASTM A193 GR. B7, CON DOS TUERCAS HEXAGONALES ASTM A194 GRADO 2H, ROSCAS ASME B1.1 CLASE 2A, CON RECUBRIMIENTO RESISTENTE A LA CORROSIÓN A BASE DE CADMIO (25 MICRAS DE ESPESOR ASTM B766 O EQUIVALENTE) P/BRIDAS DE 2"-300#.</t>
  </si>
  <si>
    <t>C3EXT-1635</t>
  </si>
  <si>
    <t>SUMINISTRO, CARGA, ACARREO, DESCARGA Y PUESTA EN SITIO COSTA FUERA DE VÁLVULA DE COMPUERTA DE 2" DE DIÁMETRO CLASE: 800 LIBRAS, EXTREMOS CAJA PARA SOLDAR (SW), CUERPO DE ACERO AL CARBONO A-105, INTERIORES DE ACERO INOXIDABLE (TRIM-1).</t>
  </si>
  <si>
    <t>C3EXT-1636</t>
  </si>
  <si>
    <t>SUMINISTRO, CARGA, ACARREO, DESCARGA Y PUESTA EN SITIO COSTA FUERA DE TEE REDUCCIÓN DE ACERO AL CARBONO FORJADO DE 2.00" DE DIÁMETRO X 1 1/2" DE DIÁMETRO, CLASE: 3000 LIBRAS, EXTREMOS: INSERTO SOLDABLE (S.W.) ESPECIFICACIÓN: ASTM A105, ASME: B16.11.</t>
  </si>
  <si>
    <t>C3EXT-1637</t>
  </si>
  <si>
    <t>SUMINISTRO, CARGA, ACARREO, DESCARGA Y PUESTA EN SITIO COSTA FUERA DE TEE RECTA 1/2"Ø ACERO AL CARBÓN FORJADO, CLASE 3000#, EXTREMOS ROSCADOS, ASTM A-105, ASME B16 11.</t>
  </si>
  <si>
    <t>C3EXT-1638</t>
  </si>
  <si>
    <t>SUMINISTRO, CARGA, ACARREO, DESCARGA Y PUESTA EN SITIO COSTA FUERA DE VÁLVULA TIPO AGUJA DE 1/2"Ø, CLASE 6000#, NPT ROSC. TIPO HEMBRA, CUERPO ACERO INOXIDABLE 316, CAT. 7461F8Y-316 MCA. HOKE O SIMILAR.</t>
  </si>
  <si>
    <t>C3EXT-1639</t>
  </si>
  <si>
    <t>SUMINISTRO, CARGA, ACARREO, DESCARGA Y PUESTA EN SITIO COSTA FUERA DE SOCKOLET DE ACERO AL CARBÓN FORJADO, DE 4"-2" x 1/2"Ø, EXTREMOS BISELADO - CAJA SOLDABLE, CLASE 6000#, ASTM A105.</t>
  </si>
  <si>
    <t>C3EXT-1640</t>
  </si>
  <si>
    <t>SUMINISTRO, CARGA, ACARREO, DESCARGA Y PUESTA EN SITIO COSTA FUERA DE EMPAQUE, ESPIRO-METÁLICO, CON ANILLOS METÁLICOS CENTRADOR (EXTERIOR) Y DE RESPALDO (INTERNO), RELLENO DE GRAFITO FLEXIBLE, ENROLLAMIENTO Y ANILLOS DE ACERO INOXIDABLE UNSS31600, ASME B16.20 PARA BRIDAS ASME B16.5 O ASME B16.47 SERIE A, (JUNTA DE 1"Ø, 300# R.F.).</t>
  </si>
  <si>
    <t>C3EXT-1641</t>
  </si>
  <si>
    <t>SUMINISTRO, CARGA, ACARREO, DESCARGA Y PUESTA EN SITIO COSTA FUERA DE VÁLVULA ESFÉRICA, DE PASO COMPLETO Y CONTINUADO, DE 4"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</si>
  <si>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C3EXT-1642</t>
  </si>
  <si>
    <t>SUMINISTRO, CARGA, ACARREO, DESCARGA Y PUESTA EN SITIO COSTA FUERA DE TUBO DE ACERO AL CARBÓN 4"Ø, CED. STD, 0.237" DE ESPESOR, EXTREMOS BISELADOS SIN COSTURA, ESPECIFICACIÓN ASTM A106 GR. B, ASME B36.10M.</t>
  </si>
  <si>
    <t>C3EXT-1643</t>
  </si>
  <si>
    <t>SUMINISTRO, CARGA, ACARREO, DESCARGA Y PUESTA EN SITIO COSTA FUERA DE BRIDA CAJA PARA SOLDAR DE ACERO AL CARBÓN 2"Ø, CLASE 300, CARA REALZADA (RF),ESPECIFICACIÓN ASTM A105, ASME B16.5.</t>
  </si>
  <si>
    <t>C3EXT-1644</t>
  </si>
  <si>
    <t>SUMINISTRO, CARGA, ACARREO, DESCARGA Y PUESTA EN SITIO COSTA FUERA DE CODO 90° 2"Ø ACERO AL CARBÓN FORJADO, CLASE 3000#, EXTREMOS: CAJA PARA SOLDAR ESPECIFICACIÓN: ASTM A105, ASME B16.11.</t>
  </si>
  <si>
    <t>C3EXT-1645</t>
  </si>
  <si>
    <t>SERVICIO DE INSPECCIÓN DEL LECHO MARINO PREVIO A LA ALINEACIÓN Y ASENTAMIENTO DE LA SUBESTRUCTURA, ASÍ COMO VERIFICACIÓN DE ESTRUCTURA EN POSICIÓN FINAL, RETIRO DE EQUIPOS DE GEOPOSICIONAMIENTO Y ARREGLOS DE IZAJE, MONITOREO DURANTE LA INSTALACIÓN DE LA 2DA SECCIÓN DE LA SUBESTRUCTURA, APOYO EN ACTIVIDADES DE INYECCIÓN DE GROUT MEDIANTE CONEXIÓN DE MANGUERAS EN EL NIVEL (-)25.536 Y VERIFICACIÓN DE DESFOGUE EN NIVEL (-)23.557, (-)21.271 Y (-)17.766, MANIOBRAS DE ALINEACIÓN Y ASEGURAMIENTO DE 03 CONDUCTORES DE POZOS MEDIANTE GUIAS PARA CONDUCTORES EN LA ELEVACIÓN (-) 16.538. SUBMARINAS COMPRENDIDAS DESDE UN TIRANTE DE AGUA DE 24.5 METROS HASTA EL N.M.M (NIVEL MEDIO DEL MAR) DURANTE LAS ACTIVIDADES DE INSTALACIÓN DE LA ESTRUCTURA MÍNIMA DEFINITIVA RELOCALIZABLE, CON CLAVE DE IDENTIFICACIÓN "EMTR-4", INSTALADA EN EL CAMPO HOMOL-101, EN LAS COORDENADAS X:576,453, Y:2,104,519; INCLUYE: PERSONAL Y EQUIPO ESPECIALIZADO, GASES MEDICINALES, MOVILIZACIÓN, DESMOVILIZACIÓN DE PERSONAL Y EQUIPOS, TOMA DE VIDEO, EDICIÓN Y ENTREGA DE REPORTES FINAL.</t>
  </si>
  <si>
    <t>C3EXT-1646</t>
  </si>
  <si>
    <t>PTE-BME-021-2025 EMTR HOMOL-10</t>
  </si>
  <si>
    <t>SERVICIO DE ESTABILIZADO ESTRUCTURAL MEDIANTE SUMINISTRO E INYECCIÓN DE GROUT EN EL ESPACIO ANULAR DE LAS COLUMNAS DE LA PRIMERA Y SEGUNDA SECCIÓN DE LA SUBESTRUCTURA, 7 TON. EN CADA UNA DE LAS 3 COLUMNAS PARA UN TOTAL DE 21 TONELADAS DE GROUT SUBMARINO HPC, BASE DE GROUT PORTLAND, ALTA RESISTENCIA A LOS SULFATOS, SIN ADITIVOS, CON UNA DENSIDAD PROMEDIO DE LA LECHADA DE 2,300 KG/M3 Y CON CARACTERÍSTICAS DE RESISTENCIA A LA COMPRESIÓN REQUERIDA POSTERIOR A LA INYECCIÓN DE 35 MPA A LAS 24 HORAS, LA INYECCIÓN DEL GROUT SE REALIZARA EN CADA UNA DE LAS TRES COLUMNAS MEDIANTE BOMBEO CONTROLADO HACIA EL ESPACIO ANULAR EXISTENTE ENTRE COLUMNA DE 54" DIÁMETRO CON LA COLUMNA DE 44" DIÁMETRO DE LA SUBESTRUCTURA MÍNIMA TEMPORAL RELOCALIZABLE, CON CLAVE DE IDENTIFICACIÓN "EMTR-4", INSTALADA EN EL CAMPO HOMOL-101, EN LAS COORDENADAS X:576,453, Y:2,104,519;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</si>
  <si>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C3EXT-1647</t>
  </si>
  <si>
    <t>SERVICIO DE GEOPOSICIONAMIENTO SUBMARINO DURANTE LAS ACTIVIDADES DE INSTALACIÓN DE LA ESTRUCTURA MÍNIMA TEMPORAL RELOCALIZABLE, CON CLAVE DE IDENTIFICACIÓN "EMTR-4", INSTALADA EN EL CAMPO HOMOL-101, EN LAS COORDENADAS X:576,453, Y:2,104,519; INCLUYE: TRABAJOS PREVIOS DE VERIFICACIÓN DE COORDENADAS Y ORIENTACIÓN DE TEMPLETE MARINO, TÓMAS DE DIMENSIONAMIENTO CON EQUIPOS DE: POSICIONAMIENTO DGPS/GNSS, SISTEMA DE POSICIONAMIENTO SUBMARINO, EQUIPOS DE NIVELACIÓN, CABINA DE CONTROL Y PERSONAL SURVEYOR EN GEOPOSICIONAMIENTO MARINOS, REPORTE FOTOGRÁFICO, INSTALACIÓN, CALIBRACIÓN Y PRUEBAS DE LOS EQUIPOS COSTA AFUERA.</t>
  </si>
  <si>
    <t>C3EXT-1648</t>
  </si>
  <si>
    <t>SERVICIO DE VERIFICACIÓN DE NIVELACIÓN DE LA SUBESTRUCTURA Y LA SUPERESTRUCTURA DURANTE LAS ACTIVIDADES DE INSTALACIÓN DE LA ESTRUCTURA MÍNIMA TEMPORAL RELOCALIZABLE, CON CLAVE DE IDENTIFICACIÓN "EMTR-4", INSTALADA CAMPO HOMOL-101, EN LAS COORDENADAS X:576,453, Y:2,104,519; INCLUYE: TRABAJOS PREVIOS CON ESTACIÓN TOTAL SOKKIA ANTENA GPS - RTK, PRISMAS BASTONES. LOS EQUIPOS DEBEN SER OPERADOS POR PERSONAL SURVEY ESPECIALISTA MARINOS EN TOPOGRAFÍA CON SOFTWARE ESPECIALIZADO, REPORTE FOTOGRÁFICO, MOVILIZACIÓN, CALIBRACIÓN Y PRUEBAS DE LOS EQUIPOS COSTA AFUERA, MOVILIZACIÓN DE PERSONAL.</t>
  </si>
  <si>
    <t>C3EXT-1649</t>
  </si>
  <si>
    <t>TOMAS DE VIDEOS Y FOTOGRAFÍAS DE FORMA AÉREAS CON EQUIPO DRON Y OPERADO POR TÉCNICO ESPECIALISTA PARA REGISTRO DE EVIDENCIAS DURANTE EL DESARROLLO DE PROYECTOS; INCLUYE: ENTREGA DE VIDEOS EDITADOS Y ÁLBUM FOTOGRÁFICO.</t>
  </si>
  <si>
    <t>C3EXT-1650</t>
  </si>
  <si>
    <t>SUMINISTRO, CARGA, ACARREO, DESCARGA Y PUESTA EN SITIO COSTA FUERA DE FUENTE DE ALIMENTACIÓN DE 127 VAC@ 24 VDC 20 AMPERES MARCA TDK LAMBDA No PARTE DRB480-24-1.</t>
  </si>
  <si>
    <t>C3EXT-1651</t>
  </si>
  <si>
    <t>SUMINISTRO, CARGA, ACARREO, DESCARGA Y PUESTA EN SITIO COSTA FUERA DE FUENTE DE ALIMENTACIÓN DE 127 VAC@ 24 VDC 10 AMPERES MARCA TDK LAMBDA No PARTE DRF240-24-1.</t>
  </si>
  <si>
    <t>C3EXT-1652</t>
  </si>
  <si>
    <t>SUMINISTRO, CARGA, ACARREO, DESCARGA Y PUESTA EN SITIO COSTA FUERA DE FUENTE DE ALIMENTACIÓN MODULAR DE 127 VAC@ 24 VDC, MARCA TRICONEX No. PARTE 8310.</t>
  </si>
  <si>
    <t>C3EXT-1653</t>
  </si>
  <si>
    <t>SISTEMA INTEGRAL DE SUMINISTRO DE ENERGÍA ELÉCTRICA TEMPORAL A 400 KVA (CON 03 TOMAS DE 125 KVA CADA UNA), Y 25KVA (CON 05 TOMAS DE 25 KVA CADA UNA), PARA LA INSTALACIÓN DE PILOTES DE SUCCIÓN; INCLUYE: GENERADOR EN OPERACIÓN CONTINUA DE 400 KVA (60 HZ A 440 V) Y UN GENERADOR DE LA MISMA CAPACIDAD DE RESPALDO, 01 GENERADOR DE 25 KVA (60 HZ, 230 - 110 V), 01 TABLERO DE TRANSFERENCIA DE USO MANUAL DE 200 A. 01 TABLERO DE TRANSFERENCIA DE USO MANUAL DE 630 A, PERSONAL TÉCNICO ESPECIALIZADO, CARGA Y ACARREO DESDE SU LUGAR DE ORIGEN AL MUELLE DE EMBARQUE Y DESEMBARQUE).</t>
  </si>
  <si>
    <t>C3EXT-1654</t>
  </si>
  <si>
    <t>SUMINISTRO, CARGA, ACARREO, DESCARGA Y PUESTA EN SITIO COSTA FUERA DE BRIDA CIEGA DE ACERO AL CARBONO 2" DE DIÁMETRO, CÉDULA 80, CLASE 300, CARA REALZADA (R.F.), ESPECIFICACIÓN ASTM A105, ASME B16 5.</t>
  </si>
  <si>
    <t>C3EXT-1655</t>
  </si>
  <si>
    <t>SUMINISTRO, CARGA, ACARREO, DESCARGA Y PUESTA EN SITIO COSTA FUERA DE EMPAQUE, ESPIRO-METÁLICO, CON ANILLOS METALICOS CENTRADOR (EXTERIOR) Y DE RESPALDO (INTERNO), RELLENO DE GRAFITO FLEXIBLE, ENROLLAMIENTO Y ANILLOS DE ACERO INOXIDABLE UNS S31600, ASME B16.20 PARA BRIDAS ASME B16.5 O ASME B16.47 SERIE A, (JUNTA DE 1 1/2" DE DIÁMETRO, 300# R.F.)</t>
  </si>
  <si>
    <t>C3EXT-1656</t>
  </si>
  <si>
    <t>SUMINISTRO, CARGA, ACARREO, DESCARGA Y PUESTA EN SITIO COSTA FUERA DE JUEGO (KIT) DE AISLAMIENTO PARA EVITAR PAR GALVÁNICO COMPUESTO POR EMPAQUE CENTRAL, AISLANTE MICARTA PARA EMBRIDADO DE 2" DE DIÁMETRO, CLASE 300 LIBRAS, CARA REALZADA (R.F.), CONSTITUIDO POR LOS SIGUIENTES ELEMENTOS DE JUNTA SELLADO MICARTA CON FRENTE DE NEOPRENO, MANGA AISLANTE MICARTA PARA CADA ESPARRAGO, DOS ARANDELAS PLANAS MICARTA POR CADA ESPARRAGO, DOS ARANDELAS PLANAS DE ACERO INOXIDABLE GRADO 316 POR CADA ESPÁRRAGO.</t>
  </si>
  <si>
    <t>C3EXT-1657</t>
  </si>
  <si>
    <t>SUMINISTRO, CARGA, ACARREO, DESCARGA Y PUESTA EN SITIO COSTA FUERA DE COPLE RECTO DE 1/2" DE DIÁMETRO, ACERO INOXIDABLE, CLASE 3000#, EXTREMOS ROSCADOS ASTM A182 GRADO F304, ASME B16.11</t>
  </si>
  <si>
    <t>BME-3801-049-2025</t>
  </si>
  <si>
    <t>C3EXT-1658</t>
  </si>
  <si>
    <t>SUMINISTRO, CARGA, ACARREO, DESCARGA Y PUESTA EN SITIO COSTA FUERA DE TORNILLO ACERO INOXIDABLE CABEZA HEXAGONAL DE 3/8" DE DIÁMETRO X 3 1/2" DE LONGITUD.</t>
  </si>
  <si>
    <t>C3EXT-1659</t>
  </si>
  <si>
    <t>SUMINISTRO, CARGA, ACARREO, DESCARGA Y PUESTA EN SITIO COSTA FUERA DE PERFIL CANAL DE ACERO AL CARBONO DE 6" DE DIÁMETRO (152 MMX12.20 KG/M) ESPECIFICACIÓN ASTM-A36.</t>
  </si>
  <si>
    <t>C3EXT-1660</t>
  </si>
  <si>
    <t>SUMINISTRO, CARGA, ACARREO, DESCARGA Y PUESTA EN SITIO COSTA FUERA DE PERFIL IR DE 6"X4" (13.5 KG/M) ESPECIFICACIÓN ASTM  A-36.</t>
  </si>
  <si>
    <t>C3EXT-1661</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</si>
  <si>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</si>
  <si>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C3EXT-1662</t>
  </si>
  <si>
    <t>SERVICIO DE INSPECCIÓN DE GARANTÍA MARINA (WARRANTY SURVEYOR) PARA LA INSTALACIÓN DEL HELIPUERTO EN LA PLATAFORMA HOMOL-101; INCLUYE: REVISIÓN DOCUMENTAL PARA LOS TRABAJOS DE IZAJE.</t>
  </si>
  <si>
    <t>C3EXT-1663</t>
  </si>
  <si>
    <t>SUMINISTRO, CARGA, ACARREO, DESCARGA Y PUESTA EN SITIO COSTA FUERA DE ASFANIL DESENGRASANTE BIODEGRADABLE A BASE DE CÍTRICOS, PARA UTILIZARSE EN LAS LINEAS CORRIDAS.</t>
  </si>
  <si>
    <t>OT-801-25-055-UDC-EREEKA-GCO-FG-2106</t>
  </si>
  <si>
    <t>C3EXT-1664</t>
  </si>
  <si>
    <t>FILTRO DE GAS COMBUSTIBLE</t>
  </si>
  <si>
    <t>SUMINISTRO, CARGA, ACARREO, DESCARGA Y PUESTA EN SITIO COSTA FUERA DE SOCKOLET ASME B16.11 ACERO AL CARBONO, ESPECIFICIACIÓN ASTM A-105, CUMPLE CON MSS SP-97, PARA SOLDAR A TUBERÍA DE 20"-2" X 3/4" DE DIÁMETRO, CLASE 6000#.</t>
  </si>
  <si>
    <t>BME-3801-041-2025</t>
  </si>
  <si>
    <t>OT-801-25-047-UDC-NHA1-CE-012-(CLR)</t>
  </si>
  <si>
    <t>C3EXT-1665</t>
  </si>
  <si>
    <t>SUMINISTRO, CARGA, ACARREO, DESCARGA Y PUESTA EN SITIO COSTA FUERA DE VÁLVULA ESFÉRICA DE 1" DE DIÁMETRO, PASO COMPLETO DE ACERO AL CARBONO, ASTM A-10, 1500 PSI, OPERACIÓN: MANUAL, EXTREMOS : ROSCADOS HEMBRA / SW C-160, VASTAGO: INOXIDABLE S31800.</t>
  </si>
  <si>
    <t>C3EXT-1666</t>
  </si>
  <si>
    <t>SUMINISTRO, CARGA, ACARREO, DESCARGA Y PUESTA EN SITIO COSTA FUERA DE SUMINISTRO DE ESPÁRRAGOS DE 1" DE DIÁMETRO X 7" DE LONGITUD, ACERO AL CARBONO, ASTM A-193, GRADO B7M, CON DOS TUERCAS Y DOS CONTRATUERCAS HEXAGONAL, ASTM A-194, GRADO 2HM CADMINIZADOS (PARA JUEGO BRIDADO 8" DE DIÁMETRO - 600#).</t>
  </si>
  <si>
    <t>C3EXT-1667</t>
  </si>
  <si>
    <t>SUMINISTRO, CARGA, ACARREO, DESCARGA Y PUESTA EN SITIO COSTA FUERA DE SUMINISTRO Y ACARREO AL SITIO DE INSTALACIÓN DE ESPÁRRAGOS DE 1 1/4" DE DIÁMETRO X 9" DE LONGITUD, ACERO AL CARBONO, ASTM A-193, GRADO B7M CON DOS TUERCAS HEXAGONALES Y DOS ARANDELAS PLANAS ASTM A-194, GRADO 2HM CON RECUBRIMIENTO CADMINIZADO BAJO NORMA ASTM B7 66, CLASE 8 TIPO II (PARA JUEGO BRIDADO DE 12" DE DIÁMETRO- 600#)</t>
  </si>
  <si>
    <t>C3EXT-1668</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</si>
  <si>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3/8" DE DIÁMETRO X 9 1/2 DE LONGITUD, MARCA SIGMA FASTENERS. (PARA JUEGOS BRIDADOS DE 14" DE DIÁMETRO - 600#)</t>
  </si>
  <si>
    <t>C3EXT-1669</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</si>
  <si>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DE LONGITUD, MARCA SIGMA FASTENERS. (PARA JUEGOS BRIDADOS DE 18" DE DIÁMETRO - 600#)</t>
  </si>
  <si>
    <t>C3EXT-1670</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</si>
  <si>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1/2" DE LONGITUD MARCA SIGMA FASTENERS. (PARA JUEGOS BRIDADOS DE 20" DE DIÁMETRO - 600#)</t>
  </si>
  <si>
    <t>C3EXT-1671</t>
  </si>
  <si>
    <t>SUMINISTRO, CARGA, ACARREO, DESCARGA Y PUESTA EN SITIO COSTA FUERA DE SUMINISTRO DE ESPÁRRAGOS DE 1 1/2" DE DIÁMETRO X 9 1/4" DE LONGITUD, ACERO AL CARBONO ASTM A-93, GRADO B7M CON DOS TUERCAS HEXAGONALES ASTM A-194 GRADO 2 HM CADMINIZADOS CON PROCESO ELECTROLITICO CON ACABADOS TROPICALIZADOS TIPO II</t>
  </si>
  <si>
    <t>C3EXT-1672</t>
  </si>
  <si>
    <t>SUMINISTRO, CARGA, ACARREO, DESCARGA Y PUESTA EN SITIO COSTA FUERA DE SUMINISTRO DE EMPAQUE DE 14" DE DIÁMETRO, ESPIROMETALICO, CON ANILLOS METALICOS CENTRADOR (EXTERIOR) Y DE RESPALDO (INTERIOR), RELLENO DE GRAFITO FLEXIBLE, ENROLLAMIENTO Y ANILLO DE ACERO INOXIDABLE, UNS S31600, ASME B16.20 PARA BRIDAS ASME B16.5 O ASME B 16.47 SERIE A, DEBE CUMPLIR CON EL ESTADAR NACE MR-01- 75/ ISO- 15156-1, PARA COLOCAR ENTRE BRIDA CARA REALZADA CLASE 600</t>
  </si>
  <si>
    <t>C3EXT-1673</t>
  </si>
  <si>
    <t>SUMINISTRO, CARGA, ACARREO, DESCARGA Y PUESTA EN SITIO COSTA FUERA DE ESPÁRRAGOS 1 3/8" DE DIÁMETRO X 9 1/4" DE LONGITUD, ROSCAS ASME B 1.1 CLASE 2A MATERIAL ASTM-A193 GRADO B7, ESPECIFICACIÓN ASME B 18.312 PUNTA CONICA, CON RECUBRIMIENTO ASTM B 776 TIPO II CLASE 25 CADMINIZADO.</t>
  </si>
  <si>
    <t>BME-3801-042-2025</t>
  </si>
  <si>
    <t>OT-801-25-048-UDC-NHA1-CE-011-(CLR)</t>
  </si>
  <si>
    <t>C3EXT-1674</t>
  </si>
  <si>
    <t>SUMINISTRO, CARGA, ACARREO, DESCARGA Y PUESTA EN SITIO COSTA FUERA DE CODO 90°, RADIO LARGO, 30" Ø, ESPESOR 0.500", EXTREMOS BISELADOS, ESPECIFICACIÓN ASTM A234 GRADO WPB, CON COSTURA, DIMENSIONESY REQUERIMIENTOS ASME B16.9 Y PARA SERVICIO AMARGO NACE MR-0175/ISO 15156.</t>
  </si>
  <si>
    <t>OT-801-25-056-UDC-NHAEC-GBP-004 (DC)</t>
  </si>
  <si>
    <t>C3EXT-1675</t>
  </si>
  <si>
    <t>NHAEC-GBP-004-(CSA)</t>
  </si>
  <si>
    <t xml:space="preserve">SUMINISTRO, CARGA, ACARREO, DESCARGA Y PUESTA EN SITIO COSTA FUERA DE ESPÁRRAGO 1 1/4" DE DIÁMETRO X 9 3/4"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30"  CL 150 R.F. </t>
  </si>
  <si>
    <t>BME-3801-045-2025</t>
  </si>
  <si>
    <t>OT-801-25-051-UDC-NHAEC-GBP-004-(CSA)</t>
  </si>
  <si>
    <t>C3EXT-1676</t>
  </si>
  <si>
    <t>SUMINISTRO, CARGA, ACARREO, DESCARGA Y PUESTA EN SITIO COSTA FUERA DE ESPÁRRAGO 1 7/8" DE DIÁMETRO X 13 1/2"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24" CL 600 R.F.</t>
  </si>
  <si>
    <t>C3EXT-1677</t>
  </si>
  <si>
    <t>SUMINISTRO, CARGA, ACARREO, DESCARGA Y PUESTA EN SITIO COSTA FUERA DE ESPARRAGO 1 7/8"Ø X 17" LONGITUD, ROSCAS ASME B1.1 CLASE 2A,MATERIAL ASTM A193 GR. B7M, ESPECIFICACION ASME B18.31.2, PUNTA CONICA OREDONDEADA, CON DOS TUERCAS HEXAGONALES ROSCAS ASME B1.1 CLASE 2B,MATERIAL ASTM A194 GR. 2HM, ESPECIFICACIÓN ASME B18.2.2, CON RECUBRIMIENTO ASTM B766 TIPO II CLASE 25 CADMINIZADO, LA LONGITUD DEL ESPÁRRAGO ES LA CUERDA UTIL, NO INCLUYE EL TRAMO SIN CUERDAS, ES DECIR,CHAFLANES O PUNTAS. EL DIÁMETRO DE PASO Y FUNCIONAL DE LAS CUERDAS DESPUÉS DEL RECUBRIMIENTO DEBEN SER CONFORME AL ASME B1.1. 24" CL 600 R.F. (COMAL Y FIGURA.8).</t>
  </si>
  <si>
    <t>C3EXT-1678</t>
  </si>
  <si>
    <t>SUMINISTRO, CARGA, ACARREO, DESCARGA Y PUESTA EN SITIO COSTA FUERA DE EMPAQUE PARA BRIDA 36" DE DIÁMETRO, CLASE 600, CARA R.F., B16.47 SERIE A, TIPO ESPIRO-METÁLICO, MATERIAL DE ANILLOS Y ENRROLLAMIENTO METÁLICO CON ANILLO CENTRADOR Y ANILLO INTERIOR UNS S31600, ESPESOR 1/8", RELLENO DE GRAFITO PURO FLEXIBLE Y DIMENSIONES Y REQUERIMIENTO ASME B16.20</t>
  </si>
  <si>
    <t>C3EXT-1679</t>
  </si>
  <si>
    <t>SUMINISTRO, CARGA, ACARREO, DESCARGA Y PUESTA EN SITIO COSTA FUERA DE EMPAQUE PARA BRIDA 30" DE DIÁMETRO, CLASE 150, CARA R.F., B16.47 SERIE A, TIPO ESPIRO-METÁLICO, MATERIAL DE ANILLOS Y ENRROLLAMIENTO METÁLICO CON ANILLO CENTRADOR Y ANILLO INTERIOR UNS S31600, ESPESOR 1/8", RELLENO DE GRAFITO PURO FLEXIBLE Y DIMENSIONES Y REQUERIMIENTO ASME B16.20.</t>
  </si>
  <si>
    <t>C3EXT-1680</t>
  </si>
  <si>
    <t>SUMINISTRO, CARGA, ACARREO, DESCARGA Y PUESTA EN SITIO COSTA FUERA DE SOCKOLET, 36" - 14" X 3/4" DE DIÁMETRO, CLASE 3000, EXTREMOS BISELADO X CAJA SOLDAR, ESPECIFICACIÓN ASTM A105, DIMENSIONES Y REQUERIMIENTOS MSS SP97 Y SERVICIO AMARGO NACE MR-0175/ISO 15156</t>
  </si>
  <si>
    <t>C3EXT-1681</t>
  </si>
  <si>
    <t>SUMINISTRO, CARGA, ACARREO, DESCARGA Y PUESTA EN SITIO COSTA FUERA DE NIPLE DE 1/2"Ø X 3 1/2" LONGITUD, CÉDULA XXS, EXTREMOS ROSCADOS, ESPECIFICACIÓN ASTM A106 GRADO B Y DIMENSIONES Y REQUERIMIENTOS ASMEB36.10.</t>
  </si>
  <si>
    <t>C3EXT-1682</t>
  </si>
  <si>
    <t>SUMINISTRO, CARGA, ACARREO, DESCARGA Y PUESTA EN SITIO COSTA FUERA DE ESPÁRRAGO 2" DE DIÁMETRO X 16 1/2" DE LONGITUD, ROSCAS ASME B1.1 CLASE 2A, MATERIAL ASTM A193, GRADO B7,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DESPUES DEL RECUBRIMIENTO DEBEN SER CONFORME AL ASME B1.1. BRIDA DE 30" CL 600# R.F.</t>
  </si>
  <si>
    <t>C3EXT-1683</t>
  </si>
  <si>
    <t>SUMINISTRO, CARGA, ACARREO, DESCARGA Y PUESTA EN SITIO COSTA FUERA DE TUBO DE 3/4" DE DIÁMETRO, CÉDULA 160, EXTREMOS PLANOS, ESPECIFICACIÓN ASTM A106, GRADO B Y DIMENSIONES Y REQUERIMIENTOS ASME B36.10.</t>
  </si>
  <si>
    <t>C3EXT-1684</t>
  </si>
  <si>
    <t>C3EXT-1685</t>
  </si>
  <si>
    <t>SUMINISTRO, CARGA, ACARREO, DESCARGA Y PUESTA EN SITIO COSTA FUERA DE ESPÁRRAGO 5/8" DE DIÁMETRO X 5" DE LONGITUD, ROSCAS ASME B1.1 CLASE 2A, MATERIAL ASTM-A193 GRADO B7, ESPECIFICACIÓN ASME B18.31.2, PUNTA CONICA O REDONDEADA, CON DOS TUERCAS HEXAGONALES ROSCAS ASME B1.1 CLASE 2B, MATERIAL ASTMA194, GRADO 2H, ESPECIFICACIÓN ASME B18.2.2, CON RECUBRIMIENTO ASTM B766TIPO II, CLASE 25 CADMINIZADO, LA LONGITUD DEL ESPÁRRAGO ES LA CUERDA UTIL, NO INCLUYE EL TRAMO SIN CUERDAS, ES DECIR, CHAFLANES O PUNTAS. EL DIÁMETRO DE PASO Y FUNCIONAL DE LAS CUERDAS DESPUES DEL RECUBRIMIENTO DEBEN SER CONFORME AL ASME B1.1. BRIDA DE 4" CL 150 R.F.</t>
  </si>
  <si>
    <t>C3EXT-1686</t>
  </si>
  <si>
    <t>SUMINISTRO, CARGA, ACARREO, DESCARGA Y PUESTA EN SITIO COSTA FUERA DE TUBO DE 3/4" DE DIÁMETRO, CÉDULA 160, EXTREMOS PLANOS, ESPECIFICACIÓN ASTM A106, GRADO B, DIMENSIONES Y REQUERIMIENTOS ASME B36.10.</t>
  </si>
  <si>
    <t>C3EXT-1687</t>
  </si>
  <si>
    <t>SUMINISTRO, CARGA, ACARREO, DESCARGA Y PUESTA EN SITIO COSTA FUERA DE ESPÁRRAGO 1 1/8" DE DIÁMETRO X 7 1/2"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18" CL 150 R.F.</t>
  </si>
  <si>
    <t>C3EXT-1688</t>
  </si>
  <si>
    <t>C3EXT-1689</t>
  </si>
  <si>
    <t>C3EXT-1690</t>
  </si>
  <si>
    <t xml:space="preserve">SUMINISTRO, CARGA, ACARREO, DESCARGA Y PUESTA EN SITIO COSTA FUERA DE BARANDAL DOBLE A, BASE DE OC-48 mm DE DIÁMETRO X 5 mm DE ESPESOR GALVANIZADO </t>
  </si>
  <si>
    <t>C3EXT-1691</t>
  </si>
  <si>
    <t>SUMINISTRO, CARGA, ACARREO, DESCARGA Y PUESTA EN SITIO COSTA FUERA DE BARANDAL SENCILLO A, BASE DE OC-48 mm DE DIÁMETRO X 5 mm ESPESOR GALVANIZADO</t>
  </si>
  <si>
    <t>C3EXT-1692</t>
  </si>
  <si>
    <t>SUMINISTRO, CARGA, ACARREO, DESCARGA Y PUESTA EN SITIO COSTA FUERA DE TEE RECTA, ACERO AL CARBONO FORJADO, INSERTO SOLDABLE (SOCKET-WELDING), ESPECIFICACIÓN ASTM-A-105, 300 LIBRAS DE 1" DE DIÁMETRO, DEBE CUMPLIR CON ASME B16.11 ULTIMA EDICION.</t>
  </si>
  <si>
    <t>C3EXT-1693</t>
  </si>
  <si>
    <t xml:space="preserve">NHA2-DP-063 </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</si>
  <si>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</si>
  <si>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BME-3801-068-2025</t>
  </si>
  <si>
    <t>OT-801-25-074-UDC-NHA2-DP-063</t>
  </si>
  <si>
    <t>C3EXT-1694</t>
  </si>
  <si>
    <t>C3EXT-1695</t>
  </si>
  <si>
    <t>SUMINISTRO, CARGA, ACARREO, DESCARGA Y PUESTA EN SITIO COSTA FUERA DE ESPÁRRAGO 5/8" DE DIÁMETRO X 4 3/8" DE LONGITUD, ROSCAS ASME B1.1 CLASE 2A, MATERIAL ASTM-A193,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</si>
  <si>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C3EXT-1696</t>
  </si>
  <si>
    <t>SUMINISTRO, CARGA, ACARREO, DESCARGA Y PUESTA EN SITIO COSTA FUERA DE ESPÁRRAGO 5/8"DE DIÁMETRO X 3 5/8" DE LONGITUD, ROSCAS ASME B1.1 CLASE 2A, MATERIAL ASTM-A193, GRADO B7, ESPECIFICACIÓN ASME B18.31.2, PUNTA CONICA O REDONDEADA,CON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</si>
  <si>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C3EXT-1697</t>
  </si>
  <si>
    <t>SUMINISTRO, CARGA, ACARREO, DESCARGA Y PUESTA EN SITIO COSTA FUERA DE TEE RECTA, ACERO AL CARBONO FORJADO, INSERTO SOLDABLE (SOCKET-WELDING), ESPECIFICACIÓN ASTM-A-105, 300 LIBRAS DE 1" DE DIÁMETRO, DEBE CUMPLIR CON ASME B16.11 ÚLTIMA EDICIÓN.</t>
  </si>
  <si>
    <t>C3EXT-1698</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</si>
  <si>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</si>
  <si>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C3EXT-1699</t>
  </si>
  <si>
    <t>NHA2-DP-064</t>
  </si>
  <si>
    <t>SUMINISTRO, CARGA, ACARREO, DESCARGA Y PUESTA EN SITIO COSTA FUERA DE TUBO DE 3/4"Ø, CÉDULA 160, EXTREMOS PLANOS, ESPECIFICACIÓN ASTM A106 GR. B Y DIMENSIONES Y REQUERIMIENTOS ASME B36.10.</t>
  </si>
  <si>
    <t>C3EXT-1700</t>
  </si>
  <si>
    <t>SUMINISTRO, CARGA, ACARREO, DESCARGA Y PUESTA EN SITIO COSTA FUERA DE ESPÁRRAGO 5/8" DE DIÁMETRO X 4 3/8" DE LONGITUD, ROSCAS ASME B1.1 CLASE 2A, MATERIAL ASTM-A193, GRADO B7, ESPECIFICACIÓN ASME B18.31.2, PUNTA CÓNICA O REDONDEADA,CON DOS TUERCAS HEXAGONALES ROSCAS ASME B1.1 CLASE 2B, MATERIAL ASTM A194, GRADO 2H, ESPECIFICACIÓN ASME B18.2.2, CON RECUBRIMIENTO ASTM B766TIPO II CLASE 25 CADMINIZADO, LA LONGITUD DEL ESPÁRRAGO ES LA CUERDA ÚTIL, NO INCLUYE EL TRAMO SIN CUERDAS, ES DECIR, CHAFLANES O PUNTAS. EL DIÁMETRO DE PASO Y FUNCIONAL DE LAS CUERDAS DESPUÉS DEL RECUBRIMIENTO DEBEN SER CONFORME AL ASME B1.1. BRIDA DE 1" CL 300 R.F.</t>
  </si>
  <si>
    <t>C3EXT-1701</t>
  </si>
  <si>
    <t>SUMINISTRO, CARGA, ACARREO, DESCARGA Y PUESTA EN SITIO COSTA FUERA DE ESPÁRRAGO 5/8" DE DIÁMETRO X 3 5/8" DE LONGITUD, ROSCAS ASME B1.1 CLASE 2A, MATERIAL ASTM-A193, GRADO B7, ESPECIFICACIÓN ASME B18.31.2, PUNTA CÓNICA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 CL 300 R.F.</t>
  </si>
  <si>
    <t>C3EXT-1702</t>
  </si>
  <si>
    <t>SUMINISTRO, CARGA, ACARREO, DESCARGA Y PUESTA EN SITIO COSTA FUERA DE PERFIL, DE ACERO AL CARBONO, SIN RECUBRIMIENTO, TIPO: C ESTANDAR (CE), 6" X 50.8" X 0.375" DE ESPESOR, 12.200 KG/M, ESPECIFICACIÓN:ASTM: A572, GRADO: 50</t>
  </si>
  <si>
    <t>C3EXT-1703</t>
  </si>
  <si>
    <t>SUMINISTRO, CARGA, ACARREO, DESCARGA Y PUESTA EN SITIO COSTA FUERA DE PERFIL, DE ACERO AL CARBONO, SIN RECUBRIMIENTO, TIPO: I RECTANGULAR (IR), 12" X 6.575" X 0.375" DE ESPESOR, 52.200 KG/M, ESPECIFICACIÓN: ASTM A572, GRADO 50</t>
  </si>
  <si>
    <t>C3EXT-1704</t>
  </si>
  <si>
    <t>SUMINISTRO, CARGA, ACARREO, DESCARGA Y PUESTA EN SITIO COSTA FUERA DE PERFIL, DE ACERO AL CARBONO, SIN RECUBRIMIENTO, TIPO: I RECTANGULAR (IR), 10" X 4.016" X 0.375" DE ESPESOR, 28.30 KG/M, ESPECIFICACIÓN: ASTM A572, GRADO: 50.</t>
  </si>
  <si>
    <t>C3EXT-1705</t>
  </si>
  <si>
    <t>SUMINISTRO, CARGA, ACARREO, DESCARGA Y PUESTA EN SITIO COSTA FUERA DE TUBO OC- 1 1/2" DE DIÁMETRO, CÉDULA 40 (4.05 kg/m) ASTM A-53, GRADO B</t>
  </si>
  <si>
    <t>C3EXT-1706</t>
  </si>
  <si>
    <t>SUMINISTRO, CARGA, ACARREO, DESCARGA Y PUESTA EN SITIO COSTA FUERA DE PERFIL DE ACERO AL CARBONO, TIPO: RECTANGULAR (IR), 12" x 4", 24.00 KG/M, ESPECIFICACIÓN: ASTM: A36</t>
  </si>
  <si>
    <t>C3EXT-1707</t>
  </si>
  <si>
    <t>SERVICIO DE SELLADO CONVENCIONAL DE VÁLVULA TIPO COMPUERTA, ESFÉRICA, GLOBO O DE MARIPOSA DE 20" DIAM. CON RANGO DE PRESIÓN DESDE 150# HASTA 900#; INCLUYE: EQUIPOS, HERRAMIENTAS, MATERIALES E INSUMOS NECESARIOS PARA EL CORRECTO SELLA DE LA VÁLVULA.</t>
  </si>
  <si>
    <t>C3EXT-1708</t>
  </si>
  <si>
    <t>SUMINISTRO, CARGA, ACARREO, DESCARGA Y PUESTA EN SITIO COSTA FUERA DE PERFIL, DE ACERO AL CARBONO, SIN RECUBRIMIENTO, TIPO: I RECTANGULAR (IR), 12" X 6.575" X 0.375" DE ESPESOR, 52.20 KG/M, ESPECIFICACIÓN ASTM A572, GRADO 50.</t>
  </si>
  <si>
    <t>C3EXT-1709</t>
  </si>
  <si>
    <t>SUMINISTRO, CARGA, ACARREO, DESCARGA Y PUESTA EN SITIO COSTA FUERA DE PERFIL, DE ACERO AL CARBONO, SIN RECUBRIMIENTO, TIPO: I RECTANGULAR (IR), 10" X 4.016" X 0.375" DE ESPESOR, 28.30 KG/M, ESPECIFICACIÓN ASTM A572, GRADO 50.</t>
  </si>
  <si>
    <t>C3EXT-1710</t>
  </si>
  <si>
    <t>SERVICIO DE BARRENADO EN VÁLVULA TIPO COMPUERTA, ESFÉRICA, GLOBO O DE MARIPOSA DE 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</si>
  <si>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BME-3801-075-2025</t>
  </si>
  <si>
    <t>OT-801-25-082-Válvulas</t>
  </si>
  <si>
    <t>C3EXT-1711</t>
  </si>
  <si>
    <t>INSTALACION, INTERCONEXION, PRUEBAS Y PUESTA EN OPERACIÓN DEL SEPARADOR FA-1102H EN LA PLATAFORMA NOHOCH-A/PERFORACION.</t>
  </si>
  <si>
    <t>SERVICIO DE BARRENADO EN VÁLVULA TIPO COMPUERTA, ESFÉRICA, GLOBO O DE MARIPOSA DE 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</si>
  <si>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C3EXT-1712</t>
  </si>
  <si>
    <t>SERVICIO DE BARRENADO EN VÁLVULA TIPO COMPUERTA, ESFÉRICA, GLOBO O DE MARIPOSA DE 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</si>
  <si>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C3EXT-1713</t>
  </si>
  <si>
    <t>SERVICIO DE BARRENADO EN VÁLVULA TIPO COMPUERTA, ESFÉRICA, GLOBO O DE MARIPOSA DE 10"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</si>
  <si>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C3EXT-1714</t>
  </si>
  <si>
    <t>SERVICIO DE BARRENADO EN VÁLVULA TIPO COMPUERTA, ESFÉRICA, GLOBO O DE MARIPOSA DE 14"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</si>
  <si>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C3EXT-1715</t>
  </si>
  <si>
    <t>SERVICIO DE BARRENADO EN VÁLVULA TIPO COMPUERTA, ESFÉRICA, GLOBO O DE MARIPOSA DE 16"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</si>
  <si>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C3EXT-1716</t>
  </si>
  <si>
    <t>SERVICIO DE BARRENADO EN VÁLVULA TIPO COMPUERTA, ESFÉRICA, GLOBO O DE MARIPOSA DE 18"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</si>
  <si>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C3EXT-1717</t>
  </si>
  <si>
    <t>SERVICIO DE BARRENADO EN VÁLVULA TIPO COMPUERTA, ESFÉRICA, GLOBO O DE MARIPOSA DE 24"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</si>
  <si>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C3EXT-1718</t>
  </si>
  <si>
    <t>SERVICIO DE BARRENADO EN VÁLVULA TIPO COMPUERTA, ESFÉRICA, GLOBO O DE MARIPOSA DE 30"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</si>
  <si>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C3EXT-1719</t>
  </si>
  <si>
    <t>SERVICIO DE BARRENADO EN VÁLVULA TIPO COMPUERTA, ESFÉRICA, GLOBO O DE MARIPOSA DE 36"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</si>
  <si>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C3EXT-1720</t>
  </si>
  <si>
    <t>SELLADO INVERSO DE VÁLVULA TIPO COMPUERTA, ESFÉRICA, GLOBO O DE MARIPOSA DE 4" DIÁMETRO. CON RANGO DE PRESIÓN DESDE 150# HASTA 900#, INCLUYE EQUIPOS, HERRAMIENTAS, MATERIALES E INSUMOS NECESARIOS PARA EL CORRECTO SELLA DE LA VÁLVULA.</t>
  </si>
  <si>
    <t>C3EXT-1721</t>
  </si>
  <si>
    <t>SELLADO INVERSO DE VÁLVULA TIPO COMPUERTA, ESFÉRICA, GLOBO O DE MARIPOSA DE 6" DIÁMETRO. CON RANGO DE PRESIÓN DESDE 150# HASTA 900#, INCLUYE EQUIPOS, HERRAMIENTAS, MATERIALES E INSUMOS NECESARIOS PARA EL CORRECTO SELLA DE LA VÁLVULA.</t>
  </si>
  <si>
    <t>C3EXT-1722</t>
  </si>
  <si>
    <t>SELLADO INVERSO DE VÁLVULA TIPO COMPUERTA, ESFÉRICA, GLOBO O DE MARIPOSA DE 8" DIÁMETRO. CON RANGO DE PRESIÓN DESDE 150# HASTA 900#, INCLUYE EQUIPOS, HERRAMIENTAS, MATERIALES E INSUMOS NECESARIOS PARA EL CORRECTO SELLA DE LA VÁLVULA.</t>
  </si>
  <si>
    <t>C3EXT-1723</t>
  </si>
  <si>
    <t>SELLADO INVERSO DE VÁLVULA TIPO COMPUERTA, ESFÉRICA, GLOBO O DE MARIPOSA DE 10" DIÁMETRO. CON RANGO DE PRESIÓN DESDE 150# HASTA 900#, INCLUYE EQUIPOS, HERRAMIENTAS, MATERIALES E INSUMOS NECESARIOS PARA EL CORRECTO SELLA DE LA VÁLVULA.</t>
  </si>
  <si>
    <t>C3EXT-1724</t>
  </si>
  <si>
    <t>SELLADO INVERSO DE VÁLVULA TIPO COMPUERTA, ESFÉRICA, GLOBO O DE MARIPOSA DE 14" DIÁMETRO. CON RANGO DE PRESIÓN DESDE 150# HASTA 900#, INCLUYE EQUIPOS, HERRAMIENTAS, MATERIALES E INSUMOS NECESARIOS PARA EL CORRECTO SELLA DE LA VÁLVULA.</t>
  </si>
  <si>
    <t>C3EXT-1725</t>
  </si>
  <si>
    <t>SELLADO INVERSO DE VÁLVULA TIPO COMPUERTA, ESFÉRICA, GLOBO O DE MARIPOSA DE 16" DIÁMETRO. CON RANGO DE PRESIÓN DESDE 150# HASTA 900#, INCLUYE EQUIPOS, HERRAMIENTAS, MATERIALES E INSUMOS NECESARIOS PARA EL CORRECTO SELLA DE LA VÁLVULA.</t>
  </si>
  <si>
    <t>C3EXT-1726</t>
  </si>
  <si>
    <t>SELLADO INVERSO DE VÁLVULA TIPO COMPUERTA, ESFÉRICA, GLOBO O DE MARIPOSA DE 18" DIÁMETRO. CON RANGO DE PRESIÓN DESDE 150# HASTA 900#, INCLUYE EQUIPOS, HERRAMIENTAS, MATERIALES E INSUMOS NECESARIOS PARA EL CORRECTO SELLA DE LA VÁLVULA.</t>
  </si>
  <si>
    <t>C3EXT-1727</t>
  </si>
  <si>
    <t>SELLADO INVERSO DE VÁLVULA TIPO COMPUERTA, ESFÉRICA, GLOBO O DE MARIPOSA DE 24" DIÁMETRO. CON RANGO DE PRESIÓN DESDE 150# HASTA 900#, INCLUYE EQUIPOS, HERRAMIENTAS, MATERIALES E INSUMOS NECESARIOS PARA EL CORRECTO SELLA DE LA VÁLVULA.</t>
  </si>
  <si>
    <t>C3EXT-1728</t>
  </si>
  <si>
    <t>SELLADO INVERSO DE VÁLVULA TIPO COMPUERTA, ESFÉRICA, GLOBO O DE MARIPOSA DE 30" DIÁMETRO. CON RANGO DE PRESIÓN DESDE 150# HASTA 900#, INCLUYE EQUIPOS, HERRAMIENTAS, MATERIALES E INSUMOS NECESARIOS PARA EL CORRECTO SELLA DE LA VÁLVULA.</t>
  </si>
  <si>
    <t>C3EXT-1729</t>
  </si>
  <si>
    <t>SELLADO INVERSO DE VÁLVULA TIPO COMPUERTA, ESFÉRICA, GLOBO O DE MARIPOSA DE 36" DIÁMETRO. CON RANGO DE PRESIÓN DESDE 150# HASTA 900#, INCLUYE EQUIPOS, HERRAMIENTAS, MATERIALES E INSUMOS NECESARIOS PARA EL CORRECTO SELLA DE LA VÁLVULA.</t>
  </si>
  <si>
    <t>C3EXT-1730</t>
  </si>
  <si>
    <t>SERVICIO DE REHABILITACIÓN, INSTALACIÓN Y PUESTA EN OPERACIÓN DEL EQUIPO HVAC PRINCIPAL DE 25 TR-A UBICADO EN EL CUARTO DE CONTROL DE MOTORES 2do. NIVEL, POL-A /COMPRESION; INCLUYE SUMINISTRO DE REFACCIONAMIENTO</t>
  </si>
  <si>
    <t>C3EXT-1731</t>
  </si>
  <si>
    <t>SERVICIO DE REHABILITACIÓN, INSTALACIÓN Y PUESTA EN OPERACIÓN DEL EQUIPO HVAC PRINCIPAL DE 20 TR-A UBICADO EN EL CUARTO DE MONITOREO Y CONTROL 3er. NIVEL, POL-A /COMPRESION; INCLUYE SUMINISTRO DE REFACCIONAMIENTO.</t>
  </si>
  <si>
    <t>C3EXT-1732</t>
  </si>
  <si>
    <t>SERVICIO DE REHABILITACIÓN, INSTALACIÓN Y PUESTA EN OPERACIÓN DEL EQUIPO HVAC DE RESPALDO DE 20 TR-A UBICADO EN EL CUARTO DE MONITOREO Y CONTROL 3er. NIVEL, POL-A /COMPRESION; INCLUYE SUMINISTRO DE REFACCIONAMIENTO.</t>
  </si>
  <si>
    <t>C3EXT-1733</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</si>
  <si>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</si>
  <si>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C3EXT-1734</t>
  </si>
  <si>
    <t>SUMINISTRO, CARGA, ACARREO, DESCARGA Y PUESTA EN SITIO COSTA FUERA DE BRIDA S.W. DE 2" DE DIÁMETRO, CLASE 600#, A-105, R.F.</t>
  </si>
  <si>
    <t>C3EXT-1735</t>
  </si>
  <si>
    <t xml:space="preserve">SUMINISTRO, CARGA, ACARREO, DESCARGA Y PUESTA EN SITIO COSTA FUERA DE BRIDA CUELLO SOLDABLE, DE 24" DE DIÁMETRO, CLASE 150 R.F., BORE 23.250", ESPECIFICACIÓN ASTM A105, DIMENSIONES Y REQUERIMIENTOS ASME B16.5 SERIE A, PARA SERVICIO AMARGO, NACE MR-0175/ISO 15156. </t>
  </si>
  <si>
    <t>C3EXT-1736</t>
  </si>
  <si>
    <t>SUMINISTRO, CARGA, ACARREO, DESCARGA Y PUESTA EN SITIO COSTA FUERA DE TEE RECTA DE ACERO AL CARBONO, EXTREMOS BISELADOS PARA SOLDAR, ESPECIFICACIÓN ASTM-A-234, GRADO WPB, C/C, CÉDULA 0.375", 24" DE DIÁMETRO NOMINAL, DEBE CUMPLIR CON ASME B16.9 ÚLTIMA EDICIÓN.</t>
  </si>
  <si>
    <t>C3EXT-1737</t>
  </si>
  <si>
    <t>SUMINISTRO, CARGA, ACARREO, DESCARGA Y PUESTA EN SITIO COSTA FUERA DE TUBO DE ACERO AL CARBONO SIN RECUBRIMIENTO, DE 24.00" DE DIÁMETRO NOMINAL, 0.668" DE ESPESOR, CÉDULA: 40, SIN COSTURA, EXTREMOS: BISELADOS, ESPECIFICACIÓN: ASTM A106, GRADO: B.</t>
  </si>
  <si>
    <t>BME-3801-051-2025</t>
  </si>
  <si>
    <t>OT-801-25-057-UDC-NHA2-GBP-032 (FN)</t>
  </si>
  <si>
    <t>C3EXT-1738</t>
  </si>
  <si>
    <t>SUMINISTRO, CARGA, ACARREO, DESCARGA Y PUESTA EN SITIO COSTA FUERA DE ESPÁRRAGOS 5/8" DE DIÁMETRO X 5 1/4" DE LONGITUD, ROSCAS ASME B 1.1 CLASE 2A, MATERIAL ASTM-A193, GRADO B7, ESPECIFICACIÓN ASME B 18.312 PUNTA CONICA, CON RECUBRIMIENTO ASTM B 776 TIPO II, CLASE 25 CADMINIZADO.</t>
  </si>
  <si>
    <t>C3EXT-1739</t>
  </si>
  <si>
    <t>SUMINISTRO, CARGA, ACARREO, DESCARGA Y PUESTA EN SITIO COSTA FUERA DE ESPARRAGOS 1 3/8" DE DIÁMETRO X 9 1/4" DE LONGITUD, ROSCAS ASME B 1.1 CLASE 2A, MATERIAL ASTM-A193, GRADO B7, ESPECIFICACIÓN ASME B 18.312 PUNTA CONICA, CON RECUBRIMIENTO ASTM B 776 TIPO II CLASE 25 CADMINIZADO.</t>
  </si>
  <si>
    <t>C3EXT-1740</t>
  </si>
  <si>
    <t>SUMINISTRO, CARGA, ACARREO, DESCARGA Y PUESTA EN SITIO COSTA FUERA DE ESPÁRRAGO 2 1/2" DE DIÁMETRO X 16"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36" CLASE 600 R.F.</t>
  </si>
  <si>
    <t>C3EXT-1741</t>
  </si>
  <si>
    <t xml:space="preserve">SUMINISTRO, CARGA, ACARREO, DESCARGA Y PUESTA EN SITIO COSTA FUERA DE ESPÁRRAGO 1 1/4" DE DIAMETRO X 9 1/2"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30" CLASE 150 R.F. </t>
  </si>
  <si>
    <t>C3EXT-1742</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</si>
  <si>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</si>
  <si>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C3EXT-1743</t>
  </si>
  <si>
    <t>SUMINISTRO, CARGA, ACARREO, DESCARGA Y PUESTA EN SITIO COSTA FUERA DE ESPÁRRAGO 1 3/8" DE DIÁMETRO X 9 1/2" DE LONGITUD, ROSCAS ASME B1.1 CLASE 2A, MATERIAL ASTM A193 GRADO B7, ESPECIFICACIÓN ASME B18.31.2, PUNTA CONICA O REDONDEADA, CON DOS TUERCAS HEXAGONALES ROSCAS ASME B1.1 CLASE 2B,MATERIAL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15" DE DIÁMETRO, CLASE 600 R.F.</t>
  </si>
  <si>
    <t>C3EXT-1744</t>
  </si>
  <si>
    <t>SUMINISTRO, CARGA, ACARREO, DESCARGA Y PUESTA EN SITIO COSTA FUERA DE NIPLE DE 3/4" DE DIÁMETRO X 3 1/2" DE LONGITUD, CÉDULA 160, EXTREMOS PLANOS/ROSCADOS, ESPECIFICACIÓN ASTM A106 GRADO B, DIMENSIONES Y REQUERIMIENTOS ASME B36.10 Y SERVICIO AMARGO NACE MR-0175/ISO 15156.</t>
  </si>
  <si>
    <t>C3EXT-1745</t>
  </si>
  <si>
    <t>SUMINISTRO, CARGA, ACARREO, DESCARGA Y PUESTA EN SITIO COSTA FUERA DE NIPLE DE 3/4" DE DIÁMETRO X 3 1/2" DE LONGITUD, CÉDULA 160, EXTREMOS PLANO, ESPECIFICACIÓN ASTM A106 GRADO B Y DIMENSIONES Y REQUERIMIENTOS ASME B36.10.</t>
  </si>
  <si>
    <t>C3EXT-1746</t>
  </si>
  <si>
    <t>SUMINISTRO, CARGA, ACARREO, DESCARGA Y PUESTA EN SITIO COSTA FUERA DE OBTURADOR DE PATENTE MARCA PLUGCO MODELO GP-200500, CON 20" DE DIÁMETRO NOMINAL MINIMO DE APLICACIÓN, Y 24" DE DIÁMETRO NOMINAL MÁXIMO DE APLICACIÓN, DEBE CUMPLIR CON ASME B16.9 ULTIMA EDICIÓN.</t>
  </si>
  <si>
    <t>C3EXT-1747</t>
  </si>
  <si>
    <t>SUMINISTRO, CARGA, ACARREO, DESCARGA Y PUESTA EN SITIO COSTA FUERA DE DESENGRASANTE BIODEGRADABLE 20L HERGRAS O SIMILAR, LIQUIDO DE COLOR NARANJA Y OLOR A CITRICOS, DESENGRASANTE SOLUBRE EN AGUA QUE ESTA FORMULADO CON CITRICOS, DETERGENTE, HUMENTANTES Y AGENTE DISOLVENTE PARA EXTRAER TOTALMENTE LAS GRASAS Y ACEITES EN SUPERFICIE METALICAS.</t>
  </si>
  <si>
    <t>C3EXT-1748</t>
  </si>
  <si>
    <t>SUMINISTRO, CARGA, ACARREO, DESCARGA Y PUESTA EN SITIO COSTA FUERA DE ESPÁRRAGO 1 3/8"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14" CLASE 600 R.F.</t>
  </si>
  <si>
    <t>C3EXT-1749</t>
  </si>
  <si>
    <t>SUMINISTRO, CARGA, ACARREO, DESCARGA Y PUESTA EN SITIO COSTA FUERA DE ESPÁRRAGO 1 1/4" DE DIÁMETRO X 8 1/8"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</si>
  <si>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C3EXT-1750</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</si>
  <si>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</si>
  <si>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C3EXT-1751</t>
  </si>
  <si>
    <t>SUMINISTRO, CARGA, ACARREO, DESCARGA Y PUESTA EN SITIO COSTA FUERA DE ESPÁRRAGO 1 1/4"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</si>
  <si>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C3EXT-1752</t>
  </si>
  <si>
    <t>C3EXT-1753</t>
  </si>
  <si>
    <t>SUMINISTRO, CARGA, ACARREO, DESCARGA Y PUESTA EN SITIO COSTA FUERA DE PLACA DE NEOPRENO DE 3/8" (0.375") DE ESPESOR, DUREZA 60 SHORE "A", DE ACUERDO A ASTM D2240.</t>
  </si>
  <si>
    <t>C3EXT-1754</t>
  </si>
  <si>
    <t>SUMINISTRO, CARGA, ACARREO, DESCARGA Y PUESTA EN SITIO COSTA FUERA DE MASILLA BI-COMPONENTE A BASE DE EPOXI NOVOLAC PARA REFORZAMIENTO MECÁNICO, USADO COMO ADHESIVO ESTRUCTURAL DE ALTA TENACIDAD CON EXCELENTE RESISTENCIA QUÍMICA O MECÁNICA (PARA RELLENO DE ESPACIO AGUJERO TESTIGO).</t>
  </si>
  <si>
    <t>BME-3801-055-2025</t>
  </si>
  <si>
    <t>OT-801-25-061-UDC-EREEKA-P-038</t>
  </si>
  <si>
    <t>C3EXT-1755</t>
  </si>
  <si>
    <t>SUMINISTRO, CARGA, ACARREO, DESCARGA Y PUESTA EN SITIO COSTA FUERA DE ESPÁRRAGO DE ACERO AL CARBONO CON RECUBRIMIENTO: CADMINIZADO, TIPO: II, CLASE: 25, DE 7/8" (0.875") DE DIÁMETRO, X 5-1/2" (5.50") DE LONGITUD, ESPECIFICACIÓN: ASTM: A193, GRADO: B7, CON: 02 TUERCAS HEXAGONALES, ESPECIFICACIÓN: ASTM: A-194, GRADO: 2H.</t>
  </si>
  <si>
    <t>BME-3801-067-2025</t>
  </si>
  <si>
    <t>OT-801-25-073-UDC-NHA2-DA-001</t>
  </si>
  <si>
    <t>C3EXT-1756</t>
  </si>
  <si>
    <t>SUMINISTRO, CARGA, ACARREO, DESCARGA Y PUESTA EN SITIO COSTA FUERA DE PLACA LISA DE ACERO AL CARBONO, ESPECIFICACIÓN ASTM A-36, DE 1" DE ESPESOR Y DE 6" DE ANCHO X 20" DE LARGO CON UN PESO APROXIMADO DE 199.18 KG/M2. MCA AHMSA.</t>
  </si>
  <si>
    <t>C3EXT-1757</t>
  </si>
  <si>
    <t>SUMINISTRO, CARGA, ACARREO, DESCARGA Y PUESTA EN SITIO COSTA FUERA DE NIPLE DE 3/4" DE DIÁMETRO X 3 1/2" DE LONGITUD, CÉDULA 80, AMBOS EXTREMOS PLANOS ASTM A-106 GRADO B.</t>
  </si>
  <si>
    <t>C3EXT-1758</t>
  </si>
  <si>
    <t>SUMINISTRO, CARGA, ACARREO, DESCARGA Y PUESTA EN SITIO COSTA FUERA DE NIPLE DE 3/4" DE DIÁMETRO X 6" DE LONGITUD, CÉDULA 80, AMBOS EXTREMOS PLANO/ROSCADO ASTM A-106 GRADO B.</t>
  </si>
  <si>
    <t>BME-3801-062-2025</t>
  </si>
  <si>
    <t>OT-801-25-068-UDC-EREEKA2-P-014</t>
  </si>
  <si>
    <t>C3EXT-1759</t>
  </si>
  <si>
    <t>SUMINISTRO, CARGA, ACARREO, DESCARGA Y PUESTA EN SITIO COSTA FUERA DE CODO DE ACERO AL CARBONO FORJADO, SIN RECUBRIMIENTO, DE 1.00" DE DIÁMETRO NOMINAL, CLASE: 3000 LIBRAS, TIPO: 90 GRADOS, EXTREMOS: INSERTO SOLDABLE, ESPECIFICACIÓN: ASTM: A-105, ASME: B16.11</t>
  </si>
  <si>
    <t>C3EXT-1760</t>
  </si>
  <si>
    <t>SUMINISTRO, CARGA, ACARREO, DESCARGA Y PUESTA EN SITIO COSTA FUERA DE BRIDA DE ACERO INOXIDABLE, SIN RECUBRIMIENTO, DE 0.75 DE DIÁMETRO NOMINAL, CLASE: 600 LIBRAS, TIPO: ROSCADA (-TH) CARA REALZADA (-RF), ESPECIFICACIÓN: ASTM: A182 GRADO: F316L, ASME:B16.5</t>
  </si>
  <si>
    <t>C3EXT-1761</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</si>
  <si>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TEFLÓN EN ESPIRAL AUTOENERGIZADOS (UNA A CADA LADO), INSERTO (NO PEGADOS) EN LA RESINA EPÓXICA, INCLUYE: BUJES Y ARANDELAS AISLANTES DE MATERIAL NEMA G-10 Y ARANDELAS METALICAS, ACUERDO ASME: B16.5.</t>
  </si>
  <si>
    <t>C3EXT-1762</t>
  </si>
  <si>
    <t>SUMINISTRO, CARGA, ACARREO, DESCARGA Y PUESTA EN SITIO COSTA FUERA DE JUEGO (KIT) PARA EVITAR PAR GALVANICO COMPUESTO DE JUNTA CENTRAL DE AISLANTE DE VITÓN, PARA TAPÓN MACHO DE 3/4" DE DIÁMETRO, CLASE: 300 LIBRAS.</t>
  </si>
  <si>
    <t>C3EXT-1763</t>
  </si>
  <si>
    <t>SUMINISTRO, PRUEBA HIDROSTÁTICA, CARGA, ACARREO, DESCARGA Y PUESTA EN SITIO COSTA FUERA DE VÁLVULA DE COMPUERTA DE 2 1/2" DE DIÁMETRO, BRIDADA, CLASE 300, R.F., CUERPO ASTM A 216 GRADO WCB, INTERIORES DE ACERO INOXIDABLE UNS S31600; VASTAGO, DISCO Y ASIENTOS RECUBIERTOS DE UNS R30006, TORNILLO EXTERIOR Y YUGO, BONETE ATORNILLADO, DISCO TIPO CUÑA SÓLIDA O FLEXIBLE, ASIENTOS INTERCAMBIABLES, OPERADA CON VOLANTE.</t>
  </si>
  <si>
    <t>C3EXT-1764</t>
  </si>
  <si>
    <t>SUMINISTRO, CARGA, ACARREO, DESCARGA Y PUESTA EN SITIO COSTA FUERA DE TEE RECTA INSERTO SOLDABLE (S.W.), ACERO AL CARBONO, DE 2 " DE DIÁMETRO, CLASE 3000, ESPECIFICACIÓN ASTM A-105 Y ASME B16.11.</t>
  </si>
  <si>
    <t>C3EXT-1765</t>
  </si>
  <si>
    <t>SUMINISTRO, CARGA, ACARREO, DESCARGA Y PUESTA EN SITIO COSTA FUERA DE REDUCCIÓN CONCÉNTRICA DE ACERO AL CARBONO FORJADO, EXTREMOS BISELADOS PARA SOLDAR, SIN COSTURA, ESPECIFICACIÓN ASTM A 234 GRADO WPB, ASME B16.9 DE 4 X 2" DE DIÁMETRO, CÉDULA ESTANDAR.</t>
  </si>
  <si>
    <t>C3EXT-1766</t>
  </si>
  <si>
    <t>SUMINISTRO, CARGA, ACARREO, DESCARGA Y PUESTA EN SITIO COSTA FUERA DE NIPLE DE ACERO AL CARBONO, SIN COSTURA DE 3/4" DE DIÁMETRO X 4" DE LONGITUD, CÉDULA 80, EXTREMOS PLANO/ROSCADOS ASTM A106 GRADO B, ASME B36.10M (CÉDULA-160).</t>
  </si>
  <si>
    <t>C3EXT-1767</t>
  </si>
  <si>
    <t>SUMINISTRO, PRUEBA HIDROSTÁTICA, CARGA, ACARREO, DESCARGA Y PUESTA EN SITIO COSTA FUERA DE VÁLVULA DE COMPUERTA DE 3/4" DE DIÁMETRO, CLASE 800, ROSCADA, CUERPO ASTM A105, TRIM 16, CUERDA EXTERIOR Y YUGO, BONETE ATORNILLADO, CUÑA SOLIDA, ASIENTOS RECAMBIABLES, OPERADA CON VOLANTE. ISO 15761.</t>
  </si>
  <si>
    <t>C3EXT-1768</t>
  </si>
  <si>
    <t>SUMINISTRO, PRUEBA HIDROSTÁTICA, CARGA, ACARREO, DESCARGA Y PUESTA EN SITIO COSTA FUERA DE VÁLVULA DE COMPUERTA DE 1" DE DIÁMETRO CLASE 800, CAJA PARA SOLDAR, CUERPO ASTM A105, TRIM 16, CUERDA EXTERIOR Y YUGO, BONETE ATORNILLADO, CUÑA SOLIDA, ASIENTOS RECAMBIABLES, OPERADA CON VOLANTE. ISO 15761.</t>
  </si>
  <si>
    <t>C3EXT-1769</t>
  </si>
  <si>
    <t>SUMINISTRO, CARGA, ACARREO, DESCARGA Y PUESTA EN SITIO COSTA FUERA DE NIPLE DE ACERO AL CARBONO, SIN COSTURA DE 2" DE DIÁMETRO X 4" DE LONGITUD, CÉDULA 80, EXTREMOS PLANOS ASTM A106 GRADO B, ASME B36.10M.</t>
  </si>
  <si>
    <t>C3EXT-1770</t>
  </si>
  <si>
    <t>SUMINISTRO, CARGA, ACARREO, DESCARGA Y PUESTA EN SITIO COSTA FUERA DE NIPLE DE ACERO AL CARBONO, SIN COSTURA DE 2" DE DIÁMETRO X 4" DE LONGITUD, CÉDULA 80, EXTREMOS PLANOS/ROSCADOS ASTM A106 GRADO B, ASME B36.10M.</t>
  </si>
  <si>
    <t>C3EXT-1771</t>
  </si>
  <si>
    <t>SUMINISTRO, PRUEBA HIDROSTÁTICA, CARGA, ACARREO, DESCARGA Y PUESTA EN SITIO COSTA FUERA DE VÁLVULA DE COMPUERTA DE 2" DE DIÁMETRO, CLASE 800, CAJA PARA SOLDAR, CUERPO ASTM A105, TRIM 16, CUERDA EXTERIOR Y YUGO, BONETE ATORNILLADO, CUÑA SOLIDA, ASIENTOS RECAMBIABLES, OPERADA CON VOLANTE. ISO 15761.</t>
  </si>
  <si>
    <t>C3EXT-1772</t>
  </si>
  <si>
    <t>SUMINISTRO, CARGA, ACARREO, DESCARGA Y PUESTA EN SITIO COSTA FUERA DE BRIDA TIPO CIEGA CLASE 300 DE 1 1/2" DE DIÁMETRO, CARA REALZADA (R.F.) DE ACERO AL CARBONO FORJADO, ESPECIFICACIÓN ASTM A 105 Y ASME B16.5.</t>
  </si>
  <si>
    <t>C3EXT-1773</t>
  </si>
  <si>
    <t>SUMINISTRO, CARGA, ACARREO, DESCARGA Y PUESTA EN SITIO COSTA FUERA DE BRIDA ROSCADA (-T.H.) DE 3/4" DE DIÁMETRO, CLASE: 600 LIBRAS, DE ACERO INOXIDABLE, SIN RECUBRIMIENTO, CARA REALZADA (-R.F.), ESPECIFICACIÓN: ASTM: A182 GRADO: F316L, ASME: B16.5.</t>
  </si>
  <si>
    <t>C3EXT-1774</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</si>
  <si>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TEFLON EN ESPIRAL AUTOENERGIZADOS (UNA A CADA LADO), INSERTO (NO PEGADOS) EN LA RESINA EPOXICA, INCLUYE: BUJES Y ARANDELAS AISLANTES DE MATERIAL NEMA G-10 Y ARANDELAS METALICAS, ACUERDO ASME: B16.5.</t>
  </si>
  <si>
    <t>C3EXT-1775</t>
  </si>
  <si>
    <t>SUMINISTRO, CARGA, ACARREO, DESCARGA Y PUESTA EN SITIO COSTA FUERA DE EMPAQUE PARA BRIDA 1" DE DIÁMETRO, CLASE 300, CARA R.F., B16.47 SERIE A, TIPO ESPIROMETALICO, MATERIAL DE ANILLOS Y ENRROLLAMIENTO METÁLICO CON ANILLO CENTRADOR Y ANILLO INTERIOR UNS S31600, ESPESOR 1/8", RELLENO DE GRAFITO PURO FLEXIBLE Y DIMENSIONES Y REQUERIMIENTO ASME B16.20.</t>
  </si>
  <si>
    <t>C3EXT-1776</t>
  </si>
  <si>
    <t>SUMINISTRO, CARGA, ACARREO, DESCARGA Y PUESTA EN SITIO COSTA FUERA DE CODO DE ACERO AL CARBONO, DE 2" DE DIÁMETRO NOMINAL, 0.218" DE ESPESOR, CÉDULA: 80, SIN COSTURA, TIPO: 90 GRADOS, RADIO LARGO, EXTREMOS: BISELADOS, ESPECIFICACIÓN: ASTM A234, GRADO: WPB, ASME: B16.9. </t>
  </si>
  <si>
    <t>BME-3801-052-2025</t>
  </si>
  <si>
    <t>OT-801-25-058-UDC-NHA1-DA-008 (CLR)</t>
  </si>
  <si>
    <t>C3EXT-1777</t>
  </si>
  <si>
    <t>SUMINISTRO, CARGA, ACARREO, DESCARGA Y PUESTA EN SITIO COSTA FUERA DE REDUCCIÓN DE ACERO AL CARBONO, DE 3" DE DIÁMETRO NOMINAL, 0.216" DE ESPESOR, CÉDULA: 40, X 2" DE DIÁMETRO NOMINAL, 0.218" DE ESPESOR, CÉDULA: 80, SIN COSTURA, TIPO: CONCÉNTRICA, EXTREMOS: BISELADOS, ESPECIFICACIÓN: ASTM A234, GRADO: WPB, ASME: B16.9. </t>
  </si>
  <si>
    <t>C3EXT-1778</t>
  </si>
  <si>
    <t>SUMINISTRO, CARGA, ACARREO, DESCARGA Y PUESTA EN SITIO COSTA FUERA DE SOCKOLET PARA SOLDAR A TUBERIA, RANGO: 3"- 5" X 3/4" DE DIÁMETRO, CLASE: 3000 LIBRAS, DE ACERO AL CARBONO FORJADO, SIN RECUBRIMIENTO, ESPECIFICACIÓN: ASTM: A105, MSS SP-97.</t>
  </si>
  <si>
    <t>C3EXT-1779</t>
  </si>
  <si>
    <t>SUMINISTRO, CARGA, ACARREO, DESCARGA Y PUESTA EN SITIO COSTA FUERA DE EMPAQUE PARA BRIDA 3" DE DIÁMETRO, CLASE: 300 LIBRAS, ESPIROMETALICO, DE ACERO INOXIDABLE, GRADO: 316, RELLENO DE: GRAFITO PURO FLEXIBLE, ANILLO CENTRADOR DE ACERO INOXIDABLE, GRADO: 316, DE 1/8" DE ESPESOR, ANILLO INTERIOR DE ACERO INOXIDABLE, GRADO: 316, ESPECIFICACIÓN: ASME: B16.20/B16.5. </t>
  </si>
  <si>
    <t>C3EXT-1780</t>
  </si>
  <si>
    <t>SUMINISTRO, CARGA, ACARREO, DESCARGA Y PUESTA EN SITIO COSTA FUERA DE ESPÁRRAGO DE 3/4" DE DIÁMETRO X 8" DE LONGITUD, DE ACERO AL CARBONO, CON RECUBRIMIENTO: CADMINIZADO, TIPO: II, CLASE: 08, ESPECIFICACIÓN: ASTM: A193, GRADO: B7M, CON: 02 TUERCAS HEXAGONALES, ESPECIFICACIÓN: ASTM: A194, GRADO: 2HM. (PARA DUO-CHECK DE 6" DE DIÁMETRO, 150#).</t>
  </si>
  <si>
    <t>C3EXT-1781</t>
  </si>
  <si>
    <t>SUMINISTRO, CARGA, ACARREO, DESCARGA Y PUESTA EN SITIO COSTA FUERA DE ESPÁRRAGO DE 5/8" DE DIÁMETRO X 5" DE LONGITUD, DE ACERO AL CARBONO, CON RECUBRIMIENTO: CADMINIZADO, TIPO: II, CLASE: 08, ESPECIFICACIÓN: ASTM: A193, GRADO: B7M, CON: 02 TUERCAS HEXAGONALES, ESPECIFICACIÓN: ASTM: A194, GRADO: 2HM. (PARA DUO-CHECK DE 2" DE DIÁMETRO, 150#).</t>
  </si>
  <si>
    <t>C3EXT-1782</t>
  </si>
  <si>
    <t>SUMINISTRO, CARGA, ACARREO, DESCARGA Y PUESTA EN SITIO COSTA FUERA DE TUBO DE 3/4" DE DIÁMETRO, DE ACERO AL CARBONO, 0.154" DE ESPESOR, CÉDULA: 80, SIN COSTURA, EXTREMOS: PLANOS, ESPECIFICACIÓN: ASTM A106, GRADO: B, ASME: B36.10M.</t>
  </si>
  <si>
    <t>C3EXT-1783</t>
  </si>
  <si>
    <t>SUMINISTRO, CARGA, ACARREO, DESCARGA Y PUESTA EN SITIO COSTA FUERA DE ESPÁRRAGO DE 5/8" DE DIÁMETRO X 4 1/4" DE LONGITUD, ASTM A193 GRADO B7, CON DOS TUERCAS HEXAGONALES, ASTM A194 GRADO 2H, ROSCAS ASME B1.1 CLASE 2A, CON RECUBRIMIENTO RESISTENTE A LA CORROSIÓN A BASE DE CADMIO (25 MICRAS DE ESPESOR ASTM B766 O EQUIVALENTE), (P/AM-01 2" DE DIÁMETRO-300#) </t>
  </si>
  <si>
    <t>C3EXT-1784</t>
  </si>
  <si>
    <t>SUMINISTRO, CARGA, ACARREO, DESCARGA Y PUESTA EN SITIO COSTA FUERA DE ESPARRAGO 1 1/4"0 X 10 5/8" LONGITUD, ROSCAS ASME B1.1 CLASE 2A, MATERIAL ASTM A193 GR. B7, ESPECIFICACIÓN ASME B18.31.2, PUNTA CÓNICA O REDONDEADA, CON DOS TUERCAS HEXAGONALES ROSCAS ASME B1.1 CLASE 2B,MATERIAL ASTM A194 GR. 2H, ESPECIFICACIÓN ASME B18.2.2, CON RECUBRIMIENTO ASTM B766 TIPO II CLASE 25 CADMINIZADO, LA LONGITUD DEL ESPÁRRAGO ES LA CUERDA ÚTIL, NO INCLUYE EL TRAMO SIN CUERDAS, ES DECIR,CHAFLANES O PUNTAS. EL DIÁMETRO DE PASO Y FUNCIONAL DE LAS CUERDAS DESPUÉS DEL RECUBRIMIENTO DEBEN SER CONFORME AL ASME B1.1. BRIDA DE 30" CL 150 R.F.</t>
  </si>
  <si>
    <t>C3EXT-1785</t>
  </si>
  <si>
    <t>SUMINISTRO, CARGA, ACARREO, DESCARGA Y PUESTA EN SITIO COSTA FUERA DE BRIDA CUELLO SOLDABLE, DE 24" DE DIÁMETRO, CLASE 150 R.F., BORE 23.250", ESPECIFICACIÓN ASTM A105, DIMENSIONES Y REQUERIMIENTOS ASME B16.5 SERIE A, PARA SERVICIO AMARGO, NACE MR-0175/ISO 15156.</t>
  </si>
  <si>
    <t>C3EXT-1786</t>
  </si>
  <si>
    <t>SUMINISTRO, CARGA, ACARREO, DESCARGA Y PUESTA EN SITIO COSTA FUERA DE TEE RECTA DE ACERO AL CARBONO, EXTREMOS BISELADOS PARA SOLDAR, ESPECIFICACIÓN ASTM-A-234, GRADO WPB, CON COSTURA, CÉDULA 0.375", 24" DE DIÁMETRO NOMINAL, DEBE CUMPLIR CON ASME B16.9 ÚLTIMA EDICIÓN.</t>
  </si>
  <si>
    <t>C3EXT-1787</t>
  </si>
  <si>
    <t>SUMINISTRO, CARGA, ACARREO, DESCARGA Y PUESTA EN SITIO COSTA FUERA DE ÁNGULO DE 3" DE DIÁMETRO X 1/4" DE ESPESOR, LADOS IGUALES (LI) 7.290 KG/M, DE ACERO AL CARBONO, ESPECIFICACIÓN ASTM A-36.</t>
  </si>
  <si>
    <t>C3EXT-1788</t>
  </si>
  <si>
    <t>SUMINISTRO, CARGA, ACARREO, DESCARGA Y PUESTA EN SITIO COSTA FUERA DE ESPÁRRAGO DE 1 1/4" DE DIÁMETRO X 8" DE LONGITUD, ROSCAS ASME B1.1 CLASE 2A, MATERIAL ASTM-A193 GRADO B7, ESPECIFICACIÓN ASME B18.31.2, PUNTA CONICA O REDONDEADA, 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24" DE DIÁMETRO, CLASE 150 R.F.</t>
  </si>
  <si>
    <t>OT-801-25-078-UDC-NHA2-PB-004</t>
  </si>
  <si>
    <t>C3EXT-1789</t>
  </si>
  <si>
    <t>SUMINISTRO, CARGA, ACARREO, DESCARGA Y PUESTA EN SITIO COSTA FUERA DE TAPÓN MACHO DE 3/4" DE DIÁMETRO, CLASE 6000#, A-182 GRADO F316L.</t>
  </si>
  <si>
    <t>C3EXT-1790</t>
  </si>
  <si>
    <t>SUMINISTRO, CARGA, ACARREO, DESCARGA Y PUESTA EN SITIO COSTA FUERA DE NIPLE DE 3/4" DE DIÁMETRO X 3 1/2" DE LONGITUD, CÉDULA 160, EXTREMOS PLANO, ESPECIFICACIÓN ASTM A106 GRADO B, DIMENSIONES Y REQUERIMIENTOS ASME B36.10., SERVICIO AMARGO NACE MR-0175/ISO 15156.</t>
  </si>
  <si>
    <t>C3EXT-1791</t>
  </si>
  <si>
    <t>SUMINISTRO, CARGA, ACARREO, DESCARGA Y PUESTA EN SITIO COSTA FUERA DE SOCKOLET DE 36" - 14" X 3/4" DE DIÁMETRO, CLASE 3000, EXTREMOS BISELADO X CAJA PARA SOLDAR, ESPECIFICACIÓN ASTM A105, DIMENSIONES Y REQUERIMIENTOS MSS SP97Y, SERVICIO AMARGO, NACE MR-0175/ISO 15156.</t>
  </si>
  <si>
    <t>C3EXT-1792</t>
  </si>
  <si>
    <t>SUMINISTRO, PRUEBA HIDROSTÁTICA, CARGA, ACARREO, DESCARGA Y PUESTA EN SITIO COSTA FUERA DE VÁLVULA ESFÉRICA DE 6" DE DIÁMETRO CLASE: 150 LIBRAS, TIPO: TRUNNION,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NÍQUEL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 MR0175/ISO 15156-2. </t>
  </si>
  <si>
    <t>C3EXT-1793</t>
  </si>
  <si>
    <t>SUMINISTRO, PRUEBA HIDROSTÁTICA, CARGA, ACARREO, DESCARGA Y PUESTA EN SITIO COSTA FUERA DE VÁLVULA ESFÉRICA DE 3" DE DIÁMETRO, CLASE: 150 LIBRAS, TIPO: TRUNNION, DE PASO COMPLETO Y CONTINUADO, CUERPO INTEGRAL SOLDADO, EXTREMOS: BRIDADOS, CARA REALZADA (R.F.), MATERIALES DE FABRICACIÓN: CUERPO DE ACERO AL CARBONO, ESPECIFICACIÓN: ASTM A350,GRADO: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PALANCA, DISEÑO DE ASIENTOS BIDIRECCIONALES, DOBLE BLOQUEO Y PURGA (DOUBLE BLOCK AND BLEED), INCLUYE: PUERTOS DE INYECCIÓN DE ACERO INOXIDABLE GRADO: 316, API 6D, API 607 O API 6FA, ANSI/NACE MR0175/ISO 15156-2.</t>
  </si>
  <si>
    <t>C3EXT-1794</t>
  </si>
  <si>
    <t>SUMINISTRO, CARGA, ACARREO, DESCARGA Y PUESTA EN SITIO COSTA FUERA DE TAPÓN CAPA 3/4" DE DIÁMETRO, CLASE 3000, ROSCADO, ESPECIFICACIÓN ASTM A105, DIMENSIONES Y REQUERIMIENTOS ASME B16.11, PARA SERVICIO AMARGO NACE MR-0175/ISO 15156.</t>
  </si>
  <si>
    <t>BME-3801-064-2025</t>
  </si>
  <si>
    <t>OT-801-25-070-UDC-NHA1-DA-010</t>
  </si>
  <si>
    <t>C3EXT-1795</t>
  </si>
  <si>
    <t>SUMINISTRO, CARGA, ACARREO, DESCARGA Y PUESTA EN SITIO COSTA FUERA DE SOCKOLET DE ACERO AL CARBONO FORJADO, SIN RECUBRIMIENTO, RANGO: 10.0" - 3.00", DE 0.75" DE DIÁMETRO NOMINAL, CLASE: 3000 LIBRAS, ESPECIFICACIÓN: ASTM: A350, GRADO LF2.</t>
  </si>
  <si>
    <t>C3EXT-1796</t>
  </si>
  <si>
    <t>SUMINISTRO, CARGA, ACARREO, DESCARGA Y PUESTA EN SITIO COSTA FUERA DE ESPÁRRAGO, DE ACERO AL CARBONO, CON RECUBRIMIENTO: CADMINIZADO, TIPO: II, CLASE: 25, DE 1/2" (0.500") DE DIÁMETRO, X 3" (3.00") DE LONGITUD, ESPECIFICACIÓN: ASTM: A193, GRADO: B7M, CON: 02 TUERCAS HEXÁGONALES, ESPECIFICACIÓN: ASTM: A194, GRADO: 2HM.</t>
  </si>
  <si>
    <t>C3EXT-1797</t>
  </si>
  <si>
    <t>SUMINISTRO, CARGA, ACARREO, DESCARGA Y PUESTA EN SITIO COSTA FUERA DE ESPÁRRAGO DE 1 1/4" DE DIÁMETRO X 10 1/2" DE LONGITUD, ROSCAS ASME B1.1 CLASE 2A, MATERIAL ASTM-A193 GRADO B7, ESPECIFICACIÓN ASME B18.31.2, PUNTA CONICA O REDONDEADA, CON DOS TUERCAS HEXÁGONALES ROSCAS ASME B1.1 CLASE 2B, MATERIAL ASTMA194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28" DE DIÁMETRO, CLASE 150 R.F.</t>
  </si>
  <si>
    <t>C3EXT-1798</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</si>
  <si>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DE 1/8" DE ESPESOR Y 6" DE DIÁMETRO.</t>
  </si>
  <si>
    <t>C3EXT-1799</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</si>
  <si>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3/4" DE DIÁMETRO X 6 3/4" DE LONGITUD.</t>
  </si>
  <si>
    <t>C3EXT-1800</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</si>
  <si>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7/8" DE DIÁMETRO X 7 1/2" DE LONGITUD.</t>
  </si>
  <si>
    <t>C3EXT-1801</t>
  </si>
  <si>
    <t>SUMINISTRO, CARGA, ACARREO, DESCARGA Y PUESTA EN SITIO COSTA FUERA DE ESPÁRRAGO DE ACERO ALEADO CON RECUBRIMIENTO CADMINIZADO, ESPECIFICACIONES DE TUERCA: ASTM A-194-2HM ROSCA ESTÁNDAR, ESPECIFICACIÓN: ASTM A-193 GRADO B7M, CON DOS TUERCAS HEXÁGONALES DE 1" DE DIÁMETRO X 9 1/2" DE LONGITUD.</t>
  </si>
  <si>
    <t>C3EXT-1802</t>
  </si>
  <si>
    <t>SUMINISTRO, CARGA, ACARREO, DESCARGA Y PUESTA EN SITIO COSTA FUERA DE ESPÁRRAGO DE ACERO ALEADO CON RECUBRIMIENTO CADMINIZADO, ESPECIFICACIONES DE TUERCA: ASTM A-194-2HM ROSCA ESTÁNDAR, ESPECIFICACIÓN: ASTM A-193 GRADO B7M, CON DOS TUERCAS HEXÁGONALES DE 1 1/4" DE DIÁMETRO X 10" DE LONGITUD.</t>
  </si>
  <si>
    <t>C3EXT-1803</t>
  </si>
  <si>
    <t>SUMINISTRO, CARGA, ACARREO, DESCARGA Y PUESTA EN SITIO COSTA FUERA DE ESPÁRRAGO DE ACERO ALEADO CON RECUBRIMIENTO CADMINZADO, ESPECIFICACIONES DE TUERCA: ASTM A-194-2HM ROSCA ESTÁNDAR, ESPECIFICACIÓN: ASTM A-193 GRADO B7M, CON DOS TUERCAS HEXÁGONALES DE 1 1/2" DE DIÁMETRO X 13 1/4" DE LONGITUD.</t>
  </si>
  <si>
    <t>C3EXT-1804</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</si>
  <si>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</si>
  <si>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BME-3801-073-2025</t>
  </si>
  <si>
    <t>OT-801-25-079-UDC-NHA2-GS-022</t>
  </si>
  <si>
    <t>C3EXT-1805</t>
  </si>
  <si>
    <t>SUMINISTRO, CARGA, ACARREO, DESCARGA Y PUESTA EN SITIO COSTA FUERA DE ÁNGULO LI DE 1" X 1/4" DE ESPESOR ASTM-A-36.</t>
  </si>
  <si>
    <t>C3EXT-1806</t>
  </si>
  <si>
    <t>SUMINISTRO, CARGA, ACARREO, DESCARGA Y PUESTA EN SITIO COSTA FUERA DE MEDIA CAÑA A 120 GRADOS, DE 9.5 (3/8") MILIMETROS DE ESPESOR X 200 MILIMETROS DE LONGITUD, DE POLIURETANO ELASTOMERO, TIPO COMPACTO, CON ALTA RESISTENCIA A LA ABRASION Y DESGASTE, RESISTENCIA QUIMICA A LOS ACIDOS, ALCALIS Y GRASAS, RESISTENCIA A LA COMPRESIÓN NO MENOR DE 35 KG/CM2 Y QUE TENGA BUENAS CUALIDADES DE ENVEJECIMIENTO Y HUMEDAD, DENSIDAD MINIMA DE 320 KG/CM3, DUREZA 95 SHORE A, ESFUERZO DE TENSIÓN 6500 PSI, TEMPERATURA 120°C DE FORMA CONTINUA Y 300°C DE FORMA INTERMITENTE, CON EXCELENTE FLEXIBILIDAD A BAJAS TEMPERATURAS, ESPECIFICACIÓN: ASTM D2240, PARA TUBERIA DE 6" DE DIÁMETRO NOMINAL.</t>
  </si>
  <si>
    <t>C3EXT-1807</t>
  </si>
  <si>
    <t>SUMINISTRO, CARGA, ACARREO, DESCARGA Y PUESTA EN SITIO COSTA FUERA DE ESPÁRRAGO DE 1" DE DIÁMETRO X 8 1/4" DE LONGITUD, ASTM A193 GRADO B7, CON DOS TUERCAS HEXÁGONALES ASTM A194 GRADO 2H, ROSCAS ASME B1.1 CLASE 2A, CON RECUBRIMIENTO RESISTENTE A LA CORROSIÓN A BASE DE CADMIO (25 MICRAS DE ESPESOR ASTM B766 O EQUIVALENTE), (P/AMA-01 6" DE DIÁMETRO - 600#). </t>
  </si>
  <si>
    <t>C3EXT-1808</t>
  </si>
  <si>
    <t>SUMINISTRO, CARGA, ACARREO, DESCARGA Y PUESTA EN SITIO COSTA FUERA DE ESPÁRRAGO DE 3/4" DE DIÁMETRO X 6 1/4" DE LONGITUD, ASTM A193 GRADO B7, CON DOS TUERCAS HEXÁGONALES ASTM A194 GRADO 2H, ROSCAS ASME B1.1 CLASE 2A, CON RECUBRIMIENTO RESISTENTE A LA CORROSIÓN A BASE DE CADMIO (25 MICRAS DE ESPESOR ASTM B766 O EQUIVALENTE), (P/AMA-02 6" DE DIÁMETRO - 300#).</t>
  </si>
  <si>
    <t>C3EXT-1809</t>
  </si>
  <si>
    <t>SUMINISTRO, CARGA, ACARREO, DESCARGA Y PUESTA EN SITIO COSTA FUERA DE ESPÁRRAGO DE 1 3/8" DE DIÁMETRO X 9" DE LONGITUD, ROSCAS ASME B1.1 CLASE 2A, MATERIAL ASTM-A193 GRADO B7, ESPECIFICACIÓN ASME B18.31.2, PUNTA CONICA O REDONDEADA,CON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8" DE DIÁMETRO, CLASE 900 R.T.J.</t>
  </si>
  <si>
    <t>BME-3801-074-2025</t>
  </si>
  <si>
    <t>OT-801-25-080-UDC-NHAP-GAB-001</t>
  </si>
  <si>
    <t>C3EXT-1810</t>
  </si>
  <si>
    <t>SUMINISTRO, CARGA, ACARREO, DESCARGA Y PUESTA EN SITIO COSTA FUERA DE CODO DE 90 GRADOS, DE 2" (50.80MM) DE DIÁMETRO NOMINAL, 0.218" (05.537MM) DE ESPESOR, CÉDULA (160), SIN COSTURA, RADIO LARGO, EXTREMOS BISELADOS, DE ACERO AL CARBONO, SIN RECUBRIMIENTO, ESPECIFICACIÓN ASTM A234, GRADO WPB, ASME B16.9.</t>
  </si>
  <si>
    <t>C3EXT-1811</t>
  </si>
  <si>
    <t>SUMINISTRO, CARGA, ACARREO, DESCARGA Y PUESTA EN SITIO COSTA FUERA DE CODO DE 90 GRADOS, DE 3/4" (19.05MM) DE DIÁMETRO NOMINAL, 6000 LIBRAS, EXTREMOS INSERTO SOLDABLE, DE ACERO AL CARBONOO, SIN RECUBRIMIENTO, ESPECIFICACIÓN ASTM A105, ASME B16.11, ANSI/NACE MR0175/ISO 15156-2.</t>
  </si>
  <si>
    <t>C3EXT-1812</t>
  </si>
  <si>
    <t>SUMINISTRO, CARGA, ACARREO, DESCARGA Y PUESTA EN SITIO COSTA FUERA DE REDUCCIÓN CONCENTRICA DE 6" A 4" DE DIÁMETRO DE ACERO AL CARBONO, EXTREMOS BISELADOS PARA SOLDAR, ESPECIFICACIÓN ASTM-A-234, GRADO WPB, DE CÉDULA 160.</t>
  </si>
  <si>
    <t>C3EXT-1813</t>
  </si>
  <si>
    <t>SUMINISTRO, CARGA, ACARREO, DESCARGA Y PUESTA EN SITIO COSTA FUERA DE REDUCCIÓN CONCENTRICA DE 4" A 2" DE DIÁMETRO DE ACERO AL CARBONO, EXTREMOS BISELADOS PARA SOLDAR, ESPECIFICACIÓN ASTM-A-234, GRADO WPB, DE CÉDULA 160.</t>
  </si>
  <si>
    <t>C3EXT-1814</t>
  </si>
  <si>
    <t>SUMINISTRO, CARGA, ACARREO, DESCARGA Y PUESTA EN SITIO COSTA FUERA DE SOCKOLET DE 1" (25.40MM) DE DIAMETRO NOMINAL, RANGO 2.00", 6000 LIBRAS, DE ACERO AL CARBONOO, SIN RECUBRIMIENTO, ESPECIFICACION ASTM A105, MSS-SP-97.</t>
  </si>
  <si>
    <t>C3EXT-1815</t>
  </si>
  <si>
    <t>SUMINISTRO, CARGA, ACARREO, DESCARGA Y PUESTA EN SITIO COSTA FUERA DE SOCKOLET DE ACERO AL CARBONO FORJADO, SIN RECUBRIMIENTO, RANGO: 2.50" - 2.00", DE 3/4" DE DIÁMETRO NOMINAL, CLASE 6000 LIBRAS, ESPECIFICACIÓN ASTM A105, MSS SP-97.</t>
  </si>
  <si>
    <t>C3EXT-1816</t>
  </si>
  <si>
    <t>SUMINISTRO, CARGA, ACARREO, DESCARGA Y PUESTA EN SITIO COSTA FUERA DE BRIDA CUELLO SOLDABLE (W.N.), DE 2" (50.80MM) DE DIÁMETRO NOMINAL, 0.218" (05.537MM) DE ESPESOR, CÉDULA XS (080), 300 LIBRAS, CARA REALZADA (R.F.), DE ACERO AL CARBONO, SIN RECUBRIMIENTO, ESPECIFICACIÓN ASTM A105, ASME B16.5, ANSI/NACE MR0175/ISO 15156-2.</t>
  </si>
  <si>
    <t>C3EXT-1817</t>
  </si>
  <si>
    <t>SUMINISTRO, CARGA, ACARREO, DESCARGA Y PUESTA EN SITIO COSTA FUERA DE BRIDA INSERTO SOLDABLE (S.W.), DE 1" (25.40MM) DE DIÁMETRO NOMINAL, 0.179" (04.547MM) DE ESPESOR, CÉDULA 160, 600 LIBRAS, CARA REALZADA (R.F.), DE ACERO AL CARBONO, SIN RECUBRIMIENTO, ESPECIFICACIÓN ASTM A105, ASME B16.5.</t>
  </si>
  <si>
    <t>C3EXT-1818</t>
  </si>
  <si>
    <t>SUMINISTRO, CARGA, ACARREO, DESCARGA Y PUESTA EN SITIO COSTA FUERA DE BRIDA INSERTO SOLDABLE (S.W.), DE 3/4" (19.05MM) DE DIÁMETRO NOMINAL, 0.219" (05.563MM) DE ESPESOR, CÉDULA 160, 600 LIBRAS, CARA REALZADA (R.F.), DE ACERO AL CARBONO, SIN RECUBRIMIENTO, ESPECIFICACIÓN ASTM A105, ASME B16.5, ANSI/NACE MR0175/ISO 15156-2.</t>
  </si>
  <si>
    <t>C3EXT-1819</t>
  </si>
  <si>
    <t>SUMINISTRO, CARGA, ACARREO, DESCARGA Y PUESTA EN SITIO COSTA FUERA DE BRIDA CIEGA (B.L.), DE 2" (50.80MM) DE DIÁMETRO NOMINAL, 300 LIBRAS, CARA REALZADA (R.F.), DE ACERO AL CARBONO, SIN RECUBRIMIENTO, ESPECIFICACIÓN ASTM A105, ASME B16.5, ANSI/NACE MR0175/ISO 15156-2.</t>
  </si>
  <si>
    <t>C3EXT-1820</t>
  </si>
  <si>
    <t>SUMINISTRO, CARGA, ACARREO, DESCARGA Y PUESTA EN SITIO COSTA FUERA DE BRIDA CIEGA DE 1" DE DIÁMETRO, 600 LBS.,  R.F., ASTM A-105, ASME B16.5 ASME/ANSI B16.9.</t>
  </si>
  <si>
    <t>C3EXT-1821</t>
  </si>
  <si>
    <t>SUMINISTRO, CARGA, ACARREO, DESCARGA Y PUESTA EN SITIO COSTA FUERA DE BRIDA CIEGA DE 3/4" DE DIÁMETRO, 600 LBS. R.F. PSI. ASTM A-105, DE ACUERDO AL ESTÁNDAR NACE MR-01-75/ISO 15156-1.</t>
  </si>
  <si>
    <t>C3EXT-1822</t>
  </si>
  <si>
    <t>SUMINISTRO, PRUEBA HIDROSTÁTICA, CARGA, ACARREO, DESCARGA Y PUESTA EN SITIO COSTA FUERA DE VÁLVULA ESFÉRICA, TIPO: TRUNNION, DE PASO COMPLETO Y CONTINUADO, DE 2" (2.00") DE DIÁMETRO NOMINAL, CLASE: 300 LIBRAS, CUERPO INTEGRAL SOLDADO, EXTREMOS: BRIDADOS, CARA REALZADA (R.F.), MATERIALES DE FABRICACIÓN: CUERPO DE ACERO AL CARBONO, ESPECIFICACIÓN: ASTM A350,GRADO: LF2, BRIDAS DE ACERO AL CARBONO, ESPECIFICACIÓN: ASTM A350, GRADO: LF2, BOLA MONTADA SOBRE MUÑON, DE ACERO AL CARBONO, ESPECIFICACIÓN: AISI 4130, CON RECUBRIMIENTO DE 0.003" DE ESPESOR DE NIQUEL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DEBE CUMPLIR CON API 6D, API 607 O API 6FA, ANSI/NACEMR0175/ISO 15156-2. INCLUYE PRUEBA HIDROSTÁTICA.</t>
  </si>
  <si>
    <t>C3EXT-1823</t>
  </si>
  <si>
    <t>SUMINISTRO, PRUEBA HIDROSTÁTICA, CARGA, ACARREO, DESCARGA Y PUESTA EN SITIO COSTA FUERA DE VÁLVULA ESFÉRICA, TIPO: BOLA FLOTANTE, DE PASO COMPLETO, DE 1" (1.00")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APRUEBA DE FUEGO, CONSTRUIDA CONFORME: API 607, API 598, ASME B16.34, ANSI/NACE MR0175/ISO 15156-2.</t>
  </si>
  <si>
    <t>C3EXT-1824</t>
  </si>
  <si>
    <t>SUMINISTRO, PRUEBA HIDROSTÁTICA, CARGA, ACARREO, DESCARGA Y PUESTA EN SITIO COSTA FUERA DE VÁLVULA ESFÉRICA DE 3/4" DE DIÁMETRO, EXTREMOS SOLDABLES, CLASE 1500 #, TRIM 16 CUERPO COMPLETO ASTM A105, PASO COMPLETO, BOLA Y VASTAGO DE ACERO INOXIDABLE UNS S31600, SELLOS Y ASIENTO DE RPTFE, BOLA FLOTANTE, OPERADA CON MANERAL, DISEÑO A PRUEBA DE FUEGO API ESTÁNDAR 607/ISO 10497. API ESTÁNDAR 608 ASME B16.34.</t>
  </si>
  <si>
    <t>C3EXT-1825</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</si>
  <si>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</si>
  <si>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C3EXT-1826</t>
  </si>
  <si>
    <t>SUMINISTRO, CARGA, ACARREO, DESCARGA Y PUESTA EN SITIO COSTA FUERA DE TUBO DE 3/4" (19.05MM) DE DIÁMETRO NOMINAL, 0.308" (07.823MM) DE ESPESOR, CÉDULA XXS, SIN COSTURA, EXTREMOS PLANOS, DE ACERO AL CARBONO, SIN RECUBRIMIENTO, ESPECIFICACIÓN ASTM A106, GRADO B, ASME B36.10.</t>
  </si>
  <si>
    <t>C3EXT-1827</t>
  </si>
  <si>
    <t>SUMINISTRO, CARGA, ACARREO, DESCARGA Y PUESTA EN SITIO COSTA FUERA DE SOLERA DE 4" (101.600MM) DE ANCHO X 1/4" (06.350MM) DE ESPESOR, DE ACERO AL CARBONO, SIN RECUBRIMIENTO, ESPECIFICACIÓN ASTM A36.</t>
  </si>
  <si>
    <t>C3EXT-1828</t>
  </si>
  <si>
    <t>SUMINISTRO, CARGA, ACARREO, DESCARGA Y PUESTA EN SITIO COSTA FUERA DE ABRAZADERA TIPO "U", PARA TUBO CON DIÁMETRO NOMINAL DE 3/4", DIÁMETRO DE LA VARILLA DE 1/4" (6.350MM), DE ACERO AL CARBONO, ESPECIFICACIÓN ASTM A307, CON RECUBRIMIENTO GALVANIZADO Y RECUBRIMIENTO DE PVC, INCLUYE 2 TUERCAS HEXÁGONALES DE ACERO AL CARBONO GALVANIZADO, ESPECIFICACIÓN ASTM A563, GRADO A.</t>
  </si>
  <si>
    <t>C3EXT-1829</t>
  </si>
  <si>
    <t>SUMINISTRO, CARGA, ACARREO, DESCARGA Y PUESTA EN SITIO COSTA FUERA DE NIPLE DE 3/4" (19.05MM) DE DIÁMETRO NOMINAL, 0.219" (05.563MM) DE ESPESOR, CÉDULA 160, SIN COSTURA, 6" (152.40MM) DE LONGITUD,  EXTREMOS PLANO X ROSCADO, DE ACERO AL CARBONO, SIN RECUBRIMIENTO, ESPECIFICACIÓN ASTM A106, GRADO B, ASME B16.11.</t>
  </si>
  <si>
    <t>C3EXT-1830</t>
  </si>
  <si>
    <t>SUMINISTRO, CARGA, ACARREO, DESCARGA Y PUESTA EN SITIO COSTA FUERA DE EMPAQUE ESPIRO-METÁLICO DE 8" DE DIÁMETRO, CLASE 600#, SERIE: A 1/8" R.F. CON ANILLOS METÁLICOS CENTRADOR (EXTERIOR) Y DE RESPALDO (INTERNO), RELLENO DE GRAFITO FLEXIBLE, ENROLLAMIENTO Y ANILLOS DE ACERO INOXIDABLE, UNS S31600, ASME B16.20 PARA BRIDAS ASME B16.5 O ASME B16.47.</t>
  </si>
  <si>
    <t>C3EXT-1831</t>
  </si>
  <si>
    <t>SERVICIO DE REPARACIÓN DE FILTRO DE GAS COMBUSTIBLE FG-2107 DE ACERO INOXIDABLE CON PERSONAL CALIFICADO, SUSTITUCIÓN DEL ELEMENTO POR FISURA DEL COPLE DE 1/2" DE DIÁMETRO DE ACERO INOXIDABLE. 3000#, INCLUYE PERSONAL, EQUIPO, CONSUMIBLES, PRUEBAS NO DESTRUCTIVAS, PRUEBA DE FUGA, DOSSIER DE LA REPARACIÓN Y LO REQUERIDO PARA EJECUTAR EL SERVICIO EN LA PLATAFROMA EK-A1.</t>
  </si>
  <si>
    <t>C3EXT-1832</t>
  </si>
  <si>
    <t>SUMINISTRO, CARGA, ACARREO, DESCARGA Y PUESTA EN SITIO COSTA FUERA DE ABRAZADERA TIPO "U", PARA TUBO CON DIÁMETRO NOMINAL DE 6", DIÁMETRO DE LA VARILLA 1/4" (6.350MM), DE ACERO AL CARBONO, ESPECIFICACIÓN ASTM A307, CON RECUBRIMIENTO GALVANIZADO Y RECUBRIMIENTO DE PVC, INCLUYE 2 TUERCAS HEXÁGONALES DE ACERO AL CARBONO GALVANIZADO, ESPECIFICACIÓN ASTM A563, GRADO A Y 2 ARANDELAS PLANAS DE ACERO AL CARBONO GALVANIZADO.</t>
  </si>
  <si>
    <t>C3EXT-1833</t>
  </si>
  <si>
    <t>SUMINISTRO, CARGA, ACARREO, DESCARGA Y PUESTA EN SITIO COSTA FUERA DE ESPÁRRAGO DE ACERO AL CARBONO CON RECUBRIMIENTO CADMINIZADO (25 MICRAS DE ESPESOR ASTM B 766 O EQUIVALENTE), DE 1" DE DIÁMETRO X 7 1/2" DE LONGITUD, ESPECIFICACIÓN: ASTM A193 GRADO B16, ROSCAS ASME B1.1 CLASE 2ª, CON 02 TUERCAS HEXÁGONALES, ESPECIFICACIÓN: ASTM A194 GRADO 4, ROSCA ASME B1.1 CLASE 2A.</t>
  </si>
  <si>
    <t>C3EXT-1834</t>
  </si>
  <si>
    <t>SUMINISTRO, CARGA, ACARREO, DESCARGA Y PUESTA EN SITIO COSTA FUERA DE ESPÁRRAGO DE ACERO AL CARBONO CON RECUBRIMIENTO CADMINIZADO (25 MICRAS DE ESPESOR ASTM B 766 O EQUIVALENTE), DE 1 1/4" DE DIÁMETRO X 9 1/2" DE LONGITUD, ESPECIFICACIÓN: ASTM A193 GRADO B16, ROSCAS ASME B1.1 CLASE 2A, CON 02 TUERCAS HEXÁGONALES, ESPECIFICACIÓN: ASTM A194 GRADO 4, ROSCA ASME B1.1 CLASE 2A.</t>
  </si>
  <si>
    <t>C3EXT-1835</t>
  </si>
  <si>
    <t>SUMINISTRO, CARGA, ACARREO, DESCARGA Y PUESTA EN SITIO COSTA FUERA DE ESPÁRRAGO DE ACERO AL CARBONO CON RECUBRIMIENTO CADMINIZADO (25 MICRAS DE ESPESOR ASTM B 766 O EQUIVALENTE), DE 5/8" DE DIÁMETRO X 4" DE LONGITUD, ESPECIFICACIÓN: ASTM A193 GRADO B16, ROSCAS ASME B1.1 CLASE 2A, CON 02 TUERCAS HEXÁGONALES, ESPECIFICACIÓN: ASTM A194 GRADO 4, ROSCA ASME B1.1 CLASE 2A.</t>
  </si>
  <si>
    <t>C3EXT-1836</t>
  </si>
  <si>
    <t>SUMINISTRO, CARGA, ACARREO, DESCARGA Y PUESTA EN SITIO COSTA FUERA DE ESPÁRRAGO DE ACERO AL CARBONO CON RECUBRIMIENTO CADMINIZADO (25 MICRAS DE ESPESOR ASTM B 766 O EQUIVALENTE), DE 1 5/8" DE DIÁMETRO X 12" DE LONGITUD, ESPECIFICACIÓN: ASTM A193 GRADO B16, ROSCAS ASME B1.1 CLASE 2A, CON 02 TUERCAS HEXÁGONALES, ESPECIFICACIÓN: ASTM A194 GRADO 4, ROSCA ASME B1.1 CLASE 2A.</t>
  </si>
  <si>
    <t>C3EXT-1837</t>
  </si>
  <si>
    <t>SUMINISTRO, CARGA, ACARREO, DESCARGA Y PUESTA EN SITIO COSTA FUERA DE ESPÁRRAGO DE ACERO AL CARBONO CON RECUBRIMIENTO CADMINIZADO (25 MICRAS DE ESPESOR ASTM B 766 O EQUIVALENTE), DE 1" DE DIÁMETRO X 8 3/4" DE LONGITUD, ESPECIFICACIÓN: ASTM A193 GRADO B16, ROSCAS ASME B1.1 CLASE 2A, CON 02 TUERCAS HEXÁGONALES, ESPECIFICACIÓN: ASTM A194 GRADO 4, ROSCA ASME B1.1 CLASE 2A.</t>
  </si>
  <si>
    <t>C3EXT-1838</t>
  </si>
  <si>
    <t>SUMINISTRO, CARGA, ACARREO, DESCARGA Y PUESTA EN SITIO COSTA FUERA DE ESPÁRRAGO DE ACERO AL CARBONO CON RECUBRIMIENTO CADMINIZADO (25 MICRAS DE ESPESOR ASTM B 766 O EQUIVALENTE), DE 1 1/4" DE DIÁMETRO X 10 3/4" DE LONGITUD, ESPECIFICACIÓN: ASTM A193 GRADO B16, ROSCAS ASME B1.1 CLASE 2A, CON 02 TUERCAS HEXÁGONALES, ESPECIFICACIÓN: ASTM A194 GRADO 4, ROSCA ASME B1.1 CLASE 2A.</t>
  </si>
  <si>
    <t>C3EXT-1839</t>
  </si>
  <si>
    <t>SUMINISTRO, CARGA, ACARREO, DESCARGA Y PUESTA EN SITIO COSTA FUERA DE ESPÁRRAGO DE ACERO AL CARBONO CON RECUBRIMIENTO CADMINIZADO (25 MICRAS DE ESPESOR ASTM B 766 O EQUIVALENTE), DE 1 5/8" DE DIÁMETRO X 13 3/4" DE LONGITUD, ESPECIFICACIÓN: ASTM A193 GRADO B16, ROSCAS ASME B1.1 CLASE 2A, CON 02 TUERCAS HEXÁGONALES, ESPECIFICACIÓN: ASTM A194 GRADO 4, ROSCA ASME B1.1 CLASE 2A.</t>
  </si>
  <si>
    <t>C3EXT-1840</t>
  </si>
  <si>
    <t>SUMINISTRO, CARGA, ACARREO, DESCARGA Y PUESTA EN SITIO COSTA FUERA DE NIPLE EXTREMOS PLANOS, DE ACERO AL CARBONO, PLANO/ROSCADO, ESPECIFICACIÓN ASTM A 106 GRADO B Y ANSI/ASME B 36.10, DE 3/4" DE DIÁMETRO X 6" DE LONGITUD, CÉDULA 80.</t>
  </si>
  <si>
    <t>C3EXT-1841</t>
  </si>
  <si>
    <t>SUMINISTRO, CARGA, ACARREO, DESCARGA Y PUESTA EN SITIO COSTA FUERA DE NIPLE EXTREMOS PLANO/ROSCADO, DE ACERO AL CARBONO, SIN COSTURA, ESPECIFICACIÓN ASTM A 106 GRADO B Y ANSI/ASME B 36.10, DE 2" DE DIÁMETRO X 6" DE LONGITUD, CÉDULA 80.</t>
  </si>
  <si>
    <t>C3EXT-1842</t>
  </si>
  <si>
    <t>SUMINISTRO, CARGA, ACARREO, DESCARGA Y PUESTA EN SITIO COSTA FUERA DE NIPLE EXTREMOS PLANO/ROSCADO, DE ACERO AL CARBONO, SIN COSTURA, ESPECIFICACIÓN ASTM A 106 GRADO B Y ANSI/ASME B 36.10, DE 1" DE DIÁMETRO X  6" DE LONGITUD, CÉDULA 80.</t>
  </si>
  <si>
    <t>C3EXT-1843</t>
  </si>
  <si>
    <t>SUMINISTRO, CARGA, ACARREO, DESCARGA Y PUESTA EN SITIO COSTA FUERA DE MEDIA CAÑA PARA TUBERÍA DE 6" DE DIÁMETRO, DE 120° x 300 mm DE LONGITUD, DE ELASTÓMERO DE POLIURETANO DE 3/8" DE ESPESOR DE PARED ADHERIDA LA TUBO.</t>
  </si>
  <si>
    <t>C3EXT-1844</t>
  </si>
  <si>
    <t>SUMINISTRO, CARGA, ACARREO, DESCARGA Y PUESTA EN SITIO COSTA FUERA DE ESPÁRRAGO DE ACERO ALEADO CON RECUBRIMIENTO CADMINZADO ESPECIFICACIONES DE TUERCA: ASTM A-194-2HM ROSCA ESTANDAR, ESPECIFICACIÓN ASTM A-193 GRADO B7M, CON DOS TUERCAS HEXÁGONALES DE 7/8" DE DIÁMETRO X 8 1/2" DE LONGITUD.</t>
  </si>
  <si>
    <t>C3EXT-1845</t>
  </si>
  <si>
    <t>SUMINISTRO, CARGA, ACARREO, DESCARGA Y PUESTA EN SITIO COSTA FUERA DE ESPÁRRAGO DE ACERO ALEADO CON RECUBRIMIENTO CADMINZADO ESPECIFICACIONES DE TUERCA: ASTM A-194-2HM ROSCA ESTANDAR, ESPECIFICACIÓN ASTM A-193 GRADO B7M, CON DOS TUERCAS HEXÁGONALES DE 1 1/2" DE DIÁMETRO X 13 1/4" DE LONGITUD.</t>
  </si>
  <si>
    <t>C3EXT-1846</t>
  </si>
  <si>
    <t>SUMINISTRO, CARGA, ACARREO, DESCARGA Y PUESTA EN SITIO COSTA FUERA DE ESPÁRRAGO DE ACERO AL CARBONO CON RECUBRIMIENTO CADMINIZADO TIPO II, CLASE 25, ESPECIFICACIÓN ASTM A193 GRADO B7M, CON DOS TUERCAS HEXÁGONALES ESPECIFICACIÓN ASTM A194 GRADO 2HM, DE 5/8" DE DIÁMETRO X 4 3/4" DE LONGITUD.</t>
  </si>
  <si>
    <t>C3EXT-1847</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</si>
  <si>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P/300#., R.F. DE 1/8" DE ESPESOR Y 6" DE DIÁMETRO.</t>
  </si>
  <si>
    <t>C3EXT-1848</t>
  </si>
  <si>
    <t>SUMINISTRO, CARGA, ACARREO, DESCARGA Y PUESTA EN SITIO COSTA FUERA DE DESENGRASANTE BIODEGRADABLE HERGRAS O SIMILAR, LÍQUIDO DE COLOR NARANJA Y OLOR A CÍTRICOS, DESENGRASANTE SOLUBLE EN AGUA QUE ESTÁ FORMULADO CON CÍTRICOS, DETERGENTE, HUMECTANTES Y AGENTE DISOLVENTE PARA EXTRAER TOTALMENTE LAS GRASAS Y ACEITES EN SUPERFICIES METÁLICAS.</t>
  </si>
  <si>
    <t>BME-3801-056-2025</t>
  </si>
  <si>
    <t>C3EXT-1849</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</si>
  <si>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DIÁMETRO X 13 3/4" DE LONGITUD.</t>
  </si>
  <si>
    <t>C3EXT-1850</t>
  </si>
  <si>
    <t>SUMINISTRO, CARGA, ACARREO, DESCARGA Y PUESTA EN SITIO COSTA FUERA DE TUBO METÁLICO DE ACERO AL CARBÓN ASTM A-106 GRADO B, ASME: B36.10., EXTREMOS PLANOS DE 24"Ø, CÉDULA 80, ESPESOR DE PARED 1.219.</t>
  </si>
  <si>
    <t>C3EXT-1851</t>
  </si>
  <si>
    <t>SUMINISTRO, CARGA, ACARREO, DESCARGA Y PUESTA EN SITIO COSTA FUERA DE NITRÓGENO PARA REALIZAR LAS PRUEBAS OPERACIONALES DE LA VÁLVULA DE CORTE DE 20" DE DIÁMETRO Y ACTUADOR SDV-1500 EN LA SALIDA DE LA LINEA REGULAR DE HOMOL-101 HACIA LA PLATAFORMA HOMOL-A.</t>
  </si>
  <si>
    <t>BME-3801-022-2025</t>
  </si>
  <si>
    <t>C3EXT-1852</t>
  </si>
  <si>
    <t>SUMINISTRO, CARGA, ACARREO, DESCARGA Y PUESTA EN SITIO COSTA FUERA DE BRIDA CIEGA DE 20" DE DIÁMETRO, 300 LIBRAS, R.F. DE ACERO AL CARBONO ASTM A-105, ASME B16.5., DEBE CUMPLIR CON EL ISO-15156-2.</t>
  </si>
  <si>
    <t>BME-3801-094-2025</t>
  </si>
  <si>
    <t>C3EXT-1853</t>
  </si>
  <si>
    <t>SUMINISTRO, CARGA, ACARREO, DESCARGA Y PUESTA EN SITIO COSTA FUERA DE ADHESIVO DE DOS COMPONENTES (A/B) A BASE DE RESINA EPOXICA CATALIZADA DESARROLLADA PARA EFECTUAR LA UNIÓN DE SUSTRATOS METALICOS A MEDIA CAÑA DE ELASTÓMERO DE POLIURETANO, TUBO DE 10.1 OZ, MARCA PERMATHANE P-40 O SIMILAR.</t>
  </si>
  <si>
    <t>BME-3801-095-2025</t>
  </si>
  <si>
    <t>C3EXT-1854</t>
  </si>
  <si>
    <t>SUMINISTRO, CARGA, ACARREO, DESCARGA Y PUESTA EN SITIO COSTA FUERA DE ESPÁRRAGO DE ACERO AL CARBONO CON RECUBRIMIENTO CADMINIZADO (25 MICRAS DE ESPESOR ASTM B 766 O EQUIVALENTE), DE 1/2" DE DIÁMETRO X 3 1/4" DE LONGITUD, ESPECIFICACIÓN: ASTM A 193 GRADO B7, ROSCAS ASME B1.1 CLASE 2A, CON RECUBRIMIENTO RESISTENTE A LA CORROSIÓN A BASE DE CADMIO (25 MICRAS DE ESPESOR ASTM-B 766 O EQUIVALENTE), CON 02 TUERCAS HEXÁGONALES, ESPECIFICACIÓN: ASTM A 194 GRADO 2H, HEXAGONAL, ROSCAS ASME B1.1 CLASE 2A, CON RECUBRIMIENTO RESISTENTE A LA CORROSIÓN A BASE DE CADMIO (25 MICRAS DE ESPESOR ASTM-B 766 O EQUIVALENTE).</t>
  </si>
  <si>
    <t>C3EXT-1855</t>
  </si>
  <si>
    <t>SUMINISTRO, CARGA, ACARREO, DESCARGA Y PUESTA EN SITIO COSTA FUERA DE TAPÓN CACHUCHA, ACERO INOXIDABLE, 1/2" DE DIÁMETRO, 3000 LIBRAS, ROSCADO ASTM A182 GRADO 316L, ASME B16.11.</t>
  </si>
  <si>
    <t>C3EXT-1856</t>
  </si>
  <si>
    <t>INSPECCIÓN Y DICTAMEN DE VÁLVULA TIPO COMPUERTA, ESFÉRICA, GLOBO O DE MARIPOSA DE 2" DIÁMETRO CON RANGO DE PRESIÓN DESDE 150# HASTA 900#, INCLUYE: EQUIPOS, HERRAMIENTAS, MATERIALES E INSUMOS NECESARIOS PARA LA CORRECTA EJECUCIÓN DE LOS TRABAJOS.</t>
  </si>
  <si>
    <t>C3EXT-1857</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</si>
  <si>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</si>
  <si>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C3EXT-1858</t>
  </si>
  <si>
    <t>SELLADO INVERSO DE VÁLVULA TIPO COMPUERTA, ESFÉRICA, GLOBO O DE MARIPOSA DE 2" DIÁMETRO CON RANGO DE PRESIÓN DESDE 150# HASTA 900#, INCLUYE EQUIPOS, HERRAMIENTAS, MATERIALES E INSUMOS NECESARIOS PARA EL CORRECTO SELLADO DE LA VÁLVULA.</t>
  </si>
  <si>
    <t>C3EXT-1859</t>
  </si>
  <si>
    <t>INSPECCIÓN Y DICTAMEN DE VÁLVULA TIPO COMPUERTA, ESFÉRICA, GLOBO O DE MARIPOSA DE 3" DIÁMETRO CON RANGO DE PRESIÓN DESDE 150# HASTA 900#, INCLUYE: EQUIPOS, HERRAMIENTAS, MATERIALES E INSUMOS NECESARIOS PARA LA CORRECTA EJECUCIÓN DE LOS TRABAJOS.</t>
  </si>
  <si>
    <t>C3EXT-1860</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</si>
  <si>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</si>
  <si>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C3EXT-1861</t>
  </si>
  <si>
    <t>SELLADO INVERSO DE VÁLVULA TIPO COMPUERTA, ESFÉRICA, GLOBO O DE MARIPOSA DE 3" DIÁMETRO CON RANGO DE PRESIÓN DESDE 150# HASTA 900#, INCLUYE EQUIPOS, HERRAMIENTAS, MATERIALES E INSUMOS NECESARIOS PARA EL CORRECTO SELLADO DE LA VÁLVULA.</t>
  </si>
  <si>
    <t>C3EXT-1862</t>
  </si>
  <si>
    <t>INSPECCIÓN Y DICTAMEN DE VÁLVULA TIPO COMPUERTA, ESFÉRICA, GLOBO O DE MARIPOSA DE 12" DIÁMETRO CON RANGO DE PRESIÓN DESDE 150# HASTA 900#, INCLUYE: EQUIPOS, HERRAMIENTAS, MATERIALES E INSUMOS NECESARIOS PARA LA CORRECTA EJECUCIÓN DE LOS TRABAJOS</t>
  </si>
  <si>
    <t>C3EXT-1863</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</si>
  <si>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</si>
  <si>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C3EXT-1864</t>
  </si>
  <si>
    <t>SELLADO INVERSO DE VÁLVULA TIPO COMPUERTA, ESFÉRICA, GLOBO O DE MARIPOSA DE 12" DIÁMETRO CON RANGO DE PRESIÓN DESDE 150# HASTA 900#, INCLUYE EQUIPOS, HERRAMIENTAS, MATERIALES E INSUMOS NECESARIOS PARA EL CORRECTO SELLADO DE LA VÁLVULA</t>
  </si>
  <si>
    <t>C3EXT-1865</t>
  </si>
  <si>
    <t>INSPECCIÓN Y DICTAMEN DE VÁLVULA TIPO COMPUERTA, ESFÉRICA, GLOBO O DE MARIPOSA DE 20" DIÁMETRO CON RANGO DE PRESIÓN DESDE 150# HASTA 900#, INCLUYE: EQUIPOS, HERRAMIENTAS, MATERIALES E INSUMOS NECESARIOS PARA LA CORRECTA EJECUCIÓN DE LOS TRABAJOS</t>
  </si>
  <si>
    <t>C3EXT-1866</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</si>
  <si>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</si>
  <si>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C3EXT-1867</t>
  </si>
  <si>
    <t>SELLADO INVERSO DE VÁLVULA TIPO COMPUERTA, ESFÉRICA, GLOBO O DE MARIPOSA DE 20" DIÁMETRO CON RANGO DE PRESIÓN DESDE 150# HASTA 900#, INCLUYE EQUIPOS, HERRAMIENTAS, MATERIALES E INSUMOS NECESARIOS PARA EL CORRECTO SELLADO DE LA VÁLVULA</t>
  </si>
  <si>
    <t>C3EXT-1868</t>
  </si>
  <si>
    <t>INSPECCIÓN Y DICTAMEN DE VÁLVULA TIPO ESFÉRICA DE 4 1/16" DIÁMETRO CON RANGO DE PRESIÓN DE 5000#, INCLUYE: EQUIPOS, HERRAMIENTAS, MATERIALES E INSUMOS NECESARIOS PARA LA CORRECTA EJECUCIÓN DE LOS TRABAJOS</t>
  </si>
  <si>
    <t>C3EXT-1869</t>
  </si>
  <si>
    <t>SERVICIO DE BARRENADO EN VÁLVULA TIPO ESFÉRICA DE 4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</si>
  <si>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C3EXT-1870</t>
  </si>
  <si>
    <t>SELLADO INVERSO DE VÁLVULA TIPO ESFÉRICA DE 4 1/16" DIÁMETRO CON RANGO DE PRESIÓN DE 5000#, INCLUYE EQUIPOS, HERRAMIENTAS, MATERIALES E INSUMOS NECESARIOS PARA EL CORRECTO SELLADO DE LA VÁLVULA</t>
  </si>
  <si>
    <t>C3EXT-1871</t>
  </si>
  <si>
    <t>INSPECCIÓN Y DICTAMEN DE VÁLVULA TIPO ESFÉRICA DE 3 1/18" DIÁMETRO CON RANGO DE PRESIÓN DE 5000#, INCLUYE: EQUIPOS, HERRAMIENTAS, MATERIALES E INSUMOS NECESARIOS PARA LA CORRECTA EJECUCIÓN DE LOS TRABAJOS</t>
  </si>
  <si>
    <t>C3EXT-1872</t>
  </si>
  <si>
    <t>SERVICIO DE BARRENADO EN VÁLVULA TIPO ESFÉRICA DE 3 1/8"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</si>
  <si>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C3EXT-1873</t>
  </si>
  <si>
    <t>SELLADO INVERSO DE VÁLVULA TIPO ESFÉRICA DE 3 1/8" DIÁMETRO CON RANGO DE PRESIÓN DE 5000#, INCLUYE EQUIPOS, HERRAMIENTAS, MATERIALES E INSUMOS NECESARIOS PARA EL CORRECTO SELLADO DE LA VÁLVULA</t>
  </si>
  <si>
    <t>C3EXT-1874</t>
  </si>
  <si>
    <t>SUMINISTRO, CARGA, ACARREO, DESCARGA Y PUESTA EN SITIO COSTA FUERA DE ESPÁRRAGO DE ACERO DE ALEACIÓN ASTM A-193, GRADO B7M, ROSCA ESTANDAR USS CON DOS TUERCAS HEXAGONALES DE ACERO AL CARBONO, CONFORME A ESPECIFICACIÓN ASTM A-194, GRADO 2HM, EL TIPO DE RECUBRIMIENTO ES CADMIO ASTM B-766, CLASE 2A, CON DIMENSIONES DE 3/4" DE DIÁMETRO X 3 3/4" DE LONGITUD. (1 1/2" DE DIÁMETRO, 300#)</t>
  </si>
  <si>
    <t>BME-3801-096-2025</t>
  </si>
  <si>
    <t>C3EXT-1875</t>
  </si>
  <si>
    <t>UDC-EREEKA-AIY-026</t>
  </si>
  <si>
    <t>SUMINISTRO, CARGA, ACARREO, DESCARGA Y PUESTA EN SITIO COSTA FUERA DE JUEGO (KIT) DE AISLAMIENTO PARA EMBRIDADO DE 1 1/2" DE DIÁMETRO, CLASE 300 LIBRAS, CARA REALZADA (R.F.), CONSTITUIDO POR LOS SIGUIENTES ELEMENTOS: DE JUNTA DE SELLADO MICARTA CON FRENTE DE NEOPRENO, MANGA AISLANTE MICARTA PARA CADA ESPÁRRAGO, DOS ARANDELAS PLANAS DE ACERO INOXIDABLE GRADO 316 POR CADA ESPÁRRAGO.</t>
  </si>
  <si>
    <t>C3EXT-1876</t>
  </si>
  <si>
    <t>SUMINISTRO, CARGA, ACARREO, DESCARGA Y PUESTA EN SITIO COSTA FUERA DE JUEGO (KIT) DE AISLAMIENTO PARA EMBRIDADO DE 3/4" DE DIÁMETRO, CLASE 300# LIBRAS, CARA REALZADA (R.F.), CONSTITUIDO POR LOS SIGUIENTES ELEMENTOS: DE JUNTA DE SELLADO MICARTA CON FRENTE DE NEOPRENO, MANGA AISLANTE MICARTA PARA CADA ESPÁRRAGO, DOS ARANDELAS PLANAS MICARTA POR CADA ESPÁRRAGO, DOS ARANDELAS PLANAS DE ACERO INOXIDABLE GRADO 316 POR CADA ESPÁRRAGO.</t>
  </si>
  <si>
    <t>C3EXT-1877</t>
  </si>
  <si>
    <t>SUMINISTRO, CARGA, ACARREO, DESCARGA Y PUESTA EN SITIO COSTA FUERA DE BRIDA DE ACERO AL CARBONO, SIN RECUBRIMIENTO, DE 3/4" DE DIÁMETRO NOMINAL, 0.154" DE ESPESOR, CÉDULA: (080-XS), CLASE: 300 LIBRAS, BORE: 0.742", TIPO: INSERTO SOLDABLE (S.W.), CARA REALZADA (R.F.), ESPECIFICACIÓN: ASTM A105, ASME: B16.5, ANSI/NACE MR0175/ISO 15156-2.</t>
  </si>
  <si>
    <t>C3EXT-1878</t>
  </si>
  <si>
    <t>SUMINISTRO, CARGA, ACARREO, DESCARGA Y PUESTA EN SITIO COSTA FUERA DE BRIDA DE ACERO INOXIDABLE, SIN RECUBRIMIENTO, DE 3/4" DE DIÁMETRO NOMINAL, CLASE: 300 LIBRAS, TIPO: ROSCADA (T.H.), CARA REALZADA (R.F.), ESPECIFICACIÓN: ASTM A182, GRADO: F316L, ASME: B16.5.</t>
  </si>
  <si>
    <t>C3EXT-1879</t>
  </si>
  <si>
    <t>SUMINISTRO, CARGA, ACARREO, DESCARGA Y PUESTA EN SITIO COSTA FUERA DE REDONDO DE ACERO AL CARBONO, SIN RECUBRIMIENTO, TIPO: SOLIDO (O.S.), 1/2" DE DIÁMETRO, 0.994 KG/M, ESPECIFICACIÓN: ASTM: A36.</t>
  </si>
  <si>
    <t>C3EXT-1880</t>
  </si>
  <si>
    <t>SUMINISTRO, CARGA, ACARREO, DESCARGA Y PUESTA EN SITIO COSTA FUERA DE PERFIL DE ACERO AL CARBONO, SIN RECUBRIMIENTO, TIPO: C ESTANDAR (C.E.), 152 MM X 12.20 KG/M (6" X 8.20 LB/FT.) , ESPECIFICACIÓN: ASTM: A572, GRADO: 50.</t>
  </si>
  <si>
    <t>C3EXT-1881</t>
  </si>
  <si>
    <t>SUMINISTRO, CARGA, ACARREO, DESCARGA Y PUESTA EN SITIO COSTA FUERA DE ABRAZADERA TIPO "U" PARA TUBO CON DIÁMETRO NOMINAL DE 8" (203.200 MM) DE DIÁMETRO DE VARILLA DE 1/2" (12.700 MM), DE ACERO AL CARBONO, ESPECIFICACIÓN: ASTM A307 GRADO: A, CON RECUBRIMIENTO GALVANIZADO Y RECUBRIMIENTO DE PVC, INCLUYE: 2 TUERCAS HEXAGONALES DE ACERO AL CARBONO CON RECUBRIMIENTO GALVANIZADO, ESPECIFICACIÓN: ASTM: A563, GRADO: A, 2 ARANDELAS DE PLANAS DE ACERO AL CARBONO CON RECUBRIMIENTO GALVANIZADO.</t>
  </si>
  <si>
    <t>C3EXT-1882</t>
  </si>
  <si>
    <t>LIMPIEZA CON ARENA SILICA (MALLA) 16/35 O 8/35 CON EQUIPO DUSTELSS BLAST Y CON PERSONAL TÉCNICO ESPECIALIZADO, ROPE ACCESS, INCLUYE: MATERIAL DE CONSUMO, LIMPIEZA DEL ÁREA DE TRABAJO DE ACUERDO CON LA NORMA ETP-295-PEMEX-2013 O SIMILAR (COSTA FUERA).</t>
  </si>
  <si>
    <t>OT-801-25-105-PUENTE-POL-A</t>
  </si>
  <si>
    <t>C3EXT-1883</t>
  </si>
  <si>
    <t>DUSTLESS BLAST</t>
  </si>
  <si>
    <t>LIMPIEZA CON ARENA SILICA (MALLA) 16/35 O 8/35 CON EQUIPO DUSTELSS BLAST, INCLUYE: MATERIAL DE CONSUMO, LIMPIEZA DEL ÁREA DE TRABAJO DE ACUERDO CON LA NORMA ETP-295-PEMEX-2013 O SIMILAR (COSTA FUERA).</t>
  </si>
  <si>
    <t>C3EXT-1884</t>
  </si>
  <si>
    <t>SERVICIO DE SELLADO CONVENCIONAL DE VÁLVULA TIPO COMPUERTA, ESFÉRICA, GLOBO O DE MARIPOSA DE 12" DE DIÁMETRO CON RANGO DE PRESIÓN DESDE 150# HASTA 900#; INCLUYE: EQUIPOS, HERRAMIENTAS, MATERIALES E INSUMOS NECESARIOS PARA EL CORRECTO SELLADO DE LA VÁLVULA.</t>
  </si>
  <si>
    <t>C3EXT-1885</t>
  </si>
  <si>
    <t>SELLADOS</t>
  </si>
  <si>
    <t>SERVICIO DE SELLADO CONVENCIONAL DE VÁLVULA TIPO COMPUERTA, ESFÉRICA, GLOBO O DE MARIPOSA DE 4 1/16" DE DIÁMETRO CON RANGO DE PRESIÓN DESDE 150# HASTA 5000#; INCLUYE: EQUIPOS, HERRAMIENTAS, MATERIALES E INSUMOS NECESARIOS PARA EL CORRECTO SELLADO DE LA VÁLVULA.</t>
  </si>
  <si>
    <t>C3EXT-1886</t>
  </si>
  <si>
    <t>INSPECCIÓN Y DICTAMEN DE VÁLVULA TIPO COMPUERTA, ESFÉRICA, GLOBO O DE MARIPOSA DE 7 1/16" DIÁMETRO CON RANGO DE PRESIÓN DESDE 150# HASTA 5000#, INCLUYE: EQUIPOS, HERRAMIENTAS, MATERIALES E INSUMOS NECESARIOS PARA LA CORRECTA EJECUCIÓN DE LOS TRABAJOS</t>
  </si>
  <si>
    <t>C3EXT-1887</t>
  </si>
  <si>
    <t>SERVICIO DE SELLADO CONVENCIONAL DE VÁLVULA TIPO COMPUERTA, ESFÉRICA, GLOBO O DE MARIPOSA DE 7 1/16" DE DIÁMETRO CON RANGO DE PRESIÓN DESDE 150# HASTA 5000#; INCLUYE: EQUIPOS, HERRAMIENTAS, MATERIALES E INSUMOS NECESARIOS PARA EL CORRECTO SELLADO DE LA VÁLVULA.</t>
  </si>
  <si>
    <t>C3EXT-1888</t>
  </si>
  <si>
    <t>SERVICIO DE BARRENADO EN VÁLVULA TIPO COMPUERTA, ESFÉRICA, GLOBO O DE MARIPOSA DE 7 1/16" DE DIÁMETRO CON RANGO DE PRESIÓN DESDE 150# HASTA 500#,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</si>
  <si>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C3EXT-1889</t>
  </si>
  <si>
    <t>SELLADO INVERSO DE VÁLVULA TIPO COMPUERTA, ESFÉRICA, GLOBO O DE MARIPOSA DE 7 1/16" DE DIÁMETRO CON RANGO DE PRESIÓN DESDE 150# HASTA 5000#, INCLUYE EQUIPOS, HERRAMIENTAS, MATERIALES E INSUMOS NECESARIOS PARA EL CORRECTO SELLADO DE LA VÁLVULA.</t>
  </si>
  <si>
    <t>C3EXT-1890</t>
  </si>
  <si>
    <t>SUMINISTRO, CARGA, ACARREO, DESCARGA Y PUESTA EN SITIO COSTA FUERA DE ESPÁRRAGO ASTM A193 GR. B7, CON 2 TUERCAS HEXAGONALES, ASTM A194 GR. 2H , ROSCAS ASME B1.1 CLASE 2A, CON RECUBRIMIENTO RESISTENTE A LA CORROSIÓN A BASE CADMIO (25 M DE ESPESOR, ASTM-B 766) DE 5/8" X 12" DE LONGITUD.</t>
  </si>
  <si>
    <t>BME-3801-011-2025</t>
  </si>
  <si>
    <t>OT-801-25-045-POL-A</t>
  </si>
  <si>
    <t>C3EXT-1891</t>
  </si>
  <si>
    <t>POL-A</t>
  </si>
  <si>
    <t>SUMINISTRO, CARGA, ACARREO, DESCARGA Y PUESTA EN SITIO COSTA FUERA DE BRIDA TIPO CIEGA CLASE 300 DE 1" DE DIÁMETRO, CARA REALZADA (R.F.) DE ACERO AL CARBONO FORJADO, ESPECIFICACIÓN ASTM A 105 Y ASME B16.5, CUMPLE CON EL ESTÁNDAR NACE MR0175 ULTIMA EDICIÓN.</t>
  </si>
  <si>
    <t>C3EXT-1892</t>
  </si>
  <si>
    <t>SUMINISTRO, CARGA, ACARREO, DESCARGA Y PUESTA EN SITIO COSTA FUERA DE VÁLVULA DE RETENCIÓN DE 3" DE DIÁMETRO, BRIDADA COLUMPIO. CLASE 150 R.F., CUERPO ASTM A 216 GRADO WCB, TRIM 10, TAPA ATORNILLADA, ASIENTO INTERCAMBIABLE.</t>
  </si>
  <si>
    <t>C3EXT-1893</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</si>
  <si>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1/2" DE DIÁMETRO X 3" DE LONGITUD (PARA JUNTA BRIDADA DE 1"DE DIÁMETRO CLASE 150# R.F.)</t>
  </si>
  <si>
    <t>C3EXT-1894</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</si>
  <si>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4" DE LONGITUD. (PARA JUNTA BRIDADA 3" DE DIÁMETRO CLASE 150# R.F.)</t>
  </si>
  <si>
    <t>C3EXT-1895</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</si>
  <si>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6 1/2" DE LONGITUD (PARA JUNTA BRIDADA DE 4" DE DIÁMETRO CLASE 600# R.F.)</t>
  </si>
  <si>
    <t>C3EXT-1896</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</si>
  <si>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3 1/2" DE LONGITUD (PARA JUNTA BRIDADA DE 1" DE DIÁMETRO CLASE 300# R.F.)</t>
  </si>
  <si>
    <t>C3EXT-1897</t>
  </si>
  <si>
    <t xml:space="preserve">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7 3/4" DE LONGITUD. </t>
  </si>
  <si>
    <t>C3EXT-1898</t>
  </si>
  <si>
    <t>SUMINISTRO, CARGA, ACARREO, DESCARGA Y PUESTA EN SITIO COSTA FUERA DE ABRAZADERA TIPO "U" DE ACERO AL CARBONO, PARA TUBERIA DE 1" DE DIÁMETRO CON 02 TUERCAS HEXAGONALES, ACABADO GALVANIZADO POR INMERSIÓN EN CALIENTE ASTM A-123.</t>
  </si>
  <si>
    <t>C3EXT-1899</t>
  </si>
  <si>
    <t>SUMINISTRO, CARGA, ACARREO, DESCARGA Y PUESTA EN SITIO COSTA FUERA DE NIPLE DE ¾" Ø X 3½" DE LONGITUD, CÉDULA 80, EXTREMOS PLANO X ROSCADO, ESPECIFICACIÓN ASTM A106 GR. B, DIMENSIONES Y REQUERIMIENTOS  ASME  B36.10 Y SERVICIO AMARGO NACE MR-0175/ISO 15156.</t>
  </si>
  <si>
    <t>C3EXT-1900</t>
  </si>
  <si>
    <t>SUMINISTRO, CARGA, ACARREO, DESCARGA Y PUESTA EN SITIO COSTA FUERA DE NIPLE DE ¾" Ø X 3½" DE LONGITUD, CÉDULA 80, EXTREMOS PLANOS, ESPECIFICACIÓN ASTM A106 GR. B, DIMENSIONES Y REQUERIMIENTOS  ASME  B36.10 Y SERVICIO AMARGO NACE MR-0175/ISO 15156.</t>
  </si>
  <si>
    <t>C3EXT-1901</t>
  </si>
  <si>
    <t>SUMINISTRO, CARGA, ACARREO, DESCARGA Y PUESTA EN SITIO COSTA FUERA DE BRIDA DE 3"Ø CLASE 300 CUELLO SOLDABLE TIPO RF, CÉDULA 80 ESPECIFICACIÓN A105, ASME B16.5.</t>
  </si>
  <si>
    <t>C3EXT-1902</t>
  </si>
  <si>
    <t>SUMINISTRO, CARGA, ACARREO, DESCARGA Y PUESTA EN SITIO COSTA FUERA DE BRIDA DE 2"Ø CLASE 150 CUELLO SOLDABLE TIPO RF, CÉDULA 80 ESPECIFICACIÓN A105, ASME B16.5, BORE 1.939.</t>
  </si>
  <si>
    <t>C3EXT-1903</t>
  </si>
  <si>
    <t>C3EXT-1904</t>
  </si>
  <si>
    <t>REHABILITACIÓN Y MANTENIMIENTO DE ACTUADOR DE VÁLVULA TIPO COMPUERTA, ESFÉRICA, GLOBO O DE MARIPOSA DE 20" DE DIÁMETRO CON RANGO DE PRESIÓN DESDE 150# HASTA 900#; INCLUYE: EQUIPOS, HERRAMIENTAS, MATERIALES E INSUMOS NECESARIOS PARA LA CORRECTA EJECUCIÓN DE LOS TRABAJOS.</t>
  </si>
  <si>
    <t>OT-801-25-082-Valvulas</t>
  </si>
  <si>
    <t>C3EXT-1905</t>
  </si>
  <si>
    <t>SERVICIO DE SELLADO DE VÁLVULA TIPO COMPUERTA, ESFÉRICA, GLOBO O DE MARIPOSA DE 3" DE DIÁMETRO CON RANGO DE PRESIÓN DESDE 150# HASTA 900#; INCLUYE: EQUIPOS, HERRAMIENTAS, MATERIALES E INSUMOS NECESARIOS PARA EL CORRECTO SELLADO DE LA VÁLVULA.</t>
  </si>
  <si>
    <t>C3EXT-1906</t>
  </si>
  <si>
    <t>SERVICIO DE SELLADO CONVENCIONAL DE VÁLVULA TIPO COMPUERTA, ESFÉRICA, GLOBO O DE MARIPOSA DE 2" DE DIÁMETRO CON RANGO DE PRESIÓN DESDE 150# HASTA 900#; INCLUYE: EQUIPOS, HERRAMIENTAS, MATERIALES E INSUMOS NECESARIOS PARA EL CORRECTO SELLADO DE LA VÁLVULA.</t>
  </si>
  <si>
    <t>C3EXT-1907</t>
  </si>
  <si>
    <t>SERVICIO DE RETROLAVADO A VÁLVULA TIPO COMPUERTA, ESFÉRICA, GLOBO O DE MARIPOSA DE 6" DE DIÁMETRO CON RANGO DE PRESIÓN DESDE 150# HASTA 900#; INCLUYE PERSONAL TÉCNICO ESPECIALIZADO, EQUIPOS, HERRAMIENTAS, MATERIALES E INSUMOS NECESARIOS PARA EL CORRECTO RETROLAVADO DE LA VÁLVULA EN LA TERMINAL MARÍTIMA DOS BOCAS, TABASCO. NO INCLUYE ANDAMIOS.</t>
  </si>
  <si>
    <t>C3EXT-1908</t>
  </si>
  <si>
    <t>SUMINISTRO, CARGA, ACARREO, DESCARGA Y PUESTA EN SITIO COSTA FUERA DE BRIDA CIEGA DE 20"DIÁMETRO 600 LBS. R.F. ASTM A-105, ASME B16.5.</t>
  </si>
  <si>
    <t>C3EXT-1909</t>
  </si>
  <si>
    <t>SERVICIO DE SELLADO CONVENCIONAL DE VÁLVULA TIPO COMPUERTA, ESFÉRICA, GLOBO O DE MARIPOSA DE 12" DIÁMETRO CON RANGO DE PRESIÓN DESDE 150# HASTA 900#; INCLUYE EQUIPOS, HERRAMIENTAS, MATERIALES E INSUMOS NECESARIOS PARA EL CORRECTO SELLADO DE LA VÁLVULA.</t>
  </si>
  <si>
    <t>C3EXT-1910</t>
  </si>
  <si>
    <t>SERVICIO DE SELLADO CONVENCIONAL DE VÁLVULA TIPO COMPUERTA, ESFÉRICA, GLOBO O DE MARIPOSA DE 4 1/16" DIÁMETRO CON RANGO DE PRESIÓN DE 5000#; INCLUYE EQUIPOS, HERRAMIENTAS, MATERIALES E INSUMOS NECESARIOS PARA EL CORRECTO SELLADO DE LA VÁLVULA.</t>
  </si>
  <si>
    <t>C3EXT-1911</t>
  </si>
  <si>
    <t>SERVICIO TÉCNICO ESPECIALIZADO COSTA FUERA DE INSPECCIÓN Y DICTAMEN DE VÁLVULA TIPO ESFÉRICA DE 7 1/16" DIÁMETRO CON RANGO DE PRESIÓN DE 5000#; INCLUYE: EQUIPOS, HERRAMIENTAS, MATERIALES E INSUMOS NECESARIOS PARA LA CORRECTA EJECUCIÓN DE LOS TRABAJOS.</t>
  </si>
  <si>
    <t>C3EXT-1912</t>
  </si>
  <si>
    <t>SERVICIO DE SELLADO CONVENCIONAL DE VÁLVULA TIPO COMPUERTA, ESFÉRICA, GLOBO O DE MARIPOSA DE 7 1/16" DIÁMETRO CON RANGO DE PRESIÓN DE 5000#; INCLUYE EQUIPOS, HERRAMIENTAS, MATERIALES E INSUMOS NECESARIOS PARA EL CORRECTO SELLADO DE LA VÁLVULA.</t>
  </si>
  <si>
    <t>C3EXT-1913</t>
  </si>
  <si>
    <t>SERVICIO DE BARRENADO EN VÁLVULA TIPO ESFÉRICA DE 7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</si>
  <si>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C3EXT-1914</t>
  </si>
  <si>
    <t>SERVICIO DE SELLADO INVERSO DE VÁLVULA TIPO ESFÉRICA DE 7 1/16" DIÁMETRO CON RANGO DE PRESIÓN DE 5000#; INCLUYE EQUIPOS, HERRAMIENTAS, MATERIALES E INSUMOS NECESARIOS PARA EL CORRECTO SELLADO DE LA VÁLVULA.</t>
  </si>
  <si>
    <t>C3EXT-1915</t>
  </si>
  <si>
    <t>SUMINISTRO, CARGA, ACARREO, DESCARGA Y PUESTA EN SITIO COSTA FUERA DE INSERTO REDUCTOR, DE ACERO AL CARBONO, SIN RECUBRIMIENTO, DE 2" DE DIÁMETRO NOMINAL, X 0.750" DE DIÁMETRO NOMINAL, CLASE: 3000 LIBRAS, TIPO: REDUCTOR (2), EXTREMOS: INSERTO SOLDABLE, ESPECIFICACIÓN: ASTM: A105, ASME: B16.11</t>
  </si>
  <si>
    <t>BME-3801-145-2025</t>
  </si>
  <si>
    <t>OT-801-25-113-UDC-NHA2-DA-FA-3751-LG</t>
  </si>
  <si>
    <t>C3EXT-1916</t>
  </si>
  <si>
    <t>UDC: NHA2-DA-FA-3751-LG</t>
  </si>
  <si>
    <t xml:space="preserve">SUMINISTRO, CARGA, ACARREO, DESCARGA Y PUESTA EN SITIO COSTA FUERA DE ESPÁRRAGO DE ACERO AL CARBONO CON RECUBRIMIENTO: CADMINIZADO, TIPO: II, CLASE: 25, DE 2" DE DIÁMETRO X 14 1/4" DE LONGITUD, ESPECIFICACIÓN: ASTM: A193, GRADO: B7M, CON: 02 TUERCAS HEXAGONALES, ESPECIFICACIÓN: ASTM: A194, GRADO: 2HM (30" DE DIÁMETRO-600#) </t>
  </si>
  <si>
    <t>C3EXT-1917</t>
  </si>
  <si>
    <t>SUMINISTRO, CARGA, ACARREO, DESCARGA Y PUESTA EN SITIO COSTA FUERA DE BRIDA DE ACERO AL CARBONO DE 24" DE DIÁMETRO NOMINAL CLASE 150#, TIPO: CIEGA, CARA REALZADA (RF), ESPECIFICACIÓN: PEMEX-EST-TD-032-P2-2024, ASTM A105, MDS-C004S. ASME: B16.5.</t>
  </si>
  <si>
    <t>C3EXT-1918</t>
  </si>
  <si>
    <t>SUMINISTRO, CARGA, ACARREO, DESCARGA Y PUESTA EN SITIO COSTA FUERA DE TUBO DE 1 1/2" DE DIÁMETRO, DE ACERO AL CARBONO, CÉDULA: 80, EXTREMOS PLANOS, ESPECIFICACIÓN: PEMEX-EST-TD-032-P1-2023-ASTM A106 GRADO B, MDS-C001S, ASME: B36.10M.</t>
  </si>
  <si>
    <t>C3EXT-1919</t>
  </si>
  <si>
    <t>SUMINISTRO, CARGA, ACARREO, DESCARGA Y PUESTA EN SITIO COSTA FUERA DE ESPÁRRAGO DE ACERO AL CARBONO, CON RECUBRIMIENTO: CADMINIZADO, TIPO: II, CLASE: 25, DE 1-1/8" (1.125") DE DIÁMETRO, X 15-1/4" (15.25") DE LONGITUD, ESPECIFICACIÓN: ASTM: A193, GRADO: B7M, CON: 02 TUERCAS HEXAGONALES, ESPECIFICACIÓN: ASTM: A194, GRADO: 2HM.</t>
  </si>
  <si>
    <t>C3EXT-1920</t>
  </si>
  <si>
    <t>UDC-NHAP-PB-002</t>
  </si>
  <si>
    <t>SUMINISTRO, CARGA, ACARREO, DESCARGA Y PUESTA EN SITIO COSTA FUERA DE WELDOLET DE ACERO AL CARBONO FORJADO, SIN RECUBRIMIENTO, RANGO: 20.00", DE 10.00" DE DIÁMETRO NOMINAL, CÉDULA: ESTÁNDAR, ESPECIFICACIÓN:ASTM : A105, MSS SP-97, ANSI/NACE MR0175/ISO 15156-2.</t>
  </si>
  <si>
    <t>C3EXT-1921</t>
  </si>
  <si>
    <t>SUMINISTRO, CARGA, ACARREO, DESCARGA Y PUESTA EN SITIO COSTA FUERA DE EMPAQUE ESPIROMETÁLICO DE 4" DIÁMETRO, CLASE 300, CON ANILLOS METÁLICOS, CENTRADOR (EXTERIOR) Y DE RESPALDO (INTERNO), RELLENO DE GRAFITO FLEXIBLE, ENROLLAMIENTO Y ANILLOS DE ASTM A240 GR. 316, MDS-S105S, DIÁMETRO INTERIOR IGUAL AL TUBO, PARA BRIDAS ASME B16.5 O ASME B16.47 SERIE A, ISO 7483, ASME B16.20.</t>
  </si>
  <si>
    <t>C3EXT-1922</t>
  </si>
  <si>
    <t>SUMINISTRO, CARGA, ACARREO, DESCARGA Y PUESTA EN SITIO COSTA FUERA DE ESPÁRRAGO DE 1 1/8" DIÁMETRO X 14 1/2" DE LONGITUD, ASTM A193 GR. B7M, CON 2 TUERCAS HEXAGONALES, ASTM A194 GR. 2HM, PEMEX-EST-TD-027-2022, MDS-X110S, ROSCAS ASME B1.1 CLASE 2A, CON RECUBRIMIENTO RESISTENTE A LA CORROSIÓN A BASE DE CADMIO (25 MICRAS DE ESPESOR, ISO 2082 O ASTM B766). INCLUYE SUMINISTRO.</t>
  </si>
  <si>
    <t>C3EXT-1923</t>
  </si>
  <si>
    <t>SUMINISTRO, CARGA, ACARREO, DESCARGA Y PUESTA EN SITIO COSTA FUERA DE VÁLVULA ESFÉRICA, DE 3/4" (0.75") DE DIÁMETRO NOMINAL, EXTREMOS: INSERTO SOLDABLE (SW), CLASE: 800 LIBRAS, CUERPO ASTM A105, PEMEX-EST-TD-142-2022, MDS-C004S, CUERPO INTEGRAL SOLDADO, PASO COMPLETO, BOLA DE UNS S31600 Y VASTAGO DE UNS S31600 O UNS S20910, SELLOS DE GRAFITO Y FKM O RPTFE, ASIENTOS DE RPTFE, BOLA FLOTANTE, OPERADA CON MANERAL, DISEÑO APRUEBA DE FUEGO ISO 10497, CLASIFICACIÓN DE EMISIONES FUGITIVAS CO2 DE ISO 15848-1, ISO 17292.</t>
  </si>
  <si>
    <t>C3EXT-1924</t>
  </si>
  <si>
    <t>SUMINISTRO, CARGA, ACARREO, DESCARGA Y PUESTA EN SITIO COSTA FUERA DE ESPÁRRAGO DE 1" DIÁMETRO X 6 3/4" DE LONGITUD, ASTM A193 GR. B7, CON 2 TUERCAS HEXAGONALES, ASTM A194 GR. 2H, ROSCAS ASME B1.1 CLASE 2A, CON RECUBRIMIENTO RESISTENTE A LA CORROSIÓN A BASE DE CADMIO (25 MICRAS DE ESPESOR ASTM B766).</t>
  </si>
  <si>
    <t>C3EXT-1925</t>
  </si>
  <si>
    <t>SUMINISTRO, CARGA, ACARREO, DESCARGA Y PUESTA EN SITIO COSTA FUERA DE ESPÁRRAGO DE 1 1/4" DIÁMETRO X 10 3/4" DE LONGITUD, ASTM A193 GR. B7, CON 2 TUERCAS HEXAGONALES, ASTM A194 GR. 2H, ROSCAS ASME B1.1 CLASE 2A, CON RECUBRIMIENTO RESISTENTE A LA CORROSIÓN A BASE DE CADMIO (25 MICRAS DE ESPESOR ASTM B766).</t>
  </si>
  <si>
    <t>C3EXT-1926</t>
  </si>
  <si>
    <t>SUMINISTRO, CARGA, ACARREO, DESCARGA Y PUESTA EN SITIO COSTA FUERA DE ESPÁRRAGO DE 1 1/8" DIÁMETRO X 6 1/2" DE LONGITUD, ASTM A193 GR. B7, CON 2 TUERCAS HEXAGONALES, ASTM A194 GR. 2H, ROSCAS ASME B1.1 CLASE 2A, CON RECUBRIMIENTO RESISTENTE A LA CORROSIÓN A BASE DE CADMIO (25 MICRAS DE ESPESOR ASTM B766).</t>
  </si>
  <si>
    <t>C3EXT-1927</t>
  </si>
  <si>
    <t>ACTIVIDADES SUBMARINAS CON PERSONAL Y EQUIPOS DE BUCEO PARA TOMA DE METROLOGÍA SUBMARINA DE ELEMENTOS ESTRUCTURALES Y/O TUBERÍAS PARA OBTENCIÓN MEDIDAS PARA INGENIERA DE FABRICACIÓN, INSTALACIÓN DE EQUIPOS, SOPORTES Y/O FUTURAS INTERVENCIONES A UNA PROFUNDIDAD DE (-) 31.000 NMM, LIMPIEZA, REMOCIÓN DE SEDIMENTOS Y DESASOLVE DE TEMPLETE SUBMARINO PARA RESTAURAR LA GEOMETRÍA ORIGINAL DEL ÁREA A UNA PROFUNDIDAD DE (-) 20.000 A (-) 30.000 NMM, INSTALACIÓN DE ABRAZADERAS, ANODOS O ELEMENTOS ESTRUCTURALES SUBMARINOS EN LA ESTRUCTURA DE PLATAFORMA MARINA A UNA PROFUNDIDAD DE (-) 0.100 A (-) 30.000 NMM, PERFORACION DE ELEMENTOS, INSTALACION DE ACCESORIOS Y MANIPULACION DE VALVULAS Y CONEXIONES PARA LA INYECCION DE GROUT. INCLUYE: LIMPIEZA DE CONCHUELA, INSPECCIÓN, CORTE OXIELECTRICO SUBMARINO DE MENSULAS, TUBOS DE INUNDACIÓN, PLATOS Y CUALQUIER OBSTRUCCIÓN Y CIERRE DE ABRAZADERAS CON EQUIPO HIDRÁULICO SUBMARINO, OXIGENO PARA CORTE Y ELECTRODOS DE OXICORTE ELECTRICO SUBMARINO, MOVILIZACION Y DESMOVILIZACION DE EQUIPOS</t>
  </si>
  <si>
    <t>BME-3801-125-2025</t>
  </si>
  <si>
    <t>C3EXT-1928</t>
  </si>
  <si>
    <t>SERVICIO DE REFORZAMIENTO ESTRUCTURAL MEDIANTE SUMINISTRO E INYECCIÓN DE GROUT EN EL ESPACIO ANULAR DE LOS ELEMENTOS DEL NIVEL (-) 2.846 DE LA SUBESTRUCTURA Y (+) 19.100 DE LA SUPERESTRUCTURA, PARA UN TOTAL DE 9 TONELADAS DE GROUT SUBMARINO HPC, BASE DE GROUT PORTLAND API CLASE G, ALTA RESISTENCIA A LOS SULFATOS, SIN ADITIVOS, CON UNA DENSIDAD PROMEDIO DE LA LECHADA DE 1,900 KG/M3 Y CON UNA RESISTENCIA A LA COMPRESIÓN REQUERIDA DE 148 Kg/cm2 (14.5 Mpa) A LAS 24 HRS Y DE 350 K/cm2 (34.32 Mpa) A LOS 28 DIAS, LA INYECCIÓN DEL GROUT SE REALIZARA EN CADA UNO DE LOS ELEMENTOS MEDIANTE BOMBEO CONTROLADO HACIA EL ESPACIO ANULAR EXISTENTE DE LA PLATAFORMA TAKIN-A;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</si>
  <si>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C3EXT-1929</t>
  </si>
  <si>
    <t>SUMINISTRO, CARGA, ACARREO, DESCARGA Y PUESTA EN SITIO COSTA FUERA DE WELDOLET DE ACERO AL CARBONO, CÉDULA 80, DE 8" X 3", EXTREMOS BISELADOS, PEMEX-EST-TD-032-P2-2024, ASTM A105, MSD-C004S, MSS SP-97, ANSI/NACE MR0175/ISO 15156-2.</t>
  </si>
  <si>
    <t>C3EXT-1930</t>
  </si>
  <si>
    <t>NOHOCH</t>
  </si>
  <si>
    <t>SUMINISTRO, CARGA, ACARREO, DESCARGA Y PUESTA EN SITIO COSTA FUERA DE TAPÓN CACHUCHA ROSCADO, 3/4" DIÁMETRO CLASE 3000#, ACERO INOXIDABLE, ASTM A-182 Gr. F304L, ASME B16.11.</t>
  </si>
  <si>
    <t>BME-3801-148-2025</t>
  </si>
  <si>
    <t>C3EXT-1931</t>
  </si>
  <si>
    <t>SUMINISTRO, CARGA, ACARREO, DESCARGA Y PUESTA EN SITIO COSTA FUERA DE ESPÁRRAGO DE 1 1/8" DE DIÁMETRO X 8 1/4" DE LONGITUD, DE ACERO AL CARBONO CON RECUBRIMIENTO CADMINIZADO, TIPO II, CLASE 25, ESPECIFICACIÓN ASTM A193, GRADO B7, CON 02 TUERCAS HEXAGONALES, ESPECIFICACIÓN ASTM A-194, GRADO 2H.</t>
  </si>
  <si>
    <t>C3EXT-1932</t>
  </si>
  <si>
    <t>SUMINISTRO, CARGA, ACARREO, DESCARGA Y PUESTA EN SITIO COSTA FUERA DE ESPÁRRAGO DE 1 1/8" DE DIÁMETRO X 11" DE LONGITUD, DE ACERO AL CARBONO CON RECUBRIMIENTO CADMINIZADO, TIPO: II, CLASE 25, ESPECIFICACIÓN ASTM A-193, GRADO B7, CON 02 TUERCAS HEXAGONALES, ESPECIFICACIÓN ASTM: A-194, GRADO 2H.</t>
  </si>
  <si>
    <t>C3EXT-1933</t>
  </si>
  <si>
    <t>SUMINISTRO, CARGA, ACARREO, DESCARGA Y PUESTA EN SITIO COSTA FUERA DE EMPAQUE ESPIRO-METALICO DE 8" DE DIÁMETRO CLASE 600, DE 3.2 MM. (1/8 PULG.) DE ESPESOR, CON ANILLOS METALICOS CENTRADOR (EXTERIOR) Y DE RESPALDO (INTERIOR), RELLENO DE GRAFITO FLEXIBLE, ENROLLAMIENTO Y ANILLOS DE ACERO INOXIDABLE TIPO 304 ASME B16.20 PARA BRIDAS ASME B16.5</t>
  </si>
  <si>
    <t>C3EXT-1934</t>
  </si>
  <si>
    <t>SUMINISTRO, CARGA, ACARREO, DESCARGA Y PUESTA EN SITIO COSTA FUERA DE CABLE MULTICONDUCTOR PARA USO RUDO 4 X 10 AWG, CON AISLAMIENTO DE EP-FR TIPO RHH-RHW-2, CT-SR RoHS 90 °C, 600V CONDUCTOR DE COBRE Y CUBIERTA EXTERIOR DE PVC.</t>
  </si>
  <si>
    <t>BME-3801-151-2025</t>
  </si>
  <si>
    <t>C3EXT-1935</t>
  </si>
  <si>
    <t>SUMINISTRO, CARGA, ACARREO, DESCARGA Y PUESTA EN SITIO COSTA FUERA DE CABLE MULTICONDUCTOR PARA USO RUDO DE 3 X 3/0 AWG CON AISLAMIENTO COMBINADO DE EP-CPE TIPO RHH/RHW 90 °C 600V CONDUCTORES DE COBRE, CON CONDUCTOR DE PUESTA A TIERRA Y CUBIERTA EXTERIOR DE PVC.</t>
  </si>
  <si>
    <t>C3EXT-1936</t>
  </si>
  <si>
    <t>SUMINISTRO, CARGA, ACARREO, DESCARGA Y PUESTA EN SITIO COSTA FUERA DE CABLE MULTICONDUCTOR PARA USO RUDO 3 X 4 AWG, CON AISLAMIENTO COMBINADO DE EP-CPE TIPO RHH/RHW 90 °C, 600V CONDUCTORES DE COBRE, CON CONDUCTOR DE PUESTA A TIERRA Y CUBIERTA EXTERIOR DE PVC.</t>
  </si>
  <si>
    <t>C3EXT-1937</t>
  </si>
  <si>
    <t>SUMINISTRO, CARGA, ACARREO, DESCARGA Y PUESTA EN SITIO COSTA FUERA DE CABLE MULTICONDUCTOR PARA USO RUDO 7 HILOS CALIBRE 14 (7X14 AWG) CON AISLAMIENTO COMBINADO DE EP-CPE TIPO RHH/RHW 90 °C, 600V CONDUCTORES DE COBRE, CON CONDUCTOR DE PUESTA A TIERRA Y CUBIERTA EXTERIOR DE PVC.</t>
  </si>
  <si>
    <t>C3EXT-1938</t>
  </si>
  <si>
    <t>SUMINISTRO, CARGA, ACARREO, DESCARGA Y PUESTA EN SITIO COSTA FUERA DE CONECTOR DE COBRE ELECTROLITICO, A TOPE PONCHABLE BARRIL LARGO PARA CABLE CALIBRE 4 AWG.</t>
  </si>
  <si>
    <t>C3EXT-1939</t>
  </si>
  <si>
    <t>SUMINISTRO, CARGA, ACARREO, DESCARGA Y PUESTA EN SITIO COSTA FUERA DE ZAPATA TERMINAL PONCHABLE DE COBRE ELECTROLITICO PARA CABLE CALIBRE 3/0 AWG CON OJILLO 1/2" DE DIÁMETRO.</t>
  </si>
  <si>
    <t>C3EXT-1940</t>
  </si>
  <si>
    <t>SUMINISTRO, CARGA, ACARREO, DESCARGA Y PUESTA EN SITIO COSTA FUERA DE ZAPATA TERMINAL DE COBRE ELECTROLITICO PARA CABLE CALIBRE 14 AWG, DE OJILLO DE 3/8" DE DIÁMETRO.</t>
  </si>
  <si>
    <t>C3EXT-1941</t>
  </si>
  <si>
    <t>SISTEMA INTEGRAL SUMINISTRO DE ENERGÍA ELECTRICA TEMPORAL PARA LAS ACTIVIDADES RELACIONADAS CON EL RETIRO DEL CANTILIVER DE LA PAE GOIMAR-1 CON CAPACIDAD MÍNIMA DE 626 KVA / 500 KW EN ESPERA, 569 KVA / 455 KW EN OPERACIÓN, VOLTAJES DISPONIBLES 120/208, 277/480, 120/240 VOLT, INCLUYE: GENERADOR PRINCIPAL Y GENERADOR DE RESPALDO, 01 TABLERO DE TRANSFERENCIA DE USO MANUAL CON 02 INTERRUPTORES CON CAPACIDAD MÍNIMA DE 800 AMPERES, PERSONAL TÉCNICO ESPECIALIZADO, CARGA Y ACARREO DESDE SU LUGAR DE ORIGEN AL MUELLE DE EMBARQUE Y DESEMBARQUE.</t>
  </si>
  <si>
    <t>C3EXT-1942</t>
  </si>
  <si>
    <t>SUMINISTRO, CARGA, ACARREO, DESCARGA Y PUESTA EN SITIO COSTA FUERA DE SOLVENTE DIELECTRICO. MARCA: QUIMIKLEAN.</t>
  </si>
  <si>
    <t>LT</t>
  </si>
  <si>
    <t>C3EXT-1943</t>
  </si>
  <si>
    <t>SUMINISTRO, CARGA, ACARREO, DESCARGA Y PUESTA EN SITIO COSTA FUERA DE RESISTENCIA CALEFACTORA DE CARTUCHO DE 220 V, 250 W/10 MM, ACERO INOXIDABLE, NOMBRE DEL PRODUCTO: CALENTADOR DE CARTUCHO/CALENTADOR DE AIRE/ELEMENTO CALEFACTOR TUBULAR/ELEMENTO CALEFACTOR DE 220 V/CALENTADOR DE CARTUCHO DE 220 V MATERIAL DEL TUBO: SUS201, MARCA ‎TRIFUNESS MODELO ‎OEHAAGHEQ-250W10X100MM</t>
  </si>
  <si>
    <t>C3EXT-1944</t>
  </si>
  <si>
    <t>SUMINISTRO, CARGA, ACARREO, DESCARGA Y PUESTA EN SITIO COSTA FUERA DE LOSETA VITRIFICADA DE 33 X 33 CM. EN PISOS (ANTIDERRAPANTE), MARCA PORCELANITE Y/O EQUIVALENTE, ASENTADO CON MORTERO DE PEGAZULEJO Y CEMENTO BLANCO.</t>
  </si>
  <si>
    <t>BME-3801-076-2025</t>
  </si>
  <si>
    <t>C3EXT-1945</t>
  </si>
  <si>
    <t>TALLERES EN KU-A/HABITACIONAL</t>
  </si>
  <si>
    <t>SUMINISTRO, CARGA, ACARREO, DESCARGA Y PUESTA EN SITIO COSTA FUERA DE PANEL MARCA PALEFA Y/O EQUIVALENTE PARA MURO FTG 50 B15 (MACHIHEMBRADO) TIPO SANDWICH DE 50 MM DE GROSOR, GRADO MARINO, CON CARAS EXTERIORES DE CHAPA DE ACERO GALVANIZADO DE 0.70 MM DE ESPESOR, RECUBIERTAS CON UNA CAPA DECORATIVA DE PVC.</t>
  </si>
  <si>
    <t>C3EXT-1946</t>
  </si>
  <si>
    <t>SUMINISTRO, CARGA, ACARREO, DESCARGA Y PUESTA EN SITIO COSTA FUERA DE PLAFOND MINERAL EN PLACAS DE 61 X 61 MARCA EUROSTONE Y/O EQUIVALENTE RESISTENTE AL FUEGO. INCLUYE: SISTEMA DE SUSPENSIÓN, ESTRUCTURA DE SOPORTE, NIVELACIÓN Y AJUSTE DE LOS SOPORTES Y ELEMENTOS DE SUJECIÓN.</t>
  </si>
  <si>
    <t>C3EXT-1947</t>
  </si>
  <si>
    <t>SUMINISTRO, CARGA, ACARREO, DESCARGA Y PUESTA EN SITIO COSTA FUERA DE MANTO IMPERMEABLE PREFABRICADO (COMPUESTO ASFALTICO) CON REFUERZO DE MALLA FLEXIBLE DE FIBRAS SINTÉTICAS DE POLIÉSTER Y ACABADO GRAVILLA.</t>
  </si>
  <si>
    <t>C3EXT-1948</t>
  </si>
  <si>
    <t>SUMINISTRO, CARGA, ACARREO, DESCARGA Y PUESTA EN SITIO COSTA FUERA DE PUERTA ESTÁNDAR REFORZADA DE 1.00 (± 10 CM) X 2.10 M. ( ± 20 CM), FABRICADA EN LÁMINA GALVANIZADA BONDERIZADA (L.G.B.) CALIBRE 18. INCLUYE: MARCO L.G.B. CALIBRE 16, HERRAJES, BISAGRAS, EMPAQUE ANTIRUIDO, SARDINEL DE ALUMINIO CON EMPAQUE, BOTAGUAS INFERIOR, PROTECTOR DE MANOS Y PIES, CON PROTECCIÓN ANTICORROSIVA DE ACUERDO A NORMATIVIDAD. RETARDANTE AL FUEGO HASTA 750 °C, MARCA DOORLOCK Y/O EQUIVALENTE.</t>
  </si>
  <si>
    <t>C3EXT-1949</t>
  </si>
  <si>
    <t>SUMINISTRO, CARGA, ACARREO, DESCARGA Y PUESTA EN SITIO COSTA FUERA DE PUERTA ESTÁNDAR REFORZADA DE 1.00 (± 10 CM) X 2.10 M. ( ± 20 CM). FABRICADA EN LÁMINA GALVANIZADA BONDERIZADA (L.G.B.) CALIBRE 18. INCLUYE: MARCO L.G.B. CALIBRE 16 de 2" DE ANCHO, HERRAJES, VENTANILLA DE 30 X 30 CM CON MARCO L.G.B. VIDRIO DE 6MM TEMPLADO, BISAGRAS, EMPAQUE ANTIRUIDO, SARDINEL DE ALUMINIO CON EMPAQUE, BOTAGUAS INFERIOR Y PROTECTOR DE MANOS Y PIES, CON PROTECCIÓN ANTICORROSIVA DE ACUEDO A NORMATIVIDAD. RETARDANTE AL FUEGO HASTA 750 °C, MARCA DOORLOCK Y/O EQUIVALENTE.</t>
  </si>
  <si>
    <t>C3EXT-1950</t>
  </si>
  <si>
    <t xml:space="preserve">SUMINISTRO, CARGA, ACARREO, DESCARGA Y PUESTA EN SITIO COSTA FUERA DE VENTANA DE ALUMINIO ANODIZADO NATURAL DE 1.0 M X 0.75 M CON PERFILES DE 2" Y CRISTAL INASTILLABLE DE 6 MM. DE ESPESOR. </t>
  </si>
  <si>
    <t>C3EXT-1951</t>
  </si>
  <si>
    <t xml:space="preserve">SUMINISTRO, CARGA, ACARREO, DESCARGA Y PUESTA EN SITIO COSTA FUERA DE VENTANA DE ALUMINIO ANODIZADO NATURAL DE 0.99 M X 0.76 M CON PERFILES DE 2" Y CRISTAL INASTILLABLE DE 6 MM. DE ESPESOR. </t>
  </si>
  <si>
    <t>C3EXT-1952</t>
  </si>
  <si>
    <t xml:space="preserve">SUMINISTRO, CARGA, ACARREO, DESCARGA Y PUESTA EN SITIO COSTA FUERA DE VENTANA DE ALUMINIO ANODIZADO NATURALDE 0.99 M X 0.99 M CON PERFILES DE 2" Y CRISTAL INASTILLABLE DE 6 MM. DE ESPESOR. </t>
  </si>
  <si>
    <t>C3EXT-1953</t>
  </si>
  <si>
    <t xml:space="preserve">SUMINISTRO, CARGA, ACARREO, DESCARGA Y PUESTA EN SITIO COSTA FUERA DE VENTANA DE ALUMINIO ANODIZADO NATURALDE 0.58 M X 0.74 M CON PERFILES DE 2" Y CRISTAL INASTILLABLE DE 6 MM. DE ESPESOR. </t>
  </si>
  <si>
    <t>C3EXT-1954</t>
  </si>
  <si>
    <t>INSPECTOR DE GARANTIA MARINA (WARRANTY SURVEYOR Ó INSPECTOR MARINO)</t>
  </si>
  <si>
    <t>C4EXT-0001</t>
  </si>
  <si>
    <t>SUPERVISOR TÉCNICO PARA OPERACIÓN DE EQUIPOS HIDRAULICOS ESPECIALIZADOS PARA TRABAJOS DE SALVATAJE.</t>
  </si>
  <si>
    <t>C4EXT-0003</t>
  </si>
  <si>
    <t>SUPERVISOR TÉCNICO PARA OPERACIÓN DE EQUIPOS HIDRAULICOS ESPECIALIZADOS PARA TRABAJOS DE SALVATAJE. EN STAND BY</t>
  </si>
  <si>
    <t>C4EXT-0004</t>
  </si>
  <si>
    <t>TÉCNICO OPERADOR DE EQUIPOS HIDRAULICOS ESPECIALIZADOS PARA  TRABAJOS DE SALVATAJE.</t>
  </si>
  <si>
    <t>C4EXT-0005</t>
  </si>
  <si>
    <t>TÉCNICO OPERADOR DE EQUIPOS HIDRAULICOS ESPECIALIZADOS PARA  TRABAJOS DE SALVATAJE. EN STAND BY</t>
  </si>
  <si>
    <t>C4EXT-0006</t>
  </si>
  <si>
    <t>TECNICO OPERADOR DE MAGNETO DE 60 TON. PARA SALVATAJE DE ESTRUCTURAS Y TUBERIAS METALICAS.</t>
  </si>
  <si>
    <t>C4EXT-0007</t>
  </si>
  <si>
    <t>TECNICO OPERADOR DE MAGNETO DE 60 TON. PARA SALVATAJE DE ESTRUCTURAS Y TUBERIAS METALICAS. EN STAND BY</t>
  </si>
  <si>
    <t>C4EXT-0008</t>
  </si>
  <si>
    <t>TECNICO OPERADOR DE GARRA HIDRAULICA PARA SALVATAJE DE TUBERIAS.</t>
  </si>
  <si>
    <t>C4EXT-0009</t>
  </si>
  <si>
    <t>TECNICO OPERADOR DE GARRA HIDRAULICA PARA SALVATAJE DE TUBERIAS. EN STAND BY</t>
  </si>
  <si>
    <t>C4EXT-0010</t>
  </si>
  <si>
    <t>TECNICO OPERADOR DE CORTADOR INTERNO HIDRAULICO Y SUJETADOR (HIC) DE PILOTES / PIERNA DE SUBESTRUCTURA PARA SALVATAJE DE ESTRUCTURAS SUBMARINAS.</t>
  </si>
  <si>
    <t>C4EXT-0011</t>
  </si>
  <si>
    <t>TECNICO OPERADOR DE CORTADOR INTERNO HIDRAULICO Y SUJETADOR (HIC) DE PILOTES / PIERNA DE SUBESTRUCTURA PARA SALVATAJE DE ESTRUCTURAS SUBMARINAS. EN STAND BY</t>
  </si>
  <si>
    <t>C4EXT-0012</t>
  </si>
  <si>
    <t>INGENIERO ESPECIALISTA SENIOR PARA ELABORACION DE INGENIERIA DE SALVATAJE</t>
  </si>
  <si>
    <t>C4EXT-0013</t>
  </si>
  <si>
    <t>INGENIERO ESPECIALISTA "A" PARA ELABORACION DE INGENIERIA DE SALVATAJE</t>
  </si>
  <si>
    <t>C4EXT-0014</t>
  </si>
  <si>
    <t>CERTIFICACION DE LA ELABORACIÓN DE INGENIERIA DE DETALLE PARA SALVATAJE DE ESTRUCTURAS, MEDIANTE SECCIONAMIENTO Y UTILIZACION DE EQUIPO ESPECIALIZADO DE SUPERESTRUCTURA Y SUBESTRUCTURA (DECK).</t>
  </si>
  <si>
    <t>C4EXT-0015</t>
  </si>
  <si>
    <t>INGENIERO ESPECIALISTA SENIOR PARA ASISTENCIA COSTA FUERA DURANTE EL SALVATAJE</t>
  </si>
  <si>
    <t>C4EXT-0016</t>
  </si>
  <si>
    <t>INGENIERO ESPECIALISTA "A" PARA ASISTENCIA COSTA FUERA DURANTE EL SALVATAJE</t>
  </si>
  <si>
    <t>C4EXT-0017</t>
  </si>
  <si>
    <t>PERSONAL ESPECILIZADO PARA OPERACION DE CORTADOR HIDRAULICA DE COMPUERTA, CORTADORA DE CIZALLA, CORTADOR DE HILO DIAMANTADO Y SISTEMA DE BARRENADO. EN OPERACIÓN.</t>
  </si>
  <si>
    <t>C4EXT-0018</t>
  </si>
  <si>
    <t>PERSONAL ESPECILIZADO PARA OPERACION DE CORTADOR HIDRAULICA DE COMPUERTA, CORTADORA DE CIZALLA, CORTADOR DE HILO DIAMANTADO Y SISTEMA DE BARRENADO. EN STAND BY.</t>
  </si>
  <si>
    <t>C4EXT-0019</t>
  </si>
  <si>
    <t>MOVILIZACION DE PERSONAL PARA OPERACIÓN DE CORTADOR HIDRAULICA DE COMPUERTA, CORTADORA DE CIZALLA, CORTADOR DE HILO DIAMANTADO Y SISTEMA DE BARRENADO.</t>
  </si>
  <si>
    <t>C4EXT-0020</t>
  </si>
  <si>
    <t>DESMOVILIZACION DE PERSONAL PARA OPERACIÓN DE CORTADOR HIDRAULICA DE COMPUERTA, CORTADORA DE CIZALLA, CORTADOR DE HILO DIAMANTADO Y SISTEMA DE BARRENADO.</t>
  </si>
  <si>
    <t>C4EXT-0021</t>
  </si>
  <si>
    <t>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</si>
  <si>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 MARCA IFC, MODELO DR600.</t>
  </si>
  <si>
    <t>C3EXT-0351</t>
  </si>
  <si>
    <t>7C-008</t>
  </si>
  <si>
    <t>SUMINISTRO, PRUEBA HIDROSTÁTICA, CARGA, ACARREO, DESCARGA Y PUESTA EN SITIO COSTA FUERA DE VÁLVULA DE GLOBO DE 2" DE DIAMETRO CLASE 300# EXTREMOS ROSCADOS, CUERPO ASTM A-350 GR.LF2 Ó ASTM A105, TIPO W5520.</t>
  </si>
  <si>
    <t>C3EXT-0352</t>
  </si>
  <si>
    <t>SUPERVISOR TÉCNICO NIVEL III EN SISTEMA ROPE ACCESS ONSHORE</t>
  </si>
  <si>
    <t>C4EXT-0024</t>
  </si>
  <si>
    <t>TECNICO ESPECIALISTA ROPE-ACCESS NIVEL 2 ONSHORE</t>
  </si>
  <si>
    <t>C4EXT-0025</t>
  </si>
  <si>
    <t>TECNICO ESPECIALISTA ROPE-ACCESS NIVEL 3 ONSHORE</t>
  </si>
  <si>
    <t>C4EXT-0026</t>
  </si>
  <si>
    <t>SOBRESTANTE (TIERRA).</t>
  </si>
  <si>
    <t>C4EXT-0027</t>
  </si>
  <si>
    <t>ENCARGADO DE SEGURIDAD Y PROTECCIÓN AMBIENTAL (TIERRA).</t>
  </si>
  <si>
    <t>C4EXT-0028</t>
  </si>
  <si>
    <t>AYUDANTE DE SEGURIDAD INDUSTRIAL Y CONTRA INCENDIO (TIERRA).</t>
  </si>
  <si>
    <t>C4EXT-0029</t>
  </si>
  <si>
    <t>GRILLETE DE ACERO PARA 300 TON</t>
  </si>
  <si>
    <t>C5EXT-0001</t>
  </si>
  <si>
    <t>MODULOS</t>
  </si>
  <si>
    <t>GRILLETE DE ACERO PARA 500 TON</t>
  </si>
  <si>
    <t>C5EXT-0002</t>
  </si>
  <si>
    <t>EMBARCACION PARA BUCEO DE SATURACION</t>
  </si>
  <si>
    <t>C5EXT-0003</t>
  </si>
  <si>
    <t>GRUA DE 500 TONELADAS (INCLUYE OPERADOR, ESTROBOS, GRILLETES) (EN TIERRA)</t>
  </si>
  <si>
    <t>C5EXT-0004</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</si>
  <si>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</si>
  <si>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C5EXT-0006</t>
  </si>
  <si>
    <t>MOVILIZACION, ARMADO, ENSAMBLE DE EQUIPOS SOBRE EMBARCACIÓN PARA LA REALIZACIÓN DE MAPEO DE FONDO MARINO MEDIANTE LEVANTAMIENTO GEOFISICO PARA DETECTAR AFLORAMIENTO DE ROCAS, OBSTRUCCIONES Y OBTENER TOPOGRAFIA DEL FONDO MARINO PARA DETERMINAR LAS OQUEDADES O DESNIVELES EXISTENTE. INCLUYE: PERSONAL ESPECIALIZADO.</t>
  </si>
  <si>
    <t>C5EXT-0008</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</si>
  <si>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</si>
  <si>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C5EXT-0009</t>
  </si>
  <si>
    <t>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</si>
  <si>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 MARCA SMITH, FIG. G150YSOGW.</t>
  </si>
  <si>
    <t>C3EXT-0353</t>
  </si>
  <si>
    <t>GENERADOR ELECTRICO CON CAPACIDAD DE 400 KVA (60 Hz, 440v), CON TRES TOMAS DE ENERGIA CON CAPACIDAD DE 125 KVA, 440v 60 Hz CADA UNA DE ELLAS, DOS TOMAS DE ENERGIA CON CAPACIDAD DE 3.5 KVA (50 Hz, 230-110 v).</t>
  </si>
  <si>
    <t>C5EXT-0013</t>
  </si>
  <si>
    <t>EQUIPO Y PERSONAL ESPECIALIZADO PARA PREPARACIÓN Y BOMBEO DE INYECCIÓN DE GROUT, EN ESPERA.</t>
  </si>
  <si>
    <t>C5EXT-0014</t>
  </si>
  <si>
    <t>MOVILIZACION, ARMADO, 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</si>
  <si>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C5EXT-0016</t>
  </si>
  <si>
    <t>DESMOVILIZACION DESENSAMBLE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</si>
  <si>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C5EXT-0017</t>
  </si>
  <si>
    <t>C5EXT-0018</t>
  </si>
  <si>
    <t>C5EXT-0019</t>
  </si>
  <si>
    <t>MAPEO DE FONDO MARINO MEDIANTE LEVANTAMIENTO GEOFISICO PARA DETECTAR AFLORAMIENTO DE ROCAS, OBSTRUCCIONES Y OBTENER TOPOGRAFIA DEL FONDO MARINO PARA DETERMINAR LAS OQUEDADES O DESNIVELES EXISTENTE. INCLUYE: PERSONAL ESPECIALIZADO, EQUIPO CALIBRADO Y REPORTE DE LAS ACTIVIDADES.</t>
  </si>
  <si>
    <t>C5EXT-0020</t>
  </si>
  <si>
    <t>MOVILIZACIÓN DE EQUIPO ECHOSCOPE  Y PERSONAL ESPECIALIZADO DESDE SU SITIO DE ORIGEN AL SITIO DE EMBARQUE, INCLUYE: ARMADO, ENSAMBLE DE EQUIPOS SOBRE EMBARCACIÓN.</t>
  </si>
  <si>
    <t>C5EXT-0021</t>
  </si>
  <si>
    <t>EQUIPO ECHOSCOPE. INCLUYE: PERSONAL ESPECIALIZADO, EQUIPO CON SOFTWARE PARA PROCESAMIENTO DE REPORTE, ACCESORIOS  DE MONTAJE Y CONTENEDOR DE RESGUARDO DE EQUIPOS. EN OPERACIÓN.</t>
  </si>
  <si>
    <t>C5EXT-0022</t>
  </si>
  <si>
    <t>DESMOVILIZACION DE EQUIPO ECHOSCOPE  Y PERSONAL ESPECIALIZADO DESDE SITIO DE DESEMBARQUE AL SITIO DE ORIGEN ,  INCLUYE DESARMADO, DESENSAMBLE DE EQUIPOS SOBRE EMBARCACIÓN.</t>
  </si>
  <si>
    <t>C5EXT-0023</t>
  </si>
  <si>
    <t>GIROCOMPAS CON SENSOR DE MOVIMIENTO, PARA MEDICIÓN DE GIRO, PITCH Y ROLL CON PRECISIÓN SURVEY. INCLUYE PERSONAL ESPECIALIZADO (EN ESPERA)</t>
  </si>
  <si>
    <t>C5EXT-0024</t>
  </si>
  <si>
    <t>EQUIPO Y PERSONAL ESPECIALIZADO PARA MAPEO DE FONDO MARINO MEDIANTE LEVANTAMIENTO GEOFISICO PARA DETECTAR AFLORAMIENTO DE ROCAS, OBSTRUCCIONES Y OBTENER TOPOGRAFÍA DEL FONDO MARINO PARA DETERMINAR LAS OQUEDADES O DESNIVELES EXISTENTE. POR CONDICIONES CLIMATOLOGICAS ADVERSAS Y/U OBSTRUCCIONES</t>
  </si>
  <si>
    <t>C5EXT-0025</t>
  </si>
  <si>
    <t>CORTADORA DE MORDAZA HIDRAULICA DE 1950 TE DE FUERZA Y APERTURA  DE 1118MM, CAPAZ DE REALIZAR CORTES RAPIDOS Y EFICIENTES DE CHATARRA DE DIVERSOS GRADOS DE ACERO. EN OPERACIÓN</t>
  </si>
  <si>
    <t>C5EXT-0026</t>
  </si>
  <si>
    <t>CORTADORA DE MORDAZA HIDRAULICA DE 1950 TE DE FUERZA Y APERTURA  DE 1118MM, CAPAZ DE REALIZAR CORTES RAPIDOS Y EFICIENTES DE CHATARRA DE DIVERSOS GRADOS DE ACERO. EN STAND BY</t>
  </si>
  <si>
    <t>C5EXT-0027</t>
  </si>
  <si>
    <t>CORTADORA DE MORDAZA HIDRAULICA DE 1950 TE DE FUERZA Y APERTURA  DE 1118MM, CAPAZ DE REALIZAR CORTES RAPIDOS Y EFICIENTES DE CHATARRA DE DIVERSOS GRADOS DE ACERO. EN TRANSITO</t>
  </si>
  <si>
    <t>C5EXT-0028</t>
  </si>
  <si>
    <t>GARRA HIDRAULICA UNIVERSAL DE 5 UÑAS CON 11.6 kN DE FUERZA, PESO DE 140 KG, CAPACIDAD DE 0.20 M3 Y 12 TON, INTERFAZ BUZO/ROV EQUIPADA CON ASAS REDONDAS Y FRENO HIDRAULICO DE SEGURIDAD. EN OPERACIÓN</t>
  </si>
  <si>
    <t>C5EXT-0029</t>
  </si>
  <si>
    <t>GARRA HIDRAULICA UNIVERSAL DE 5 UÑAS CON 11.6 kN DE FUERZA, PESO DE 140 KG, CAPACIDAD DE 0.20 M3 Y 12 TON, INTERFAZ BUZO/ROV EQUIPADA CON ASAS REDONDAS Y FRENO HIDRAULICO DE SEGURIDAD. EN STAND BY</t>
  </si>
  <si>
    <t>C5EXT-0030</t>
  </si>
  <si>
    <t>GARRA HIDRAULICA UNIVERSAL DE 5 UÑAS CON 11.6 kN DE FUERZA, PESO DE 140 KG, CAPACIDAD DE 0.20 M3 Y 12 TON, INTERFAZ BUZO/ROV EQUIPADA CON ASAS REDONDAS Y FRENO HIDRAULICO DE SEGURIDAD. EN TRANSITO</t>
  </si>
  <si>
    <t>C5EXT-0031</t>
  </si>
  <si>
    <t>GARRA HIDRAULICA OP PAQUETE SOBRECUBIERTA, EQUIPADO CON GRILLETE 85TE, 5 UÑAS, CAPACIDAD DE 6 M3, CARGA UTIL 69,600 KG. EN OPERACIÓN</t>
  </si>
  <si>
    <t>C5EXT-0032</t>
  </si>
  <si>
    <t>GARRA HIDRAULICA OP PAQUETE SOBRECUBIERTA, EQUIPADO CON GRILLETE 85TE, 5 UÑAS, CAPACIDAD DE 6 M3, CARGA UTIL 69,600 KG. EN STAND BY</t>
  </si>
  <si>
    <t>C5EXT-0033</t>
  </si>
  <si>
    <t>GARRA HIDRAULICA OP PAQUETE SOBRECUBIERTA, EQUIPADO CON GRILLETE 85TE, 5 UÑAS, CAPACIDAD DE 6 M3, CARGA UTIL 69,600 KG. EN TRANSITO</t>
  </si>
  <si>
    <t>C5EXT-0034</t>
  </si>
  <si>
    <t>UNIDAD DE POTENCIA HIDRAULICA (HPU) MOTOR ELECTRICO DE 75 KW 440 V, CON BOMBA DE DESPLAZAMIENTO DE 200 L/MIN, ENFRIADA POR AGUA DE MAR, APTA PARA USO EN EMBARCACIONES/ZONAS SEGURAS, INCLUYE MANGUERAS Y CONEXIONES. EN OPERACIÓN</t>
  </si>
  <si>
    <t>C5EXT-0035</t>
  </si>
  <si>
    <t>UNIDAD DE POTENCIA HIDRAULICA (HPU) MOTOR ELECTRICO DE 75 KW 440 V, CON BOMBA DE DESPLAZAMIENTO DE 200 L/MIN, ENFRIADA POR AGUA DE MAR, APTA PARA USO EN EMBARCACIONES/ZONAS SEGURAS, INCLUYE MANGUERAS Y CONEXIONES. EN STAND BY</t>
  </si>
  <si>
    <t>C5EXT-0036</t>
  </si>
  <si>
    <t>UNIDAD DE POTENCIA HIDRAULICA (HPU) MOTOR ELECTRICO DE 75 KW 440 V, CON BOMBA DE DESPLAZAMIENTO DE 200 L/MIN, ENFRIADA POR AGUA DE MAR, APTA PARA USO EN EMBARCACIONES/ZONAS SEGURAS, INCLUYE MANGUERAS Y CONEXIONES. EN TRANSITO</t>
  </si>
  <si>
    <t>C5EXT-0037</t>
  </si>
  <si>
    <t>CORTADORA DE HILO DIAMANTADO DE 60", INCLUYE KIT DE HERRAMIENTAS Y PARTES DE REPUESTO, PAQUETE HIDRAULICO PARA USO EN SUPERFICIE O SUBMARINO. EN OPERACIÓN</t>
  </si>
  <si>
    <t>C5EXT-0038</t>
  </si>
  <si>
    <t>CORTADORA DE HILO DIAMANTADO DE 60", INCLUYE KIT DE HERRAMIENTAS Y PARTES DE REPUESTO, PAQUETE HIDRAULICO PARA USO EN SUPERFICIE O SUBMARINO. EN STAND BY</t>
  </si>
  <si>
    <t>C5EXT-0039</t>
  </si>
  <si>
    <t>CORTADORA DE HILO DIAMANTADO DE 60", INCLUYE KIT DE HERRAMIENTAS Y PARTES DE REPUESTO, PAQUETE HIDRAULICO PARA USO EN SUPERFICIE O SUBMARINO. EN TRANSITO</t>
  </si>
  <si>
    <t>C5EXT-0040</t>
  </si>
  <si>
    <t>MOVILIZACION DE LOS EQUIPOS HIDRAULICOS ESPECIALIZADOS PARA DE CORTE, GARRAS DE RECUPERACION DE MATERIALES Y HPU ELECTRICA, PARA SALVATAJE DE ESTRUCTURAS MARINAS.</t>
  </si>
  <si>
    <t>C5EXT-0041</t>
  </si>
  <si>
    <t>DESMOVILIZACION DE LOS EQUIPOS HIDRAULICOS ESPECIALIZADOS PARA DE CORTE, GARRAS DE RECUPERACION DE MATERIALES Y HPU ELECTRICA, PARA SALVATAJE DE ESTRUCTURAS MARINAS.</t>
  </si>
  <si>
    <t>C5EXT-0042</t>
  </si>
  <si>
    <t>SERVICIO MONITOREO DE MOVIMIENTO DE ESTRUCTURAS MARINAS, INCLUYE: SENSORES ESPECIALIZADOS, CABLEADOS Y TECNICO ESPECIALISTA. EQUIPO EN OPERACIÓN.</t>
  </si>
  <si>
    <t>C5EXT-0043</t>
  </si>
  <si>
    <t>SERVICIO MONITOREO DE MOVIMIENTO DE ESTRUCTURAS MARINAS, INCLUYE: SENSORES ESPECIALIZADOS, CABLEADOS Y TECNICO ESPECIALISTA. EQUIPO EN TRANSITO.</t>
  </si>
  <si>
    <t>C5EXT-0044</t>
  </si>
  <si>
    <t>MAGNETO INDUSTRIAL DE 60 TON. DE CAPACIDAD DE IZAJE, PARA SALVATAJE DE ESTRUCTURAS Y TUBERIAS METALICAS. EN OPERACIÓN</t>
  </si>
  <si>
    <t>C5EXT-0045</t>
  </si>
  <si>
    <t>MAGNETO INDUSTRIAL DE 60 TON. DE CAPACIDAD DE IZAJE, PARA SALVATAJE DE ESTRUCTURAS Y TUBERIAS METALICAS. EN STAND BY</t>
  </si>
  <si>
    <t>C5EXT-0046</t>
  </si>
  <si>
    <t>MAGNETO INDUSTRIAL DE 60 TON. DE CAPACIDAD DE IZAJE, PARA SALVATAJE DE ESTRUCTURAS Y TUBERIAS METALICAS. EN TRANSITO</t>
  </si>
  <si>
    <t>C5EXT-0047</t>
  </si>
  <si>
    <t>GARRA HIDRAULICA PARA SALVATAJE DE TUBERIAS HASTA 36". EN OPERACIÓN</t>
  </si>
  <si>
    <t>C5EXT-0048</t>
  </si>
  <si>
    <t>GARRA HIDRAULICA PARA SALVATAJE DE TUBERIAS HASTA 36". EN STAND BY</t>
  </si>
  <si>
    <t>C5EXT-0049</t>
  </si>
  <si>
    <t>GARRA HIDRAULICA PARA SALVATAJE DE TUBERIAS HASTA 36". EN TRANSITO</t>
  </si>
  <si>
    <t>C5EXT-0050</t>
  </si>
  <si>
    <t>UNIDAD DE POTENCIA HIDRAULICA (HPU) MOTOR ELECTRICO DE 112 KW 440 V, CON BOMBA DE DESPLAZAMIENTO DE 270 L/MIN, ENFRIADA POR AGUA DE MAR, APTA PARA USO EN EMBARCACIONES/ZONAS SEGURAS, INCLUYE MANGUERAS Y CONEXIONES. EN OPERACIÓN</t>
  </si>
  <si>
    <t>C5EXT-0051</t>
  </si>
  <si>
    <t>UNIDAD DE POTENCIA HIDRAULICA (HPU) MOTOR ELECTRICO DE 112 KW 440 V, CON BOMBA DE DESPLAZAMIENTO DE 270 L/MIN, ENFRIADA POR AGUA DE MAR, APTA PARA USO EN EMBARCACIONES/ZONAS SEGURAS, INCLUYE MANGUERAS Y CONEXIONES. EN STAND BY</t>
  </si>
  <si>
    <t>C5EXT-0052</t>
  </si>
  <si>
    <t>UNIDAD DE POTENCIA HIDRAULICA (HPU) MOTOR ELECTRICO DE 112 KW 440 V, CON BOMBA DE DESPLAZAMIENTO DE 270 L/MIN, ENFRIADA POR AGUA DE MAR, APTA PARA USO EN EMBARCACIONES/ZONAS SEGURAS, INCLUYE MANGUERAS Y CONEXIONES. EN TRANSITO</t>
  </si>
  <si>
    <t>C5EXT-0053</t>
  </si>
  <si>
    <t>CARRETE DE MANGUERAS Y ACCESORIOS PARA INTERCONEXION DE HPU Y EQUIPOS HIDRAULICOS EN OPERACIÓN</t>
  </si>
  <si>
    <t>C5EXT-0054</t>
  </si>
  <si>
    <t>CARRETE DE MANGUERAS Y ACCESORIOS PARA INTERCONEXION DE HPU Y EQUIPOS HIDRAULICOS EN STAND BY</t>
  </si>
  <si>
    <t>C5EXT-0055</t>
  </si>
  <si>
    <t>CARRETE DE MANGUERAS Y ACCESORIOS PARA INTERCONEXION DE HPU Y EQUIPOS HIDRAULICOS EN TRANSITO</t>
  </si>
  <si>
    <t>C5EXT-0056</t>
  </si>
  <si>
    <t>EQUIPO DE CORTE INTERNO PARA PILOTES Y PIERNAS  CEMENTADA DE SUBESTRUCTURA CON TECNOLOGIA ABRASIVE WATER JET A 1000 BAR, OPERADO REMOTAMENTE PARA MULTIPLES CORTES CONCENTRICOS O EXCENTRICOS, INCLUYE ARREGLO DE IZAJE Y TODO LO NECESARIO PARA SU USO. EN OPERACIÓN</t>
  </si>
  <si>
    <t>C5EXT-0057</t>
  </si>
  <si>
    <t>EQUIPO DE CORTE INTERNO PARA PILOTES Y PIERNAS  CEMENTADA DE SUBESTRUCTURA CON TECNOLOGIA ABRASIVE WATER JET A 1000 BAR, OPERADO REMOTAMENTE PARA MULTIPLES CORTES CONCENTRICOS O EXCENTRICOS, INCLUYE ARREGLO DE IZAJE Y TODO LO NECESARIO PARA SU USO. EN STAND BY</t>
  </si>
  <si>
    <t>C5EXT-0058</t>
  </si>
  <si>
    <t>EQUIPO DE CORTE INTERNO PARA PILOTES Y PIERNAS  CEMENTADA DE SUBESTRUCTURA CON TECNOLOGIA ABRASIVE WATER JET A 1000 BAR, OPERADO REMOTAMENTE PARA MULTIPLES CORTES CONCENTRICOS O EXCENTRICOS, INCLUYE ARREGLO DE IZAJE Y TODO LO NECESARIO PARA SU USO. EN TRANSITO</t>
  </si>
  <si>
    <t>C5EXT-0059</t>
  </si>
  <si>
    <t>EQUIPO DE CORTE Y SUJETADOR INTERNO HIDRAULICO ( HIC / ICM )  DE USO SUBMARINO PARA RECUPERACION DE PILOTE Y PIERNA DE JACKET DE 36" -60", CONTROLADO DE FORMA REMOTA, INCLUYE ARREGLO DE IZAJE, UMBILICAL Y TODO LO NECESARIO PARA SU USO. EN OPERACIÓN</t>
  </si>
  <si>
    <t>C5EXT-0060</t>
  </si>
  <si>
    <t>EQUIPO DE CORTE Y SUJETADOR INTERNO HIDRAULICO ( HIC / ICM )  DE USO SUBMARINO PARA RECUPERACION DE PILOTE Y PIERNA DE JACKET DE 36" -60", CONTROLADO DE FORMA REMOTA, INCLUYE ARREGLO DE IZAJE, UMBILICAL Y TODO LO NECESARIO PARA SU USO.  EN STAND BY</t>
  </si>
  <si>
    <t>C5EXT-0061</t>
  </si>
  <si>
    <t>EQUIPO DE CORTE Y SUJETADOR INTERNO HIDRAULICO ( HIC / ICM )  DE USO SUBMARINO PARA RECUPERACION DE PILOTE Y PIERNA DE JACKET DE 36" -60", CONTROLADO DE FORMA REMOTA, INCLUYE ARREGLO DE IZAJE, UMBILICAL Y TODO LO NECESARIO PARA SU USO.  EN TRANSITO</t>
  </si>
  <si>
    <t>C5EXT-0062</t>
  </si>
  <si>
    <t>MOVILIZACION DE EQUIPO MAGNETO, GARRRA P/TUBO, HPU, CARRETE HPU, CORTADOR Y HIC SUJETADOR</t>
  </si>
  <si>
    <t>C5EXT-0063</t>
  </si>
  <si>
    <t>DESMOVILIZACIÓN DE EQUIPO MAGNETO, GARRRA P/TUBO, HPU, CARRETE HPU, CORTADOR Y HIC SUJETADOR</t>
  </si>
  <si>
    <t>C5EXT-0064</t>
  </si>
  <si>
    <t>CORTADORA HIDRAULICA DE COMPUERTA CON APERTURA  DE  34 1/4" Y 29", CAPAZ DE REALIZAR CORTES RAPIDOS Y EFICIENTES DE CHATARRA DE DIVERSOS GRADOS DE ACERO EN ZONAS AEREAS Y SUBMARINAS, MODELO 24 PCPC. EN OPERACIÓN</t>
  </si>
  <si>
    <t>C5EXT-0065</t>
  </si>
  <si>
    <t>CORTADORA HIDRAULICA DE COMPUERTA CON APERTURA  DE  34 1/4" Y 29", CAPAZ DE REALIZAR CORTES RAPIDOS Y EFICIENTES DE CHATARRA DE DIVERSOS GRADOS DE ACERO EN ZONAS AEREAS Y SUBMARINAS, MODELO 24 PCPC. EN STAND BY</t>
  </si>
  <si>
    <t>C5EXT-0066</t>
  </si>
  <si>
    <t>CORTADORA HIDRAULICA DE COMPUERTA CON APERTURA  DE  55" Y 60", CAPAZ DE REALIZAR CORTES RAPIDOS Y EFICIENTES DE CHATARRA DE DIVERSOS GRADOS DE ACERO EN ZONAS AEREAS Y SUBMARINAS, MODELO 36 PCPC. EN OPERACIÓN</t>
  </si>
  <si>
    <t>C5EXT-0067</t>
  </si>
  <si>
    <t>CORTADORA HIDRAULICA DE COMPUERTA CON APERTURA  DE  55" Y 60", CAPAZ DE REALIZAR CORTES RAPIDOS Y EFICIENTES DE CHATARRA DE DIVERSOS GRADOS DE ACERO EN ZONAS AEREAS Y SUBMARINAS, MODELO 36 PCPC. EN STAND BY</t>
  </si>
  <si>
    <t>C5EXT-0068</t>
  </si>
  <si>
    <t>CORTADORA DE CIZALLA MOVIL CON APERTURA DE MORDAZA DE 889 MM PARA MONTAJE EN PLUMA, PARA CORTE DE ELEMENTOS DE DIVERSOS GRADOS DE ACERO, MODELO GXP700 MACA GENESIS, INCLUYE FUENTE DE PODER HIDRAULICA Y CARRETE DE MANGUERA HIDRAULICA DE 300 FT. EN OPERACION</t>
  </si>
  <si>
    <t>C5EXT-0069</t>
  </si>
  <si>
    <t>CORTADORA DE CIZALLA MOVIL CON APERTURA DE MORDAZA DE 889 MM PARA MONTAJE EN PLUMA, PARA CORTE DE ELEMENTOS DE DIVERSOS GRADOS DE ACERO, MODELO GXP700 MACA GENESIS, INCLUYE FUENTE DE PODER HIDRAULICA Y CARRETE DE MANGUERA HIDRAULICA DE 300 FT. EN STAD BY</t>
  </si>
  <si>
    <t>C5EXT-0070</t>
  </si>
  <si>
    <t>CORTADORA DE HILO DIAMANTADO DE 36", INCLUYE KIT DE HERRAMIENTAS Y PARTES DE REPUESTO, PAQUETE HIDRÁULICO PARA USO EN SUPERFICIE O SUBMARINO. EN OPERACIÓN</t>
  </si>
  <si>
    <t>C5EXT-0071</t>
  </si>
  <si>
    <t>CORTADORA DE HILO DIAMANTADO DE 36", INCLUYE KIT DE HERRAMIENTAS Y PARTES DE REPUESTO, PAQUETE HIDRÁULICO PARA USO EN SUPERFICIE O SUBMARINO. EN STAND BY</t>
  </si>
  <si>
    <t>C5EXT-0072</t>
  </si>
  <si>
    <t>SISTEMA DE BARRENADO PARA DREN Y VAPORIZADO DE TUBERIAS, INCLUYE FUENTE DE PODER HIDRAULICA Y CARRETE DE MANGUERA DE DOBLE FUNCION. EN OPERACIÓN</t>
  </si>
  <si>
    <t>C5EXT-0073</t>
  </si>
  <si>
    <t>SISTEMA DE BARRENADO PARA DREN Y VAPORIZADO DE TUBERIAS, INCLUYE FUENTE DE PODER HIDRAULICA Y CARRETE DE MANGUERA DE DOBLE FUNCION. EN STAND BY</t>
  </si>
  <si>
    <t>C5EXT-0074</t>
  </si>
  <si>
    <t>PERSONAL ESPECIALIZADO PARA OPERACION DE CORTADOR HIDRAULICA DE COMPUERTA, CORTADORA DE CIZALLA, CORTADOR DE HILO DIAMANTADO Y SISTEMA DE BARRENADO. EN OPERACIÓN</t>
  </si>
  <si>
    <t>C5EXT-0075</t>
  </si>
  <si>
    <t>PERSONAL ESPECIALIZADO PARA OPERACION DE CORTADOR HIDRAULICA DE COMPUERTA, CORTADORA DE CIZALLA, CORTADOR DE HILO DIAMANTADO Y SISTEMA DE BARRENADO. EN STAND BY</t>
  </si>
  <si>
    <t>C5EXT-0076</t>
  </si>
  <si>
    <t>MOVILIZACION DE CORTADOR HIDRAULICA DE COMPUERTA, CORTADORA DE CIZALLA, CORTADOR DE HILO DIAMANTADO Y SISTEMA DE BARRENADO</t>
  </si>
  <si>
    <t>C5EXT-0077</t>
  </si>
  <si>
    <t>DESMOVILIZACION DE CORTADOR HIDRAULICA DE COMPUERTA, CORTADORA DE CIZALLA, CORTADOR DE HILO DIAMANTADO Y SISTEMA DE BARRENADO</t>
  </si>
  <si>
    <t>C5EXT-0078</t>
  </si>
  <si>
    <t>MOVILIZACION DE PERSONAL PARA OPERACIÓN DE CORTADOR HIDRAULICA DE COMPUERTA, CORTADORA DE CIZALLA, CORTADOR DE HILO DIAMANTADO Y SISTEMA DE BARRENADO</t>
  </si>
  <si>
    <t>C5EXT-0079</t>
  </si>
  <si>
    <t>DESMOVILIZACION DE PERSONAL PARA OPERACIÓN DE CORTADOR HIDRAULICA DE COMPUERTA, CORTADORA DE CIZALLA, CORTADOR DE HILO DIAMANTADO Y SISTEMA DE BARRENADO</t>
  </si>
  <si>
    <t>C5EXT-0080</t>
  </si>
  <si>
    <t>COMPRESOR DE COMBUSTION INTERNA CON CAPACIDAD DE 1600 PCM.</t>
  </si>
  <si>
    <t>C5EXT-0081</t>
  </si>
  <si>
    <t>WINCHE NEUMÁTICO CON CAPACIDAD DE 25 TON. METRICAS</t>
  </si>
  <si>
    <t>C5EXT-0082</t>
  </si>
  <si>
    <t>COMPRESOR DE COMBUSTION INTERNA CON CAPACIDAD DE 850 PCM.</t>
  </si>
  <si>
    <t>C5EXT-0083</t>
  </si>
  <si>
    <t>EQUIPO ECHOSCOPE. INCLUYE: PERSONAL ESPECIALIZADO, EQUIPO CON SOFTWARE PARA PROCESAMIENTO DE REPORTE, ACCESORIOS  DE MONTAJE Y CONTENEDOR DE RESGUARDO DE EQUIPOS. EN ESPERA.</t>
  </si>
  <si>
    <t>C5EXT-0084</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</si>
  <si>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OPERACIÓN.</t>
  </si>
  <si>
    <t>C5EXT-0085</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</si>
  <si>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ESPERA</t>
  </si>
  <si>
    <t>C5EXT-0086</t>
  </si>
  <si>
    <t>MAPEO BATIMÉTIRCO CON EQUIPO ESPECIALIZADO DE SISTEMA DE SONDA MULTIHAZ COMPACTO Y DE ALTA RESOLUCIÓN, MULTIBEAM NORBIT. INCLUYE; REPORTES PARA LA ELABORACION DE INGENIERIA ESPECIALIZADA DE SALVATAJE. EN OPERACIÓN</t>
  </si>
  <si>
    <t>C5EXT-0087</t>
  </si>
  <si>
    <t>MAPEO BATIMÉTIRCO CON EQUIPO ESPECIALIZADO DE SISTEMA DE SONDA MULTIHAZ COMPACTO Y DE ALTA RESOLUCIÓN, MULTIBEAM NORBIT. INCLUYE; REPORTES PARA LA ELABORACION DE INGENIERIA ESPECIALIZADA DE SALVATAJE. EN ESPERA</t>
  </si>
  <si>
    <t>C5EXT-0088</t>
  </si>
  <si>
    <t>MAPEO DE FONDO MARINO MEDIANTE LEVANTAMIENTO GEOFISICO PARA DETECTAR AFLORAMIENTO DE ROCAS, OBSTRUCCIONES Y OBTENER TOPOGRAFÍA DEL FONDO MARINO PARA DETERMINAR LAS OQUEDADES O DESNIVELES EXISTENTE. INCLUYE: PERSONAL ESPECIALIZADO, EQUIPO CALIBRADO, EMBARCACIÓN. EN ESPERA</t>
  </si>
  <si>
    <t>C5EXT-0089</t>
  </si>
  <si>
    <t>MOVILIZACIÓN DEL EQUIPO MULTIBEAM PARA MAPEO BATIMÉTIRCO CON EQUIPO ESPECIALIZADO DE SISTEMA DE SONDA MULTIHAZ COMPACTO Y DE ALTA RESOLUCIÓN.</t>
  </si>
  <si>
    <t>C5EXT-0090</t>
  </si>
  <si>
    <t>DESMOVILIZACIÓN DEL EQUIPO MULTIBEAM PARA MAPEO BATIMÉTIRCO CON EQUIPO ESPECIALIZADO DE SISTEMA DE SONDA MULTIHAZ COMPACTO Y DE ALTA RESOLUCIÓN.</t>
  </si>
  <si>
    <t>C5EXT-0091</t>
  </si>
  <si>
    <t>MOVILIZACION DE SISTEMA COMPACTO DE INSPECCION SUBMARINA Y OPERACIÓN REMOTA (ROV), PERSONAL Y EQUIPO  DESDE SU ORIGEN A CD DEL CARMEN.</t>
  </si>
  <si>
    <t>C5EXT-0092</t>
  </si>
  <si>
    <t>DESMOVILIZACION DE SISTEMA COMPACTO DE INSPECCION SUBMARINA Y OPERACIÓN REMOTA (ROV), PERSONAL Y EQUIPO  DE CD DEL CARMEN A SU ORIGEN</t>
  </si>
  <si>
    <t>C5EXT-0093</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</si>
  <si>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(INCLUYE: OPERARIOS) PEMEX PROPORCIONA EL COMBUSTIBLE.</t>
  </si>
  <si>
    <t>C5EXT-0094</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</si>
  <si>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EQUIPO DE RESPALDO. PEMEX PROPORCIONA EL COMBUSTIBLE.</t>
  </si>
  <si>
    <t>C5EXT-0095</t>
  </si>
  <si>
    <t>GENERADOR ELÉCTRICO PARA EL SUMINISTRO DE ENERGÍA CON CAPACIDAD DE 25 KVA (50 HZ, 230 ~ 110 V) CON 5 TOMAS DE ENERGÍA CON CAPACIDAD DE 3.5 KVA CADA UNA.(INCLUYE: OPERARIOS). PEMEX PROPORCIONA EL COMBUSTIBLE.</t>
  </si>
  <si>
    <t>C5EXT-0096</t>
  </si>
  <si>
    <t>GENERADOR ELÉCTRICO PARA EL SUMINISTRO DE ENERGÍA CON CAPACIDAD DE 25 KVA (50 HZ, 230 ~ 110 V) CON 5 TOMAS DE ENERGÍA CON CAPACIDAD DE 3.5 KVA CADA UNA .(INCLUYE: OPERARIOS) EQUIPO DE RESPALDO. PEMEX PROPORCIONA EL COMBUSTIBLE.</t>
  </si>
  <si>
    <t>C5EXT-0097</t>
  </si>
  <si>
    <t>TABLERO DE TRANSFERENCIA DE USO MANUAL DE 200 AMP PARA INTERCONEXIÓN ENTRE GENERADORES ELÉCTRICOS DE 25 KVA (50 HZ, 230 ~ 110 V) PARA ASEGURAR QUE SE REALICE EN EL MENOR TIEMPO LA TRANSFERENCIA DE CARGA DEL GENERADOR PRINCIPAL AL GENERADOR DE RESPALDO Y VICEVERSA.</t>
  </si>
  <si>
    <t>C5EXT-0098</t>
  </si>
  <si>
    <t>TABLERO DE TRANSFERENCIA DE USO MANUAL DE 630 AMP PARA INTERCONEXIÓN ENTRE GENERADORES ELÉCTRICOS DE 400 KVA (60 HZ, 440 V), PARA ASEGURAR QUE SE REALICE EN EL MENOR TIEMPO LA TRANSFERENCIA DE CARGA DEL GENERADOR PRINCIPAL AL GENERADOR DE RESPALDO Y VICEVERSA.</t>
  </si>
  <si>
    <t>C5EXT-0099</t>
  </si>
  <si>
    <t>MOVILIZACIÓN DE GENERADORES Y TABLERO DE TRANSFERENCIAS DEL SITIO DE ORIGEN DE RESGUARDO AL MUELLE DE EMBARQUE Y/O DESEMBARQUE.</t>
  </si>
  <si>
    <t>C5EXT-0100</t>
  </si>
  <si>
    <t>DESMOVILIZACIÓN DE GENERADORES Y TABLERO DE TRANSFERENCIAS DEL MUELLE DE DESEMBARQUE Y/O EMBARQUE LA SITIO DE ORIGEN PARA SU RESGUARDO.</t>
  </si>
  <si>
    <t>C5EXT-0101</t>
  </si>
  <si>
    <t>SISTEMA DE MONITOREO DE MOVIMIENTO DE ESTRUCTURAS MARINAS CON SENSORES INALAMBRICOS REGISTRADOR DE DATOS BBSE CON DISCO DURO DE 1 TB PARA REGISTRO DE SEÑALES, RECEPTOR GPS, PC DE CONTROL  CON FUNCIONALIDAD DE VISUALIZACION Y ANALISIS, SOFTWARE, UNIDADES CONTROLADORAS TX/RX INCLUYE: BATERIAS, PANELES SOLARES, TECNICO ESPECIALISTA DE MONITOREO REMOTO, REPORTE DE DESPLAZAMIENTOS</t>
  </si>
  <si>
    <t>C5EXT-0102</t>
  </si>
  <si>
    <t>MOVILIZACION DE SISTEMA DE MONITOREO DE MOVIMIENTO DE ESTRUCTURAS MARINAS INCLUYE: INSTALACION, PERSONAL Y EQUIPO DESDE SU LUGAR DE ORIGAN HASTA CIUDAD DEL CARMEN, CAMP.</t>
  </si>
  <si>
    <t>C5EXT-0103</t>
  </si>
  <si>
    <t>DESMOVILIZACION DE SISTEMA DE MONITOREO DE MOVIMIENTO DE ESTRUCTURAS MARINAS INCLUYE: INSTALACION, PERSONAL Y EQUIPO DESDE SU LUGAR DE ORIGAN HASTA CIUDAD DEL CARMEN, CAMP.</t>
  </si>
  <si>
    <t>C5EXT-0104</t>
  </si>
  <si>
    <t>C5EXT-0105</t>
  </si>
  <si>
    <t>MOVILIZACION  DE EQUIPO DE BUCEO DE SATURACION INTEGRADA CON CAPACIDAD PARA 12 BUZOS, DEL SITIO DE ORIGEN AL MUELLE DE EMBARQUE.</t>
  </si>
  <si>
    <t>C5EXT-0106</t>
  </si>
  <si>
    <t>DESMOVILIZACION  DE EQUIPO DE BUCEO DE SATURACION INTEGRADA CON CAPACIDAD PARA 12 BUZOS, DEL MUELLE DE DESEMBARQUE AL SITIO DE ORIGEN DE LOS EQUIPOS.</t>
  </si>
  <si>
    <t>C5EXT-0107</t>
  </si>
  <si>
    <t>BOMBA NEUMATICA DE DOBLE DIAGRAMA DE 1 1/2 PULGADAS DE ENTRADA / SALIDA DE TRANSFERENCIA DE ACEITE DE RESIDUOS PARA PRODUCTOS QUIMICOS QBK-40 50 GPM, DOBLE DIAFRAGMA, GOMA DE NITRILIO DE POLIPROPILENO DE ACERO INOXIDABLE 100 PSI.</t>
  </si>
  <si>
    <t>C5EXT-0108</t>
  </si>
  <si>
    <t>EQUIPO PARA TOPOGRAFIA COSTA FUERA PARA REALIZAR LA VERIFICACION DE LA NIVELACION DE LA SUBESTRUCTURA Y LA SUPERESTRUCTURA DE LA ESTRUCTURA MINIMA DEFINITIVA RECUPERABLE. INCLUYE: PERSONAL ESPECIALIZADO, EQUIPO CALIBRADO, EQUIPO DE COMPUTO DE ADQUISION DE DATOS Y REPORTE DE LAS ACTIVIDADES.</t>
  </si>
  <si>
    <t>C5EXT-0109</t>
  </si>
  <si>
    <t>MOVILIZACION DE EQUIPO PARA TOPOGRAFIA COSTA FUERA DEL SITIO DE ORIGEN AL MUELLE DE EMBARQUE. INCLUYE: PERSONAL ESPECIALIZADO, EQUIPO CALIBRADO Y EQUIPO DE COMPUTO DE ADQUISION DE DATOS.</t>
  </si>
  <si>
    <t>C5EXT-0110</t>
  </si>
  <si>
    <t>DESMOVILIZACION DE EQUIPO PARA TOPOGRAFIA DEL MUELLE DE DESEMBARQUE AL SITIO DE ORIGEN. INCLUYE: PERSONAL ESPECIALIZADO, EQUIPO CALIBRADO Y EQUIPO DE COMPUTO DE ADQUISION DE DATOS.</t>
  </si>
  <si>
    <t>C5EXT-0111</t>
  </si>
  <si>
    <t>WINCHE ELECTRICO 480 V. CA, TRIFASICA 60 Hz, DE ARRASTRE, TIRON Y ELEVACIÓN DE CARGAS CON CAPACIDAD DE 24 TON, CON FUERZA DE TRACCIÓN DE 250 Kn, MOTOR EQUIPADO CON UN FRENO ELECTROMAGNÉTICO, DE DOBLE CARA, RESISTENTE AL AGUA DE MAR Y ACCIONADO POR PRESIÓN DE RESORTE. INCLUYE: TAMBOR CON CABLE 750 MTS X 1 3/8" DE DIAMETRO.</t>
  </si>
  <si>
    <t>C5EXT-0112</t>
  </si>
  <si>
    <t>MANIFULD HORIZONTAL MARCA TEXAS, NEUMATIC DE 60 GALONES CON LAS SIGUIENTES DIMENCIONES DE LARGO 1.80 MTS. DE ANCHO 90 CMS DE ALTO 1.40 MTS PESO APROXIMADO 160 KG.</t>
  </si>
  <si>
    <t>C5EXT-0113</t>
  </si>
  <si>
    <t>EMBARCACION CON POSICIONAMIENTO DINAMICO DP-II, CON GRUA DE 65 TON Y CAPACIDAD DE ALOJAR 113 PERSONAS, PARA TRABAJOS DE BUCEO DE SATURACION.</t>
  </si>
  <si>
    <t>C5EXT-0114</t>
  </si>
  <si>
    <t>MOVILIZACION DE EQUIPO DE CORTE INTERNO PARA PILOTES Y PIERNAS CEMENTADA, DESDE SU LUGAR DE ORIGEN AL MUELLE DE CIUDAD DEL CARMEN.</t>
  </si>
  <si>
    <t>C5EXT-0115</t>
  </si>
  <si>
    <t>DESMOVILIZACION DE EQUIPO DE CORTE INTERNO PARA PILOTES Y PIERNAS CEMENTADA, DEL MUELLE DE CIUDAD DEL CARMEN A SU LUGAR DE ORIGEN.</t>
  </si>
  <si>
    <t>C5EXT-0116</t>
  </si>
  <si>
    <t>MOVILIZACION DE CORTADOR DE HILO DIAMANTADO DESDE SU LUGAR DE ORIGEN AL MUELLE DE CIUDAD DEL CARMEN.</t>
  </si>
  <si>
    <t>C5EXT-0117</t>
  </si>
  <si>
    <t>DESMOVILIZACION DE CORTADOR DE HILO DIAMANTADO DEL MUELLE DE CIUDAD DEL CARMEN A SU LUGAR DE ORIGEN.</t>
  </si>
  <si>
    <t>C5EXT-0118</t>
  </si>
  <si>
    <t>EMBARCACIÓN DE APOYO PARA TRANSPORTE DE PERSONAL, MATERIALES Y EQUIPOS, CON CAPACIDAD DE 80 PERSONAS Y CUBIERTA LIBRE PARA 242 M2, DE ACUERDO A LO INDICADO EN EL ANEXO DT-4 ADICIONAL DE LA EMBARCACIÓN FSV.</t>
  </si>
  <si>
    <t>C5EXT-0119</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</si>
  <si>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 EN ESPERA</t>
  </si>
  <si>
    <t>C5EXT-0120</t>
  </si>
  <si>
    <t>EQUIPO DE BUCEO DE SATURACION CON CAPACIDAD PARA 12 BUZOS Y CAPACIDAD PARA OPERAR DE (-) 150 M DE PROFUNDIDAD, INCLUYE: EQUIPOS, EN ESPERA.</t>
  </si>
  <si>
    <t>C5EXT-0121</t>
  </si>
  <si>
    <t>CONTENEDOR FRIGORIFICO / CONGELADOR DE 10 FT, CON CAPACIDAD DE CONECTARSE A 220 /440 V, INCLUYE: ARREGLO DE IZAJE CONFORMADO CON ESTROBO DE 4 BRAZOS Y 4 GRILLETES.</t>
  </si>
  <si>
    <t>C5EXT-0122</t>
  </si>
  <si>
    <t>EMBARCACION CON POSICIONAMIENTO DINAMICO DP-II, CON GRUA DE 65 TON Y CAPACIDAD DE ALOJAR 113 PERSONAS.</t>
  </si>
  <si>
    <t>C1EXT-0001</t>
  </si>
  <si>
    <t>MOVILIZACION Y DESMOVILIZACION DE EQUIPO Y PERSONAL ESPECIALIZADO DESDE SU SITIO DE ORIGEN AL SITIO DE EMBARQUE, INCLUYE: ARMADO, ENSAMBLE DE EQUIPOS SOBRE EMBARCACIÓN BGPD GARZPROM-2 (MARTILLO IHC S-280.) MOTOR : VOLVO 6 CILINDROS TURBO CHARGE CAPACIDAD (POTENCIA): 386KW a 1500rpm.</t>
  </si>
  <si>
    <t>C5EXT-0124</t>
  </si>
  <si>
    <t>EQUIPO Y PERSONAL ESPECIALIZADO PARA OPERAR (MARTILLO IHC S-280.) MOTOR : VOLVO 6 CILINDROS TURBO CHARGE CAPACIDAD (POTENCIA): 386KW a 1500rpm.</t>
  </si>
  <si>
    <t>C5EXT-0125</t>
  </si>
  <si>
    <t>MOVILIZACION DEL EQUIPO MULTIBEAM PARA MAPEO BATIMÉTIRCO CON EQUIPO ESPECIALIZADO DE SISTEMA DE SONDA MULTIHAZ COMPACTO Y DE ALTA RESOLUCIÓN.</t>
  </si>
  <si>
    <t>C5EXT-0126</t>
  </si>
  <si>
    <t>EQUIPO MULTIBEAM PARA MAPEO BATIMÉTIRCO CON EQUIPO ESPECIALIZADO DE SISTEMA DE SONDA MULTIHAZ COMPACTO Y DE ALTA RESOLUCIÓN. INCLUYE; PERSONAL, PROCESAMIENTO DE DATOS Y REPORTES ENTREGABLE PARA LA ELABORACION DE INGENIERIA ESPECIALIZADA PARA LA INSTALACION DE LA SUBESTRUCTURA ONEL-B EN LA PLATAFORMA YAXCHE-C. EN OPERACION.</t>
  </si>
  <si>
    <t>C5EXT-0127</t>
  </si>
  <si>
    <t>EQUIPO MULTIBEAM PARA MAPEO BATIMÉTIRCO CON EQUIPO ESPECIALIZADO DE SISTEMA DE SONDA MULTIHAZ COMPACTO Y DE ALTA RESOLUCIÓN. INCLUYE; PERSONAL. EN ESPERA.</t>
  </si>
  <si>
    <t>C5EXT-0128</t>
  </si>
  <si>
    <t>DESMOVILIZACION DEL EQUIPO MULTIBEAM PARA MAPEO BATIMÉTIRCO CON EQUIPO ESPECIALIZADO DE SISTEMA DE SONDA MULTIHAZ COMPACTO Y DE ALTA RESOLUCIÓN.</t>
  </si>
  <si>
    <t>C5EXT-0129</t>
  </si>
  <si>
    <t>EQUIPO DE RESPIRACION AUTONOMA</t>
  </si>
  <si>
    <t>C5EXT-0130</t>
  </si>
  <si>
    <t>DETECTOR MULTI-GASES (GAS COMBUSTIBLE, H2S, OXIGENO Y CO)</t>
  </si>
  <si>
    <t>C5EXT-0131</t>
  </si>
  <si>
    <t>MONITOR DE GASES MULTIPLES</t>
  </si>
  <si>
    <t>C5EXT-0132</t>
  </si>
  <si>
    <t>BALSAS SALVAVIDAS PARA 25 PERSONAS</t>
  </si>
  <si>
    <t>C5EXT-0133</t>
  </si>
  <si>
    <t>EMBARCACIÓN DE APOYO PARA TRANSPORTE DE PERSONAL, MATERIALES Y EQUIPOS, CON CAPACIDAD DE 80 PERSONAS Y CUBIERTA LIBRE PARA 240 M2, DE ACUERDO A LO INDICADO EN EL ANEXO DT-4 ADICIONAL DE LA EMBARCACION FSV. (EN ESPERA)</t>
  </si>
  <si>
    <t>C5EXT-0134</t>
  </si>
  <si>
    <t>PTE-006-25</t>
  </si>
  <si>
    <t>C5EXT-0135</t>
  </si>
  <si>
    <t>C5EXT-0136</t>
  </si>
  <si>
    <t>WINCHE NEUMATICO DE CAPACIDAD MINIMA DE 20 TM, CON CABLE DE DIAMETRO MINIMO DE 3/4" Y 200 MTS EN TAMBOR</t>
  </si>
  <si>
    <t>C5EXT-0137</t>
  </si>
  <si>
    <t>MANIFULD HORIZONTAL MARCA TEXAS, NEUMATIC DE 60 GALONES CON LAS SIGUIENTES DIMENCIONES DE LARGO 1.80 MTS. DE ANCHO 90 CMS DE ALTO 1.40 MTS PESO APROXIMADO 160 KG. NO INCLUYE OPERADOR, PARA TRABAJOS EN TIERRA.</t>
  </si>
  <si>
    <t>C5EXT-0138</t>
  </si>
  <si>
    <t>EQUIPO PARA CORTE AUTOMÁTICO CON OXI-ACETILENO (PANTÓGRAFO).  EN PATIO DE PREFABRICADO, NO INCLUYE: GASES Y OPERADOR.</t>
  </si>
  <si>
    <t>C5EXT-0139</t>
  </si>
  <si>
    <t>BOMBA CENTRIFUGA DE COMBUSTION INTERNA, FLUJO MASIVO. PARA SERVICIO DE LASTRADO Y/O DESLASTRADO, NO INCLUYE OPERADOR, PARA TRABAJOS COSTA FUERA.</t>
  </si>
  <si>
    <t>C5EXT-0140</t>
  </si>
  <si>
    <t>BARCAZA DE CARGA (CHALAN) DE 250 X 72 X 16 PIES (NO INCLUYE REMOLCADOR)</t>
  </si>
  <si>
    <t>C5EXT-0141</t>
  </si>
  <si>
    <t>REMOLCADOR DE BAJO CALADO</t>
  </si>
  <si>
    <t>C5EXT-0142</t>
  </si>
  <si>
    <t>CUOTA DIARIA DE OPERACIÓN DEL BARCO DE PROCESO</t>
  </si>
  <si>
    <t>C5EXT-0143</t>
  </si>
  <si>
    <t>CUOTA POR TIEMPO DE ESPERA DEL BARCO DE PROCESO</t>
  </si>
  <si>
    <t>C5EXT-0144</t>
  </si>
  <si>
    <t>CUOTA DIARIA DE EMBARCACIÓN DE APOYO PARA INTERVENCIONES A POZOS.</t>
  </si>
  <si>
    <t>C5EXT-0145</t>
  </si>
  <si>
    <t>CUOTA DE TIEMPO DE ESPERA DE EMBARCACIÓN DE APOYO PARA INTERVENCIONES A POZOS.</t>
  </si>
  <si>
    <t>C5EXT-0146</t>
  </si>
  <si>
    <t>CUOTA DIARIA DEL BARCO ABASTECEDOR INCLUYENDO SU MANTENIMIENTO INTEGRAL.</t>
  </si>
  <si>
    <t>C5EXT-0147</t>
  </si>
  <si>
    <t>CUOTA POR TIEMPO DE ESPERA DEL BARCO ABASTECEDOR.</t>
  </si>
  <si>
    <t>C5EXT-0148</t>
  </si>
  <si>
    <t>DETECTOR DE GAS COMBUSTIBLE (EXPLOSIMETRO) CON ESCALA ANALÓGICA DE 0 - 100% LEL O LEI, CLASE 1, DIVISION Y 1 Y 2. (TIERRA)</t>
  </si>
  <si>
    <t>C5EXT-0149</t>
  </si>
  <si>
    <t>EQUIPO DE TORQUE CONTROLADO SIMULTÁNEO PARA ESPÁRRAGOS DE 1" A 1 7/8"Ø. (TIERRA)</t>
  </si>
  <si>
    <t>C5EXT-0150</t>
  </si>
  <si>
    <t>EQUIPO DE TORQUE CONTROLADO SIMULTÁNEO PARA ESPÁRRAGOS DE 2" A 3 ½"Ø. (TIERRA)</t>
  </si>
  <si>
    <t>C5EXT-0151</t>
  </si>
  <si>
    <t>CALDERA PORTÁTIL (GENERADOR DE VAPOR) PORTÁTIL PARA UNA ÁREA DE 300 M3. (TIERRA)</t>
  </si>
  <si>
    <t>C5EXT-0152</t>
  </si>
  <si>
    <t>SEPARADOR DE BRIDAS HIDRÁULICO MODELO 10 T (E) MAXI – KIT TIPO AM MCA. THE EQUALIZER O EQUIVALENTE, CON CAPACIDAD DE APERTURA DE 12 TONS. A 10,000 PSI. O EQUIVALENTE. (TIERRA)</t>
  </si>
  <si>
    <t>C5EXT-0153</t>
  </si>
  <si>
    <t>COMPRESOR Y EQUIPO DE CASCADA GRADO "D" ‘O ‘’E’ MAYOR DE 10 PIES CÚBICOS POR MINUTO Y UNA PRESIÓN DE 5000 PSI. (TIERRA)</t>
  </si>
  <si>
    <t>C5EXT-0154</t>
  </si>
  <si>
    <t>EQUIPO DE SUCCIÓN DE SOLIDOS TIPO VACTOR (UPV) CON CAPACIDAD PARA 12 M3 JORNADAS DE 8 HORAS. (TIERRA)</t>
  </si>
  <si>
    <t>C5EXT-0155</t>
  </si>
  <si>
    <t>ALARMAS PERSONALES. (TIERRA)</t>
  </si>
  <si>
    <t>C5EXT-0156</t>
  </si>
  <si>
    <t>EQUIPO DE RESPIRACIÓN AUTÓNOMA. (TIERRA)</t>
  </si>
  <si>
    <t>C5EXT-0157</t>
  </si>
  <si>
    <t>EXTINTOR DE INCENDIO PORTÁTILES DE PQS DE 13.6 KGS. (TIERRA)</t>
  </si>
  <si>
    <t>C5EXT-0158</t>
  </si>
  <si>
    <t>COLOCACIÓN Y RETIRO DE ANDAMIOS PARA TRABAJOS HASTA UNA ALTURA DE 8 MTS.; INCLUYE, ACARREOS, MANO DE OBRA, HERRAMIENTA Y TODO LO NECESARIO PARA LA CORRECTA EJECUCIÓN. (TIERRA)</t>
  </si>
  <si>
    <t>C5EXT-0159</t>
  </si>
  <si>
    <t>CONTENEDOR DE 20 FT PARA ALMACÉN DE MATERIALES, HERRAMIENTAS Y CONSUMIBLES. INCLUYE: ANAQUELES PARA ALMACENAMIENTO. (INCLUYE PRUEBA DE CARGA Y CERTIFICADOS DE ARREGLOS DE IZAJE). (TIERRA)</t>
  </si>
  <si>
    <t>C5EXT-0160</t>
  </si>
  <si>
    <t>CONTENEDOR DE 40 FT PARA OFICINA. INCLUYE: MESAS DE TRABAJO, ANAQUELES PARA ALMACENAMIENTO DE DOCUMENTACIÓN Y CARPETAS, 02 MINISPLITS DE 1 TON, ILUMINACIÓN INTERIOR, SILLAS EJECUTIVAS PARA OFICINA, INSTALACIÓN ELÉCTRICA Y PARA SISTEMA DE VOZ Y DATOS, EXTINTORES, DETECTORES DE GAS Y HUMO, BOTIQUÍN PARA PRIMEROS AUXILIOS, CAFETERA Y 01 FRIGOBAR PARA ALMACENAMIENTO DE MEDICAMENTOS. (INCLUYE PRUEBA DE CARGA Y CERTIFICADOS DE ARREGLOS DE IZAJE). (TIERRA)</t>
  </si>
  <si>
    <t>C5EXT-0161</t>
  </si>
  <si>
    <t>SERVICIO DE TRANSPORTE DE PERSONAL EN LA TERMINAL MARÍTIMA DOS BOCAS (INCLUYE 1 AUTOBUS CON CAPACIDAD DE 40 PERSONAS, SEGUROS, PERMISO DE ACCESO Y TRANSPORTE DE LA UNIDAD PARA SU ACCESO A LA TMDB, CONSIDERANDO 2 MOVIMIENTOS: UN MOVIMIENTO DEL COBERTIZO AL ÁREA DE PROCESO DE LA TMDB Y UN MOVIMIENTO DEL ÁREA DE PROCESO DE LA TMDB AL COBERTIZO). (TIERRA)</t>
  </si>
  <si>
    <t>C5EXT-0162</t>
  </si>
  <si>
    <t>CAMIÓN CON PLATAFORMA DE 30 TON Y GRÚA ARTICULADA CAP. 10 TON (INCLUYE OPERADOR, ESTROBOS, GRILLETES Y GROMET´S) PARA TRASLADO DE EQUIPOS Y MATERIALES DEL ALMACÉN DEL CONTRATISTA (CIUDAD DEL CARMEN, CAMPECHE) HACIA LA TERMINAL MARÍTIMA DOS BOCAS (PARAÍSO, TABASCO). (TIERRA)</t>
  </si>
  <si>
    <t>C5EXT-0163</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</si>
  <si>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</si>
  <si>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C5EXT-0164</t>
  </si>
  <si>
    <t>BAÑO PORTÁTIL CON LAVAMANOS, INCLUYE SERVICIO DE LIMPIEZA DIARIO. (TIERRA)</t>
  </si>
  <si>
    <t>C5EXT-0165</t>
  </si>
  <si>
    <t>SERVICIO DE TRANSPORTE DE PERSONAL DE CD. DEL CARMEN, CAMPECHE AL PATIO DE PREFABRICADOS EN EL KM 14 CARRETERA CARMEN - PUERTO REAL (INCLUYE: 01 AUTOBUS CON CAPACIDAD DE 40 PERSONAS, SEGUROS Y TRANSPORTE DE LA UNIDAD PARA TRANSPORTE AL PATIO DE PREFABRICADO, CONSIDERANDO 2 MOVIMIENTOS: UN MOVIMIENTO DE LA CIUDAD AL PATIO Y UN MOVIMIENTO DEL PATIO A LA CIUDAD).</t>
  </si>
  <si>
    <t>BME-3801-117-2025</t>
  </si>
  <si>
    <t>C5EXT-0166</t>
  </si>
  <si>
    <t>Servicios Fijos del Patio</t>
  </si>
  <si>
    <t>SERVICIO DE RENTA DE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t>
  </si>
  <si>
    <t>C5EXT-0167</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</si>
  <si>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</si>
  <si>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C5EXT-0168</t>
  </si>
  <si>
    <t>COMPRESOR DE AIRE PORTATIL DE 325 PCM, CON MOTOR DIESEL RANGO DE PRESIÓN 80/125 PSI.(5.5/8.6 BAR); INCLUYE MANGUERAS Y CONEXIONES.</t>
  </si>
  <si>
    <t>BME-3801-115-2025</t>
  </si>
  <si>
    <t>C5EXT-0169</t>
  </si>
  <si>
    <t>ESCAREADOR NEUMÁTICO CON MANGUERAS Y ACCESORIOS.</t>
  </si>
  <si>
    <t>C5EXT-0170</t>
  </si>
  <si>
    <t>PULIDORA NEUMÁTICA CON MANGUERAS Y ACCESORIOS.</t>
  </si>
  <si>
    <t>C5EXT-0171</t>
  </si>
  <si>
    <t>EQUIPO COMPLETO DE RADIOGRAFÍA INDUSTRIAL PARA INSPECCIÓN DE JUNTAS SOLDADAS EN ELEMENTOS METÁLICOS, INCLUYE FUENTE EMISORA, SISTEMA DE REGISTRO DE IMAGEN, ACCESORIOS DE EXPOSICIÓN Y DISPOSITIVOS DE CONTROL RADIOLÓGICO.</t>
  </si>
  <si>
    <t>C5EXT-0172</t>
  </si>
  <si>
    <t>INFRAESTRUCTURA MODULAR TEMPORAL ESCALABLE FABRICADA EN ALUMINIO DE ALTA RESISTENCIA ALIGERADA, CERTIFICADA. INCLUYE ACCESORIOS DE SEGURIDAD, TUBULARES VERTICALES, ARRIOSTRAMIENTOS DIAGONALES, CHAROLAS MULTIPERFORADAS.</t>
  </si>
  <si>
    <t>M2/DIA</t>
  </si>
  <si>
    <t>C5EXT-0173</t>
  </si>
  <si>
    <t>ALIMENTOS DE PERSONAL OPERATIVO EN TMDB (SOLO INCLUYE LA COMIDA).</t>
  </si>
  <si>
    <t>HOM/DIA</t>
  </si>
  <si>
    <t>C6EXT-0001</t>
  </si>
  <si>
    <t>TITULO DE LA PROPUESTA TECNICA</t>
  </si>
  <si>
    <t>ID</t>
  </si>
  <si>
    <t>OK</t>
  </si>
  <si>
    <t>VOLUMEN PTE</t>
  </si>
  <si>
    <t>IMPORTE PTE M.N.</t>
  </si>
  <si>
    <t>IMPORTE PTE USD</t>
  </si>
  <si>
    <t>TOTALES</t>
  </si>
  <si>
    <t>C-1</t>
  </si>
  <si>
    <t>Barco grúa con posicionamiento dinámico de acuerdo con las características requeridas en el Anexo “DT-4”.</t>
  </si>
  <si>
    <t>1.1.</t>
  </si>
  <si>
    <t>Barco Grúa con Posicionamiento Dinámico Clase 2 OMI de acuerdo a los Anexos “B” y “DT-4”</t>
  </si>
  <si>
    <t>C1EXT</t>
  </si>
  <si>
    <t>C-2</t>
  </si>
  <si>
    <t xml:space="preserve">Catálogo de conceptos de suministro y prefabricación de estructuras y Tubos para trabajos de rehabilitación y adecuación en tierra. </t>
  </si>
  <si>
    <t>Tubos</t>
  </si>
  <si>
    <t>Suministro, habilitación e instalación de tubo metálico de acero al carbón API-5l GR. B, extremos biselados, incluye: acarreo, carga, descarga, maniobras en el patio de prefabricados, así como embalado y acarreo del patio de prefabricado al muelle de embarque</t>
  </si>
  <si>
    <t>2.1.</t>
  </si>
  <si>
    <t>Tubo de acero al carbón de 8"Ø, XS, cédula 80, espesor de pared 0.500</t>
  </si>
  <si>
    <t>2.2.</t>
  </si>
  <si>
    <t>Tubo de acero al carbón de 10"Ø, estándar, cédula 40, espesor de pared 0.365</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</si>
  <si>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</si>
  <si>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</si>
  <si>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</si>
  <si>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</si>
  <si>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</si>
  <si>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</si>
  <si>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</si>
  <si>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</si>
  <si>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</si>
  <si>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</si>
  <si>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</si>
  <si>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</si>
  <si>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</si>
  <si>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</si>
  <si>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</si>
  <si>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</si>
  <si>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</si>
  <si>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</si>
  <si>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</si>
  <si>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</si>
  <si>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</si>
  <si>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</si>
  <si>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2.14.</t>
  </si>
  <si>
    <t>Tubo de acero al carbón de 24"Ø, espesor de pared 1.000</t>
  </si>
  <si>
    <t>2.15.</t>
  </si>
  <si>
    <t>Tubo de acero al carbón de 36"Ø, XS, cédula 20, espesor de pared 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</si>
</sst>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1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0"/>
      <name val="Arial"/>
      <family val="2"/>
    </font>
    <font>
      <b/>
      <sz val="12"/>
      <color theme="0"/>
      <name val="Swis721 Cn BT"/>
      <family val="2"/>
    </font>
    <font>
      <b/>
      <sz val="11"/>
      <color theme="0"/>
      <name val="Swis721 Cn BT"/>
      <family val="2"/>
    </font>
    <font>
      <sz val="11"/>
      <color theme="1"/>
      <name val="Arial Nova Cond"/>
      <family val="2"/>
    </font>
    <font>
      <strike/>
      <sz val="11"/>
      <color rgb="FFFF0000"/>
      <name val="Aptos Narrow"/>
      <family val="2"/>
      <scheme val="minor"/>
    </font>
    <font>
      <b/>
      <sz val="12"/>
      <name val="Arial Narrow"/>
    </font>
    <font>
      <b/>
      <sz val="9"/>
      <color rgb="FF000000"/>
      <name val="Arial Narrow"/>
    </font>
    <font>
      <sz val="11"/>
      <color theme="4" tint="-0.249977111117893"/>
      <name val="Aptos Narrow"/>
      <family val="2"/>
      <scheme val="minor"/>
    </font>
    <font>
      <sz val="11"/>
      <color theme="1"/>
      <name val="Arial Nova Cond"/>
    </font>
    <font>
      <b/>
      <strike/>
      <sz val="12"/>
      <color rgb="FFFF0000"/>
      <name val="Aptos Narrow"/>
      <family val="2"/>
      <scheme val="minor"/>
    </font>
    <font>
      <sz val="9"/>
      <color theme="8" tint="-0.499984740745262"/>
      <name val="Arial"/>
      <family val="2"/>
    </font>
    <font>
      <b/>
      <sz val="14"/>
      <color theme="1"/>
      <name val="Swis721 LtCn BT"/>
      <family val="2"/>
    </font>
    <font>
      <sz val="14"/>
      <color theme="1"/>
      <name val="Swis721 LtCn BT"/>
      <family val="2"/>
    </font>
    <font>
      <sz val="11"/>
      <color theme="8" tint="-0.499984740745262"/>
      <name val="Calibri"/>
      <family val="2"/>
    </font>
  </fonts>
  <fills count="6">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3" tint="9.9978637043366805E-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right/>
      <top/>
      <bottom style="thin">
        <color theme="4"/>
      </bottom>
      <diagonal/>
    </border>
    <border>
      <left/>
      <right/>
      <top style="thin">
        <color theme="4"/>
      </top>
      <bottom style="thin">
        <color theme="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1">
    <xf numFmtId="0" fontId="0" fillId="0" borderId="0"/>
    <xf numFmtId="44" fontId="1" fillId="0" borderId="0" applyFont="0" applyFill="0" applyBorder="0" applyAlignment="0" applyProtection="0"/>
    <xf numFmtId="0" fontId="4" fillId="0" borderId="0"/>
    <xf numFmtId="0" fontId="5"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8" fillId="0" borderId="0" applyFont="0" applyFill="0" applyBorder="0" applyAlignment="0" applyProtection="0"/>
    <xf numFmtId="0" fontId="8" fillId="0" borderId="0"/>
    <xf numFmtId="44" fontId="1" fillId="0" borderId="0" applyFont="0" applyFill="0" applyBorder="0" applyAlignment="0" applyProtection="0"/>
  </cellStyleXfs>
  <cellXfs count="43">
    <xf numFmtId="0" fontId="0" fillId="0" borderId="0" xfId="0"/>
    <xf numFmtId="2" fontId="0" fillId="0" borderId="0" xfId="0" applyNumberFormat="1"/>
    <xf numFmtId="0" fontId="3" fillId="4" borderId="0" xfId="0" applyFont="1" applyFill="1"/>
    <xf numFmtId="0" fontId="2" fillId="4" borderId="0" xfId="0" applyFont="1" applyFill="1" applyAlignment="1">
      <alignment horizontal="center" wrapText="1"/>
    </xf>
    <xf numFmtId="2" fontId="2" fillId="4" borderId="0" xfId="0" applyNumberFormat="1" applyFont="1" applyFill="1" applyAlignment="1">
      <alignment wrapText="1"/>
    </xf>
    <xf numFmtId="44" fontId="2" fillId="4" borderId="0" xfId="1" applyFont="1" applyFill="1" applyAlignment="1">
      <alignment wrapText="1"/>
    </xf>
    <xf numFmtId="0" fontId="6" fillId="5" borderId="2" xfId="2" quotePrefix="1" applyFont="1" applyFill="1" applyBorder="1" applyAlignment="1">
      <alignment horizontal="center" vertical="top" wrapText="1"/>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44" fontId="2" fillId="3" borderId="1" xfId="1" applyFont="1" applyFill="1" applyBorder="1" applyAlignment="1">
      <alignment horizontal="center" vertical="center"/>
    </xf>
    <xf numFmtId="15" fontId="7" fillId="3" borderId="1" xfId="3" applyNumberFormat="1" applyFont="1" applyFill="1" applyBorder="1" applyAlignment="1">
      <alignment horizontal="center" vertical="center" textRotation="90" readingOrder="1"/>
    </xf>
    <xf numFmtId="0" fontId="3" fillId="2" borderId="1" xfId="0" applyFont="1" applyFill="1" applyBorder="1"/>
    <xf numFmtId="0" fontId="3" fillId="2" borderId="1" xfId="0" applyFont="1" applyFill="1" applyBorder="1" applyAlignment="1">
      <alignment horizontal="center"/>
    </xf>
    <xf numFmtId="2" fontId="3" fillId="2" borderId="1" xfId="0" applyNumberFormat="1" applyFont="1" applyFill="1" applyBorder="1"/>
    <xf numFmtId="44" fontId="3" fillId="2" borderId="1" xfId="1" applyFont="1" applyFill="1" applyBorder="1"/>
    <xf numFmtId="0" fontId="0" fillId="0" borderId="1" xfId="0" applyBorder="1"/>
    <xf numFmtId="0" fontId="0" fillId="0" borderId="1" xfId="0" applyBorder="1" applyAlignment="1">
      <alignment horizontal="center"/>
    </xf>
    <xf numFmtId="2" fontId="0" fillId="0" borderId="1" xfId="0" applyNumberFormat="1" applyBorder="1"/>
    <xf numFmtId="44" fontId="0" fillId="0" borderId="1" xfId="1" applyFont="1" applyBorder="1"/>
    <xf numFmtId="49" fontId="0" fillId="0" borderId="1" xfId="0" applyNumberFormat="1" applyBorder="1" applyAlignment="1">
      <alignment horizontal="center"/>
    </xf>
    <xf numFmtId="2" fontId="3" fillId="4" borderId="0" xfId="0" applyNumberFormat="1" applyFont="1" applyFill="1"/>
    <xf numFmtId="0" fontId="0" fillId="0" borderId="0" xfId="6" applyFont="1"/>
    <xf numFmtId="0" fontId="0" fillId="0" borderId="0" xfId="6" applyFont="1" applyProtection="1">
      <protection locked="0"/>
    </xf>
    <xf numFmtId="0" fontId="9" fillId="0" borderId="0" xfId="6" applyFont="1"/>
    <xf numFmtId="0" fontId="0" fillId="0" borderId="0" xfId="6" applyFont="1" applyAlignment="1">
      <alignment vertical="center"/>
    </xf>
    <xf numFmtId="0" fontId="0" fillId="0" borderId="0" xfId="6" applyFont="1" applyAlignment="1">
      <alignment horizontal="center" vertical="center"/>
    </xf>
    <xf numFmtId="0" fontId="10" fillId="0" borderId="3"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0" fillId="0" borderId="4"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1" fillId="0" borderId="1"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2" fillId="0" borderId="0" xfId="8" applyNumberFormat="1" applyFont="1" applyAlignment="1">
      <alignment horizontal="center"/>
    </xf>
    <xf numFmtId="0" fontId="13" fillId="0" borderId="0" xfId="9" applyFont="1"/>
    <xf numFmtId="0" fontId="13" fillId="0" borderId="0" xfId="9" applyFont="1" applyAlignment="1">
      <alignment horizontal="center"/>
    </xf>
    <xf numFmtId="2" fontId="12" fillId="0" borderId="0" xfId="10" applyNumberFormat="1" applyFont="1" applyAlignment="1">
      <alignment horizontal="center" vertical="center"/>
    </xf>
    <xf numFmtId="44" fontId="12" fillId="0" borderId="0" xfId="8" applyFont="1" applyAlignment="1">
      <alignment horizontal="center" vertical="center"/>
    </xf>
    <xf numFmtId="49" fontId="12" fillId="0" borderId="0" xfId="8" applyNumberFormat="1" applyFont="1" applyAlignment="1">
      <alignment horizontal="center" vertical="center"/>
    </xf>
    <xf numFmtId="49" fontId="13" fillId="0" borderId="0" xfId="9" applyNumberFormat="1" applyFont="1"/>
    <xf numFmtId="14" fontId="12" fillId="0" borderId="0" xfId="10" applyNumberFormat="1" applyFont="1" applyAlignment="1">
      <alignment horizontal="center" vertical="center"/>
    </xf>
    <xf numFmtId="14" fontId="12" fillId="0" borderId="0" xfId="8" applyNumberFormat="1" applyFont="1" applyAlignment="1">
      <alignment horizontal="center" vertical="center"/>
    </xf>
    <xf numFmtId="14" fontId="9" fillId="0" borderId="0" xfId="8" applyNumberFormat="1" applyFont="1" applyAlignment="1">
      <alignment horizontal="center" vertical="center"/>
    </xf>
    <xf numFmtId="14" fontId="9" fillId="0" borderId="0" xfId="10" applyNumberFormat="1" applyFont="1" applyAlignment="1">
      <alignment horizontal="center" vertical="center"/>
    </xf>
    <xf numFmtId="14" fontId="14" fillId="0" borderId="0" xfId="10" applyNumberFormat="1" applyFont="1" applyAlignment="1">
      <alignment horizontal="center" vertical="center"/>
    </xf>
  </cellXfs>
  <cellStyles count="11">
    <cellStyle name="Millares 5" xfId="4" xr:uid="{BD2D5724-5F80-4F8C-8EE9-955B4DF5EFAD}"/>
    <cellStyle name="Moneda" xfId="1" builtinId="4"/>
    <cellStyle name="Moneda 2" xfId="8" xr:uid="{4A84807C-F33F-4721-9574-D69EB8179335}"/>
    <cellStyle name="Moneda 3" xfId="5" xr:uid="{AA86822F-47E6-467E-9944-88CA55D9E228}"/>
    <cellStyle name="Moneda 4" xfId="10" xr:uid="{7859B8DA-A6C8-40DE-9A53-2B77EA955519}"/>
    <cellStyle name="Normal" xfId="0" builtinId="0"/>
    <cellStyle name="Normal 2" xfId="9" xr:uid="{387CC8DF-9E2A-4DB5-96C8-D9D0560294C0}"/>
    <cellStyle name="Normal 3 3" xfId="3" xr:uid="{EB36B029-09FB-4467-A406-4645FAB8A74B}"/>
    <cellStyle name="Normal 64" xfId="6" xr:uid="{C5778A11-A68A-422A-83CB-4ECF7D6EF9E7}"/>
    <cellStyle name="Normal 73" xfId="2" xr:uid="{BE3E1613-46E5-4759-9731-E3C7BFCDB282}"/>
    <cellStyle name="Normal 73 2" xfId="7" xr:uid="{DE7D93A6-6B07-46B7-BE77-365F314F53A8}"/>
  </cellStyles>
  <dxfs count="21">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theme="4"/>
        </bottom>
      </border>
    </dxf>
    <dxf>
      <font>
        <b/>
        <i val="0"/>
        <strike val="0"/>
        <condense val="0"/>
        <extend val="0"/>
        <outline val="0"/>
        <shadow val="0"/>
        <u val="none"/>
        <vertAlign val="baseline"/>
        <sz val="12"/>
        <color auto="1"/>
        <name val="Arial Narrow"/>
        <family val="2"/>
        <scheme val="none"/>
      </font>
      <numFmt numFmtId="0" formatCode="General"/>
      <alignment horizontal="center" vertical="center" textRotation="0" wrapText="1" indent="0" justifyLastLine="0" shrinkToFit="0" readingOrder="0"/>
      <protection locked="0" hidden="0"/>
      <extLst>
        <ext xmlns:xfpb="http://schemas.microsoft.com/office/spreadsheetml/2022/featurepropertybag" uri="{0417FA29-78FA-4A13-93AC-8FF0FAFDF519}">
          <xfpb:DXFComplement i="0"/>
        </ext>
      </extLs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B2365-CDA6-4124-AEC4-086113DDA7DA}" name="Tabla1" displayName="Tabla1" ref="A1:T3057" totalsRowShown="0" headerRowDxfId="20" dataDxfId="18" headerRowBorderDxfId="19" dataCellStyle="Moneda">
  <autoFilter ref="A1:T3057" xr:uid="{801F0059-ECB5-4EF5-89C0-A1BC3238C13A}"/>
  <sortState xmlns:xlrd2="http://schemas.microsoft.com/office/spreadsheetml/2017/richdata2" ref="A2:T3006">
    <sortCondition ref="C1:C3057"/>
  </sortState>
  <tableColumns count="20">
    <tableColumn id="27" xr3:uid="{BC0EA75C-ACD9-486D-BE4C-E7248E061037}" name="ANEXO" dataDxfId="17" dataCellStyle="Moneda"/>
    <tableColumn id="9" xr3:uid="{07A50A06-E5A4-439A-BDCF-65C921E92F47}" name="PARTIDA"/>
    <tableColumn id="1" xr3:uid="{C33C0695-1B6D-4DF3-85D0-9745C23DF1B3}" name="Columna1" dataDxfId="16"/>
    <tableColumn id="11" xr3:uid="{CD7C8942-1AD7-434F-B913-2079AA039D74}" name="CONCEPTO"/>
    <tableColumn id="10" xr3:uid="{37302504-8615-4C12-8BAF-DBE4764D11EA}" name="UNIDAD" dataDxfId="15"/>
    <tableColumn id="20" xr3:uid="{7FA68A46-FAD7-4A90-89A8-9200221BC4BF}" name="CANTIDADES DE REFERENCIA" dataDxfId="14" dataCellStyle="Moneda"/>
    <tableColumn id="14" xr3:uid="{5C8F22C6-55E3-45D5-BC5B-50181FE774A1}" name="P.U. M.N." dataDxfId="13" dataCellStyle="Moneda"/>
    <tableColumn id="15" xr3:uid="{7B481333-CAF0-4BB0-A00A-5D4AA647CC85}" name="P.U. USD" dataDxfId="12" dataCellStyle="Moneda"/>
    <tableColumn id="22" xr3:uid="{AB5C2A24-0760-4B58-9BEE-20F7A2FD0C5B}" name="M.N." dataDxfId="11" dataCellStyle="Moneda">
      <calculatedColumnFormula>Tabla1[[#This Row],[P.U. M.N.]]*Tabla1[[#This Row],[CANTIDADES DE REFERENCIA]]</calculatedColumnFormula>
    </tableColumn>
    <tableColumn id="25" xr3:uid="{B43CA239-67E1-47D0-AA37-5B0D6D44664A}" name="U.S.D." dataDxfId="10" dataCellStyle="Moneda">
      <calculatedColumnFormula>Tabla1[[#This Row],[P.U. USD]]*Tabla1[[#This Row],[CANTIDADES DE REFERENCIA]]</calculatedColumnFormula>
    </tableColumn>
    <tableColumn id="24" xr3:uid="{AA0705BA-759B-4925-8C02-02233CD8C591}" name="ID PADRE" dataDxfId="9" dataCellStyle="Moneda"/>
    <tableColumn id="23" xr3:uid="{96567812-83CA-4335-8A81-7213720D8F89}" name="ID MADRE" dataDxfId="8" dataCellStyle="Moneda"/>
    <tableColumn id="21" xr3:uid="{6A3F0FFF-EF3C-4E74-B098-E07F313C2B5C}" name="ID HIJO" dataDxfId="7" dataCellStyle="Moneda"/>
    <tableColumn id="2" xr3:uid="{430B2440-0F88-4095-A896-D5309CDF5F23}" name="PTE CREACION" dataDxfId="6"/>
    <tableColumn id="3" xr3:uid="{97AFB59F-A48C-409C-B4DE-C51F258A150B}" name="OT CREACION" dataDxfId="5"/>
    <tableColumn id="16" xr3:uid="{7AD37551-298D-44DA-B23B-5B6AD4614465}" name="FECHA SANCION" dataDxfId="4" dataCellStyle="Moneda"/>
    <tableColumn id="17" xr3:uid="{D6692A55-7ED0-4554-A031-ADE3EF31B5DE}" name="PARTIDA EXT" dataDxfId="3"/>
    <tableColumn id="7" xr3:uid="{002FAB20-90F8-4F3A-886A-0A5A1332B212}" name="ESTATUS" dataDxfId="2"/>
    <tableColumn id="8" xr3:uid="{AB68C612-87A9-4C6B-87D0-5379FD1D96CB}" name="COMENTARIO" dataDxfId="1"/>
    <tableColumn id="26" xr3:uid="{79625153-D05D-4E7C-A33C-257BB6A50A4E}" name="ID BME" dataDxfId="0" dataCellStyle="Moneda"/>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E0F-E0AD-42FE-9747-270E6F74BAF9}">
  <sheetPr>
    <tabColor rgb="FFFFFF00"/>
  </sheetPr>
  <dimension ref="A1:T3057"/>
  <sheetViews>
    <sheetView workbookViewId="0"/>
  </sheetViews>
  <sheetFormatPr baseColWidth="10" defaultColWidth="9.109375" defaultRowHeight="14.4"/>
  <cols>
    <col min="1" max="1" width="9.109375" style="21"/>
    <col min="2" max="2" width="0" style="25" hidden="1" customWidth="1"/>
    <col min="3" max="3" width="16.44140625" style="25" bestFit="1" customWidth="1"/>
    <col min="4" max="5" width="17.109375" style="25" customWidth="1"/>
    <col min="6" max="6" width="34.109375" style="25" bestFit="1" customWidth="1"/>
    <col min="7" max="13" width="17.109375" style="25" customWidth="1"/>
    <col min="14" max="14" width="20.109375" style="25" bestFit="1" customWidth="1"/>
    <col min="15" max="15" width="39.88671875" style="25" bestFit="1" customWidth="1"/>
    <col min="16" max="16" width="20.33203125" style="24" bestFit="1" customWidth="1"/>
    <col min="17" max="17" width="23.6640625" style="24" bestFit="1" customWidth="1"/>
    <col min="18" max="18" width="20.6640625" style="21" bestFit="1" customWidth="1"/>
    <col min="19" max="19" width="45.88671875" style="21" customWidth="1"/>
    <col min="20" max="16384" width="9.109375" style="21"/>
  </cols>
  <sheetData>
    <row r="1" spans="1:20" s="22" customFormat="1" ht="15.75" customHeight="1">
      <c r="A1" s="26" t="s">
        <v>0</v>
      </c>
      <c r="B1" s="27" t="s">
        <v>1</v>
      </c>
      <c r="C1" s="27" t="s">
        <v>2</v>
      </c>
      <c r="D1" s="27" t="s">
        <v>3</v>
      </c>
      <c r="E1" s="27" t="s">
        <v>4</v>
      </c>
      <c r="F1" s="27" t="s">
        <v>5</v>
      </c>
      <c r="G1" s="27" t="s">
        <v>6</v>
      </c>
      <c r="H1" s="27" t="s">
        <v>7</v>
      </c>
      <c r="I1" s="28" t="s">
        <v>8</v>
      </c>
      <c r="J1" s="29" t="s">
        <v>9</v>
      </c>
      <c r="K1" s="30" t="s">
        <v>10</v>
      </c>
      <c r="L1" s="30" t="s">
        <v>11</v>
      </c>
      <c r="M1" s="30" t="s">
        <v>12</v>
      </c>
      <c r="N1" s="27" t="s">
        <v>13</v>
      </c>
      <c r="O1" s="27" t="s">
        <v>14</v>
      </c>
      <c r="P1" s="27" t="s">
        <v>15</v>
      </c>
      <c r="Q1" s="27" t="s">
        <v>16</v>
      </c>
      <c r="R1" s="26" t="s">
        <v>17</v>
      </c>
      <c r="S1" s="26" t="s">
        <v>18</v>
      </c>
      <c r="T1" s="26" t="s">
        <v>19</v>
      </c>
    </row>
    <row r="2" spans="1:20">
      <c r="A2" s="31" t="s">
        <v>20</v>
      </c>
      <c r="B2" s="32" t="s">
        <v>21</v>
      </c>
      <c r="C2" s="33" t="str">
        <f>Tabla1[[#This Row],[PARTIDA]] &amp; "."</f>
        <v>1C-009.</v>
      </c>
      <c r="D2" s="32" t="s">
        <v>22</v>
      </c>
      <c r="E2" s="33" t="s">
        <v>23</v>
      </c>
      <c r="F2" s="34">
        <v>1</v>
      </c>
      <c r="G2" s="35">
        <v>10449.94</v>
      </c>
      <c r="H2" s="35">
        <v>79712.5</v>
      </c>
      <c r="I2" s="35">
        <f>Tabla1[[#This Row],[P.U. M.N.]]*Tabla1[[#This Row],[CANTIDADES DE REFERENCIA]]</f>
        <v>10449.94</v>
      </c>
      <c r="J2" s="35">
        <f>Tabla1[[#This Row],[P.U. USD]]*Tabla1[[#This Row],[CANTIDADES DE REFERENCIA]]</f>
        <v>79712.5</v>
      </c>
      <c r="K2" s="36"/>
      <c r="L2" s="36"/>
      <c r="M2" s="36"/>
      <c r="N2" s="37" t="s">
        <v>24</v>
      </c>
      <c r="O2" s="37" t="s">
        <v>25</v>
      </c>
      <c r="P2" s="38">
        <v>45562</v>
      </c>
      <c r="Q2" s="37" t="s">
        <v>26</v>
      </c>
      <c r="R2" s="37"/>
      <c r="S2" s="37" t="s">
        <v>27</v>
      </c>
      <c r="T2" s="31"/>
    </row>
    <row r="3" spans="1:20">
      <c r="A3" s="31" t="s">
        <v>28</v>
      </c>
      <c r="B3" s="32" t="s">
        <v>29</v>
      </c>
      <c r="C3" s="33" t="str">
        <f>Tabla1[[#This Row],[PARTIDA]] &amp; "."</f>
        <v>1C-010.</v>
      </c>
      <c r="D3" s="32" t="s">
        <v>30</v>
      </c>
      <c r="E3" s="33" t="s">
        <v>23</v>
      </c>
      <c r="F3" s="34">
        <v>1</v>
      </c>
      <c r="G3" s="35">
        <v>7740.7</v>
      </c>
      <c r="H3" s="35">
        <v>61317.31</v>
      </c>
      <c r="I3" s="35">
        <f>Tabla1[[#This Row],[P.U. M.N.]]*Tabla1[[#This Row],[CANTIDADES DE REFERENCIA]]</f>
        <v>7740.7</v>
      </c>
      <c r="J3" s="35">
        <f>Tabla1[[#This Row],[P.U. USD]]*Tabla1[[#This Row],[CANTIDADES DE REFERENCIA]]</f>
        <v>61317.31</v>
      </c>
      <c r="K3" s="36"/>
      <c r="L3" s="36"/>
      <c r="M3" s="36"/>
      <c r="N3" s="37" t="s">
        <v>31</v>
      </c>
      <c r="O3" s="37"/>
      <c r="P3" s="38">
        <v>45680</v>
      </c>
      <c r="Q3" s="37" t="s">
        <v>32</v>
      </c>
      <c r="R3" s="37"/>
      <c r="S3" s="37" t="s">
        <v>33</v>
      </c>
      <c r="T3" s="31"/>
    </row>
    <row r="4" spans="1:20">
      <c r="A4" s="31" t="s">
        <v>34</v>
      </c>
      <c r="B4" s="32" t="s">
        <v>35</v>
      </c>
      <c r="C4" s="33" t="str">
        <f>Tabla1[[#This Row],[PARTIDA]] &amp; "."</f>
        <v>1C-17.</v>
      </c>
      <c r="D4" s="32" t="s">
        <v>36</v>
      </c>
      <c r="E4" s="33" t="s">
        <v>23</v>
      </c>
      <c r="F4" s="34">
        <v>1</v>
      </c>
      <c r="G4" s="35">
        <v>10924.94</v>
      </c>
      <c r="H4" s="35">
        <v>84343.4</v>
      </c>
      <c r="I4" s="35">
        <f>Tabla1[[#This Row],[P.U. M.N.]]*Tabla1[[#This Row],[CANTIDADES DE REFERENCIA]]</f>
        <v>10924.94</v>
      </c>
      <c r="J4" s="35">
        <f>Tabla1[[#This Row],[P.U. USD]]*Tabla1[[#This Row],[CANTIDADES DE REFERENCIA]]</f>
        <v>84343.4</v>
      </c>
      <c r="K4" s="36"/>
      <c r="L4" s="36"/>
      <c r="M4" s="36"/>
      <c r="N4" s="37" t="s">
        <v>37</v>
      </c>
      <c r="O4" s="37"/>
      <c r="P4" s="39">
        <v>45968</v>
      </c>
      <c r="Q4" s="37" t="s">
        <v>38</v>
      </c>
      <c r="R4" s="37"/>
      <c r="S4" s="37"/>
      <c r="T4" s="31"/>
    </row>
    <row r="5" spans="1:20">
      <c r="A5" s="31" t="s">
        <v>39</v>
      </c>
      <c r="B5" s="32" t="s">
        <v>40</v>
      </c>
      <c r="C5" s="33" t="str">
        <f>Tabla1[[#This Row],[PARTIDA]] &amp; "."</f>
        <v>10C-11.</v>
      </c>
      <c r="D5" s="32" t="s">
        <v>41</v>
      </c>
      <c r="E5" s="33" t="s">
        <v>42</v>
      </c>
      <c r="F5" s="34">
        <v>1</v>
      </c>
      <c r="G5" s="35">
        <v>110951.67999999999</v>
      </c>
      <c r="H5" s="35">
        <v>141510.07999999999</v>
      </c>
      <c r="I5" s="35">
        <f>Tabla1[[#This Row],[P.U. M.N.]]*Tabla1[[#This Row],[CANTIDADES DE REFERENCIA]]</f>
        <v>110951.67999999999</v>
      </c>
      <c r="J5" s="35">
        <f>Tabla1[[#This Row],[P.U. USD]]*Tabla1[[#This Row],[CANTIDADES DE REFERENCIA]]</f>
        <v>141510.07999999999</v>
      </c>
      <c r="K5" s="36"/>
      <c r="L5" s="36"/>
      <c r="M5" s="36"/>
      <c r="N5" s="37" t="s">
        <v>43</v>
      </c>
      <c r="O5" s="37" t="s">
        <v>44</v>
      </c>
      <c r="P5" s="38">
        <v>45814</v>
      </c>
      <c r="Q5" s="37" t="s">
        <v>45</v>
      </c>
      <c r="R5" s="37"/>
      <c r="S5" s="37" t="s">
        <v>46</v>
      </c>
      <c r="T5" s="31"/>
    </row>
    <row r="6" spans="1:20">
      <c r="A6" s="31" t="s">
        <v>39</v>
      </c>
      <c r="B6" s="32" t="s">
        <v>47</v>
      </c>
      <c r="C6" s="33" t="str">
        <f>Tabla1[[#This Row],[PARTIDA]] &amp; "."</f>
        <v>11C-11.</v>
      </c>
      <c r="D6" s="32" t="s">
        <v>48</v>
      </c>
      <c r="E6" s="33" t="s">
        <v>42</v>
      </c>
      <c r="F6" s="34">
        <v>1</v>
      </c>
      <c r="G6" s="35">
        <v>983041.65</v>
      </c>
      <c r="H6" s="35">
        <v>141510.07999999999</v>
      </c>
      <c r="I6" s="35">
        <f>Tabla1[[#This Row],[P.U. M.N.]]*Tabla1[[#This Row],[CANTIDADES DE REFERENCIA]]</f>
        <v>983041.65</v>
      </c>
      <c r="J6" s="35">
        <f>Tabla1[[#This Row],[P.U. USD]]*Tabla1[[#This Row],[CANTIDADES DE REFERENCIA]]</f>
        <v>141510.07999999999</v>
      </c>
      <c r="K6" s="36"/>
      <c r="L6" s="36"/>
      <c r="M6" s="36"/>
      <c r="N6" s="37" t="s">
        <v>49</v>
      </c>
      <c r="O6" s="37" t="s">
        <v>50</v>
      </c>
      <c r="P6" s="38">
        <v>45814</v>
      </c>
      <c r="Q6" s="37" t="s">
        <v>51</v>
      </c>
      <c r="R6" s="37"/>
      <c r="S6" s="37" t="s">
        <v>52</v>
      </c>
      <c r="T6" s="31"/>
    </row>
    <row r="7" spans="1:20">
      <c r="A7" s="31"/>
      <c r="B7" s="32"/>
      <c r="C7" s="33"/>
      <c r="D7" s="32" t="s">
        <v>53</v>
      </c>
      <c r="E7" s="33" t="s">
        <v>54</v>
      </c>
      <c r="F7" s="34">
        <v>1</v>
      </c>
      <c r="G7" s="35">
        <v>0</v>
      </c>
      <c r="H7" s="35">
        <v>0</v>
      </c>
      <c r="I7" s="35">
        <f>Tabla1[[#This Row],[P.U. M.N.]]*Tabla1[[#This Row],[CANTIDADES DE REFERENCIA]]</f>
        <v>0</v>
      </c>
      <c r="J7" s="35">
        <f>Tabla1[[#This Row],[P.U. USD]]*Tabla1[[#This Row],[CANTIDADES DE REFERENCIA]]</f>
        <v>0</v>
      </c>
      <c r="K7" s="36"/>
      <c r="L7" s="36"/>
      <c r="M7" s="36"/>
      <c r="N7" s="37" t="s">
        <v>55</v>
      </c>
      <c r="O7" s="37" t="s">
        <v>56</v>
      </c>
      <c r="P7" s="38"/>
      <c r="Q7" s="37" t="s">
        <v>57</v>
      </c>
      <c r="R7" s="37" t="s">
        <v>58</v>
      </c>
      <c r="S7" s="37" t="s">
        <v>59</v>
      </c>
      <c r="T7" s="31"/>
    </row>
    <row r="8" spans="1:20">
      <c r="A8" s="31"/>
      <c r="B8" s="32"/>
      <c r="C8" s="33"/>
      <c r="D8" s="32" t="s">
        <v>60</v>
      </c>
      <c r="E8" s="33" t="s">
        <v>61</v>
      </c>
      <c r="F8" s="34">
        <v>1</v>
      </c>
      <c r="G8" s="35">
        <v>0</v>
      </c>
      <c r="H8" s="35">
        <v>0</v>
      </c>
      <c r="I8" s="35">
        <f>Tabla1[[#This Row],[P.U. M.N.]]*Tabla1[[#This Row],[CANTIDADES DE REFERENCIA]]</f>
        <v>0</v>
      </c>
      <c r="J8" s="35">
        <f>Tabla1[[#This Row],[P.U. USD]]*Tabla1[[#This Row],[CANTIDADES DE REFERENCIA]]</f>
        <v>0</v>
      </c>
      <c r="K8" s="36"/>
      <c r="L8" s="36"/>
      <c r="M8" s="36"/>
      <c r="N8" s="37" t="s">
        <v>62</v>
      </c>
      <c r="O8" s="37" t="s">
        <v>63</v>
      </c>
      <c r="P8" s="38"/>
      <c r="Q8" s="37" t="s">
        <v>64</v>
      </c>
      <c r="R8" s="37"/>
      <c r="S8" s="37" t="s">
        <v>65</v>
      </c>
      <c r="T8" s="31"/>
    </row>
    <row r="9" spans="1:20">
      <c r="A9" s="31"/>
      <c r="B9" s="32"/>
      <c r="C9" s="33"/>
      <c r="D9" s="32" t="s">
        <v>66</v>
      </c>
      <c r="E9" s="33" t="s">
        <v>42</v>
      </c>
      <c r="F9" s="34">
        <v>1</v>
      </c>
      <c r="G9" s="35">
        <v>0</v>
      </c>
      <c r="H9" s="35">
        <v>0</v>
      </c>
      <c r="I9" s="35">
        <f>Tabla1[[#This Row],[P.U. M.N.]]*Tabla1[[#This Row],[CANTIDADES DE REFERENCIA]]</f>
        <v>0</v>
      </c>
      <c r="J9" s="35">
        <f>Tabla1[[#This Row],[P.U. USD]]*Tabla1[[#This Row],[CANTIDADES DE REFERENCIA]]</f>
        <v>0</v>
      </c>
      <c r="K9" s="36"/>
      <c r="L9" s="36"/>
      <c r="M9" s="36"/>
      <c r="N9" s="37" t="s">
        <v>62</v>
      </c>
      <c r="O9" s="37" t="s">
        <v>63</v>
      </c>
      <c r="P9" s="38"/>
      <c r="Q9" s="37" t="s">
        <v>67</v>
      </c>
      <c r="R9" s="37"/>
      <c r="S9" s="37" t="s">
        <v>65</v>
      </c>
      <c r="T9" s="31"/>
    </row>
    <row r="10" spans="1:20">
      <c r="A10" s="31"/>
      <c r="B10" s="32"/>
      <c r="C10" s="33"/>
      <c r="D10" s="32" t="s">
        <v>68</v>
      </c>
      <c r="E10" s="33" t="s">
        <v>42</v>
      </c>
      <c r="F10" s="34">
        <v>1</v>
      </c>
      <c r="G10" s="35">
        <v>0</v>
      </c>
      <c r="H10" s="35">
        <v>0</v>
      </c>
      <c r="I10" s="35">
        <f>Tabla1[[#This Row],[P.U. M.N.]]*Tabla1[[#This Row],[CANTIDADES DE REFERENCIA]]</f>
        <v>0</v>
      </c>
      <c r="J10" s="35">
        <f>Tabla1[[#This Row],[P.U. USD]]*Tabla1[[#This Row],[CANTIDADES DE REFERENCIA]]</f>
        <v>0</v>
      </c>
      <c r="K10" s="36"/>
      <c r="L10" s="36"/>
      <c r="M10" s="36"/>
      <c r="N10" s="37" t="s">
        <v>62</v>
      </c>
      <c r="O10" s="37" t="s">
        <v>63</v>
      </c>
      <c r="P10" s="38"/>
      <c r="Q10" s="37" t="s">
        <v>69</v>
      </c>
      <c r="R10" s="37"/>
      <c r="S10" s="37" t="s">
        <v>65</v>
      </c>
      <c r="T10" s="31"/>
    </row>
    <row r="11" spans="1:20">
      <c r="A11" s="31"/>
      <c r="B11" s="32"/>
      <c r="C11" s="33"/>
      <c r="D11" s="32" t="s">
        <v>70</v>
      </c>
      <c r="E11" s="33" t="s">
        <v>42</v>
      </c>
      <c r="F11" s="34">
        <v>1</v>
      </c>
      <c r="G11" s="35">
        <v>0</v>
      </c>
      <c r="H11" s="35">
        <v>0</v>
      </c>
      <c r="I11" s="35">
        <f>Tabla1[[#This Row],[P.U. M.N.]]*Tabla1[[#This Row],[CANTIDADES DE REFERENCIA]]</f>
        <v>0</v>
      </c>
      <c r="J11" s="35">
        <f>Tabla1[[#This Row],[P.U. USD]]*Tabla1[[#This Row],[CANTIDADES DE REFERENCIA]]</f>
        <v>0</v>
      </c>
      <c r="K11" s="36"/>
      <c r="L11" s="36"/>
      <c r="M11" s="36"/>
      <c r="N11" s="37" t="s">
        <v>62</v>
      </c>
      <c r="O11" s="37" t="s">
        <v>63</v>
      </c>
      <c r="P11" s="38"/>
      <c r="Q11" s="37" t="s">
        <v>71</v>
      </c>
      <c r="R11" s="37"/>
      <c r="S11" s="37" t="s">
        <v>65</v>
      </c>
      <c r="T11" s="31"/>
    </row>
    <row r="12" spans="1:20">
      <c r="A12" s="31"/>
      <c r="B12" s="32"/>
      <c r="C12" s="33"/>
      <c r="D12" s="32" t="s">
        <v>72</v>
      </c>
      <c r="E12" s="33" t="s">
        <v>42</v>
      </c>
      <c r="F12" s="34">
        <v>1</v>
      </c>
      <c r="G12" s="35">
        <v>0</v>
      </c>
      <c r="H12" s="35">
        <v>0</v>
      </c>
      <c r="I12" s="35">
        <f>Tabla1[[#This Row],[P.U. M.N.]]*Tabla1[[#This Row],[CANTIDADES DE REFERENCIA]]</f>
        <v>0</v>
      </c>
      <c r="J12" s="35">
        <f>Tabla1[[#This Row],[P.U. USD]]*Tabla1[[#This Row],[CANTIDADES DE REFERENCIA]]</f>
        <v>0</v>
      </c>
      <c r="K12" s="36"/>
      <c r="L12" s="36"/>
      <c r="M12" s="36"/>
      <c r="N12" s="37" t="s">
        <v>62</v>
      </c>
      <c r="O12" s="37" t="s">
        <v>63</v>
      </c>
      <c r="P12" s="38"/>
      <c r="Q12" s="37" t="s">
        <v>73</v>
      </c>
      <c r="R12" s="37"/>
      <c r="S12" s="37" t="s">
        <v>65</v>
      </c>
      <c r="T12" s="31"/>
    </row>
    <row r="13" spans="1:20">
      <c r="A13" s="31"/>
      <c r="B13" s="32"/>
      <c r="C13" s="33"/>
      <c r="D13" s="32" t="s">
        <v>74</v>
      </c>
      <c r="E13" s="33" t="s">
        <v>42</v>
      </c>
      <c r="F13" s="34">
        <v>1</v>
      </c>
      <c r="G13" s="35">
        <v>0</v>
      </c>
      <c r="H13" s="35">
        <v>0</v>
      </c>
      <c r="I13" s="35">
        <f>Tabla1[[#This Row],[P.U. M.N.]]*Tabla1[[#This Row],[CANTIDADES DE REFERENCIA]]</f>
        <v>0</v>
      </c>
      <c r="J13" s="35">
        <f>Tabla1[[#This Row],[P.U. USD]]*Tabla1[[#This Row],[CANTIDADES DE REFERENCIA]]</f>
        <v>0</v>
      </c>
      <c r="K13" s="36"/>
      <c r="L13" s="36"/>
      <c r="M13" s="36"/>
      <c r="N13" s="37" t="s">
        <v>62</v>
      </c>
      <c r="O13" s="37" t="s">
        <v>63</v>
      </c>
      <c r="P13" s="38"/>
      <c r="Q13" s="37" t="s">
        <v>75</v>
      </c>
      <c r="R13" s="37"/>
      <c r="S13" s="37" t="s">
        <v>65</v>
      </c>
      <c r="T13" s="31"/>
    </row>
    <row r="14" spans="1:20">
      <c r="A14" s="31"/>
      <c r="B14" s="32"/>
      <c r="C14" s="33"/>
      <c r="D14" s="32" t="s">
        <v>76</v>
      </c>
      <c r="E14" s="33" t="s">
        <v>42</v>
      </c>
      <c r="F14" s="34">
        <v>1</v>
      </c>
      <c r="G14" s="35">
        <v>0</v>
      </c>
      <c r="H14" s="35">
        <v>0</v>
      </c>
      <c r="I14" s="35">
        <f>Tabla1[[#This Row],[P.U. M.N.]]*Tabla1[[#This Row],[CANTIDADES DE REFERENCIA]]</f>
        <v>0</v>
      </c>
      <c r="J14" s="35">
        <f>Tabla1[[#This Row],[P.U. USD]]*Tabla1[[#This Row],[CANTIDADES DE REFERENCIA]]</f>
        <v>0</v>
      </c>
      <c r="K14" s="36"/>
      <c r="L14" s="36"/>
      <c r="M14" s="36"/>
      <c r="N14" s="37" t="s">
        <v>62</v>
      </c>
      <c r="O14" s="37" t="s">
        <v>63</v>
      </c>
      <c r="P14" s="38"/>
      <c r="Q14" s="37" t="s">
        <v>77</v>
      </c>
      <c r="R14" s="37"/>
      <c r="S14" s="37" t="s">
        <v>65</v>
      </c>
      <c r="T14" s="31"/>
    </row>
    <row r="15" spans="1:20">
      <c r="A15" s="31"/>
      <c r="B15" s="32"/>
      <c r="C15" s="33"/>
      <c r="D15" s="32" t="s">
        <v>78</v>
      </c>
      <c r="E15" s="33" t="s">
        <v>54</v>
      </c>
      <c r="F15" s="34">
        <v>1</v>
      </c>
      <c r="G15" s="35">
        <v>0</v>
      </c>
      <c r="H15" s="35">
        <v>0</v>
      </c>
      <c r="I15" s="35">
        <f>Tabla1[[#This Row],[P.U. M.N.]]*Tabla1[[#This Row],[CANTIDADES DE REFERENCIA]]</f>
        <v>0</v>
      </c>
      <c r="J15" s="35">
        <f>Tabla1[[#This Row],[P.U. USD]]*Tabla1[[#This Row],[CANTIDADES DE REFERENCIA]]</f>
        <v>0</v>
      </c>
      <c r="K15" s="36"/>
      <c r="L15" s="36"/>
      <c r="M15" s="36"/>
      <c r="N15" s="37" t="s">
        <v>79</v>
      </c>
      <c r="O15" s="37" t="s">
        <v>80</v>
      </c>
      <c r="P15" s="38"/>
      <c r="Q15" s="37" t="s">
        <v>81</v>
      </c>
      <c r="R15" s="37" t="s">
        <v>58</v>
      </c>
      <c r="S15" s="37" t="s">
        <v>82</v>
      </c>
      <c r="T15" s="31"/>
    </row>
    <row r="16" spans="1:20">
      <c r="A16" s="31"/>
      <c r="B16" s="32"/>
      <c r="C16" s="33"/>
      <c r="D16" s="32" t="s">
        <v>83</v>
      </c>
      <c r="E16" s="33" t="s">
        <v>54</v>
      </c>
      <c r="F16" s="34">
        <v>1</v>
      </c>
      <c r="G16" s="35">
        <v>0</v>
      </c>
      <c r="H16" s="35">
        <v>0</v>
      </c>
      <c r="I16" s="35">
        <f>Tabla1[[#This Row],[P.U. M.N.]]*Tabla1[[#This Row],[CANTIDADES DE REFERENCIA]]</f>
        <v>0</v>
      </c>
      <c r="J16" s="35">
        <f>Tabla1[[#This Row],[P.U. USD]]*Tabla1[[#This Row],[CANTIDADES DE REFERENCIA]]</f>
        <v>0</v>
      </c>
      <c r="K16" s="36"/>
      <c r="L16" s="36"/>
      <c r="M16" s="36"/>
      <c r="N16" s="37" t="s">
        <v>79</v>
      </c>
      <c r="O16" s="37" t="s">
        <v>80</v>
      </c>
      <c r="P16" s="38"/>
      <c r="Q16" s="37" t="s">
        <v>84</v>
      </c>
      <c r="R16" s="37"/>
      <c r="S16" s="37" t="s">
        <v>82</v>
      </c>
      <c r="T16" s="31"/>
    </row>
    <row r="17" spans="1:20">
      <c r="A17" s="31"/>
      <c r="B17" s="32"/>
      <c r="C17" s="33"/>
      <c r="D17" s="32" t="s">
        <v>85</v>
      </c>
      <c r="E17" s="33" t="s">
        <v>61</v>
      </c>
      <c r="F17" s="34">
        <v>1</v>
      </c>
      <c r="G17" s="35">
        <v>0</v>
      </c>
      <c r="H17" s="35">
        <v>0</v>
      </c>
      <c r="I17" s="35">
        <f>Tabla1[[#This Row],[P.U. M.N.]]*Tabla1[[#This Row],[CANTIDADES DE REFERENCIA]]</f>
        <v>0</v>
      </c>
      <c r="J17" s="35">
        <f>Tabla1[[#This Row],[P.U. USD]]*Tabla1[[#This Row],[CANTIDADES DE REFERENCIA]]</f>
        <v>0</v>
      </c>
      <c r="K17" s="36"/>
      <c r="L17" s="36"/>
      <c r="M17" s="36"/>
      <c r="N17" s="37" t="s">
        <v>79</v>
      </c>
      <c r="O17" s="37" t="s">
        <v>80</v>
      </c>
      <c r="P17" s="38"/>
      <c r="Q17" s="37" t="s">
        <v>86</v>
      </c>
      <c r="R17" s="37"/>
      <c r="S17" s="37" t="s">
        <v>82</v>
      </c>
      <c r="T17" s="31"/>
    </row>
    <row r="18" spans="1:20">
      <c r="A18" s="31"/>
      <c r="B18" s="32"/>
      <c r="C18" s="33"/>
      <c r="D18" s="32" t="s">
        <v>87</v>
      </c>
      <c r="E18" s="33" t="s">
        <v>88</v>
      </c>
      <c r="F18" s="34">
        <v>1</v>
      </c>
      <c r="G18" s="35">
        <v>0</v>
      </c>
      <c r="H18" s="35">
        <v>0</v>
      </c>
      <c r="I18" s="35">
        <f>Tabla1[[#This Row],[P.U. M.N.]]*Tabla1[[#This Row],[CANTIDADES DE REFERENCIA]]</f>
        <v>0</v>
      </c>
      <c r="J18" s="35">
        <f>Tabla1[[#This Row],[P.U. USD]]*Tabla1[[#This Row],[CANTIDADES DE REFERENCIA]]</f>
        <v>0</v>
      </c>
      <c r="K18" s="36"/>
      <c r="L18" s="36"/>
      <c r="M18" s="36"/>
      <c r="N18" s="37" t="s">
        <v>89</v>
      </c>
      <c r="O18" s="37" t="s">
        <v>90</v>
      </c>
      <c r="P18" s="38"/>
      <c r="Q18" s="37" t="s">
        <v>91</v>
      </c>
      <c r="R18" s="37" t="s">
        <v>58</v>
      </c>
      <c r="S18" s="37" t="s">
        <v>92</v>
      </c>
      <c r="T18" s="31"/>
    </row>
    <row r="19" spans="1:20">
      <c r="A19" s="31"/>
      <c r="B19" s="32"/>
      <c r="C19" s="33"/>
      <c r="D19" s="32" t="s">
        <v>93</v>
      </c>
      <c r="E19" s="33" t="s">
        <v>42</v>
      </c>
      <c r="F19" s="34">
        <v>1</v>
      </c>
      <c r="G19" s="35">
        <v>0</v>
      </c>
      <c r="H19" s="35">
        <v>0</v>
      </c>
      <c r="I19" s="35">
        <f>Tabla1[[#This Row],[P.U. M.N.]]*Tabla1[[#This Row],[CANTIDADES DE REFERENCIA]]</f>
        <v>0</v>
      </c>
      <c r="J19" s="35">
        <f>Tabla1[[#This Row],[P.U. USD]]*Tabla1[[#This Row],[CANTIDADES DE REFERENCIA]]</f>
        <v>0</v>
      </c>
      <c r="K19" s="36"/>
      <c r="L19" s="36"/>
      <c r="M19" s="36"/>
      <c r="N19" s="37" t="s">
        <v>62</v>
      </c>
      <c r="O19" s="37" t="s">
        <v>63</v>
      </c>
      <c r="P19" s="38"/>
      <c r="Q19" s="37" t="s">
        <v>94</v>
      </c>
      <c r="R19" s="37"/>
      <c r="S19" s="37" t="s">
        <v>65</v>
      </c>
      <c r="T19" s="31"/>
    </row>
    <row r="20" spans="1:20">
      <c r="A20" s="31"/>
      <c r="B20" s="32"/>
      <c r="C20" s="33"/>
      <c r="D20" s="32" t="s">
        <v>95</v>
      </c>
      <c r="E20" s="33" t="s">
        <v>42</v>
      </c>
      <c r="F20" s="34">
        <v>1</v>
      </c>
      <c r="G20" s="35">
        <v>0</v>
      </c>
      <c r="H20" s="35">
        <v>0</v>
      </c>
      <c r="I20" s="35">
        <f>Tabla1[[#This Row],[P.U. M.N.]]*Tabla1[[#This Row],[CANTIDADES DE REFERENCIA]]</f>
        <v>0</v>
      </c>
      <c r="J20" s="35">
        <f>Tabla1[[#This Row],[P.U. USD]]*Tabla1[[#This Row],[CANTIDADES DE REFERENCIA]]</f>
        <v>0</v>
      </c>
      <c r="K20" s="36"/>
      <c r="L20" s="36"/>
      <c r="M20" s="36"/>
      <c r="N20" s="37" t="s">
        <v>62</v>
      </c>
      <c r="O20" s="37" t="s">
        <v>63</v>
      </c>
      <c r="P20" s="38"/>
      <c r="Q20" s="37" t="s">
        <v>96</v>
      </c>
      <c r="R20" s="37"/>
      <c r="S20" s="37" t="s">
        <v>65</v>
      </c>
      <c r="T20" s="31"/>
    </row>
    <row r="21" spans="1:20">
      <c r="A21" s="31"/>
      <c r="B21" s="32"/>
      <c r="C21" s="33"/>
      <c r="D21" s="32" t="s">
        <v>97</v>
      </c>
      <c r="E21" s="33" t="s">
        <v>42</v>
      </c>
      <c r="F21" s="34">
        <v>1</v>
      </c>
      <c r="G21" s="35">
        <v>0</v>
      </c>
      <c r="H21" s="35">
        <v>0</v>
      </c>
      <c r="I21" s="35">
        <f>Tabla1[[#This Row],[P.U. M.N.]]*Tabla1[[#This Row],[CANTIDADES DE REFERENCIA]]</f>
        <v>0</v>
      </c>
      <c r="J21" s="35">
        <f>Tabla1[[#This Row],[P.U. USD]]*Tabla1[[#This Row],[CANTIDADES DE REFERENCIA]]</f>
        <v>0</v>
      </c>
      <c r="K21" s="36"/>
      <c r="L21" s="36"/>
      <c r="M21" s="36"/>
      <c r="N21" s="37" t="s">
        <v>62</v>
      </c>
      <c r="O21" s="37" t="s">
        <v>63</v>
      </c>
      <c r="P21" s="38"/>
      <c r="Q21" s="37" t="s">
        <v>98</v>
      </c>
      <c r="R21" s="37"/>
      <c r="S21" s="37" t="s">
        <v>65</v>
      </c>
      <c r="T21" s="31"/>
    </row>
    <row r="22" spans="1:20">
      <c r="A22" s="31"/>
      <c r="B22" s="32"/>
      <c r="C22" s="33"/>
      <c r="D22" s="32" t="s">
        <v>99</v>
      </c>
      <c r="E22" s="33" t="s">
        <v>54</v>
      </c>
      <c r="F22" s="34">
        <v>1</v>
      </c>
      <c r="G22" s="35">
        <v>0</v>
      </c>
      <c r="H22" s="35">
        <v>0</v>
      </c>
      <c r="I22" s="35">
        <f>Tabla1[[#This Row],[P.U. M.N.]]*Tabla1[[#This Row],[CANTIDADES DE REFERENCIA]]</f>
        <v>0</v>
      </c>
      <c r="J22" s="35">
        <f>Tabla1[[#This Row],[P.U. USD]]*Tabla1[[#This Row],[CANTIDADES DE REFERENCIA]]</f>
        <v>0</v>
      </c>
      <c r="K22" s="36"/>
      <c r="L22" s="36"/>
      <c r="M22" s="36"/>
      <c r="N22" s="37" t="s">
        <v>79</v>
      </c>
      <c r="O22" s="37" t="s">
        <v>80</v>
      </c>
      <c r="P22" s="38"/>
      <c r="Q22" s="37" t="s">
        <v>100</v>
      </c>
      <c r="R22" s="37"/>
      <c r="S22" s="37" t="s">
        <v>82</v>
      </c>
      <c r="T22" s="31"/>
    </row>
    <row r="23" spans="1:20">
      <c r="A23" s="31"/>
      <c r="B23" s="32"/>
      <c r="C23" s="33"/>
      <c r="D23" s="32" t="s">
        <v>101</v>
      </c>
      <c r="E23" s="33" t="s">
        <v>54</v>
      </c>
      <c r="F23" s="34">
        <v>1</v>
      </c>
      <c r="G23" s="35">
        <v>0</v>
      </c>
      <c r="H23" s="35">
        <v>0</v>
      </c>
      <c r="I23" s="35">
        <f>Tabla1[[#This Row],[P.U. M.N.]]*Tabla1[[#This Row],[CANTIDADES DE REFERENCIA]]</f>
        <v>0</v>
      </c>
      <c r="J23" s="35">
        <f>Tabla1[[#This Row],[P.U. USD]]*Tabla1[[#This Row],[CANTIDADES DE REFERENCIA]]</f>
        <v>0</v>
      </c>
      <c r="K23" s="36"/>
      <c r="L23" s="36"/>
      <c r="M23" s="36"/>
      <c r="N23" s="37" t="s">
        <v>79</v>
      </c>
      <c r="O23" s="37" t="s">
        <v>80</v>
      </c>
      <c r="P23" s="38"/>
      <c r="Q23" s="37" t="s">
        <v>102</v>
      </c>
      <c r="R23" s="37"/>
      <c r="S23" s="37" t="s">
        <v>82</v>
      </c>
      <c r="T23" s="31"/>
    </row>
    <row r="24" spans="1:20">
      <c r="A24" s="31"/>
      <c r="B24" s="32"/>
      <c r="C24" s="33"/>
      <c r="D24" s="32" t="s">
        <v>103</v>
      </c>
      <c r="E24" s="33" t="s">
        <v>54</v>
      </c>
      <c r="F24" s="34">
        <v>1</v>
      </c>
      <c r="G24" s="35">
        <v>0</v>
      </c>
      <c r="H24" s="35">
        <v>0</v>
      </c>
      <c r="I24" s="35">
        <f>Tabla1[[#This Row],[P.U. M.N.]]*Tabla1[[#This Row],[CANTIDADES DE REFERENCIA]]</f>
        <v>0</v>
      </c>
      <c r="J24" s="35">
        <f>Tabla1[[#This Row],[P.U. USD]]*Tabla1[[#This Row],[CANTIDADES DE REFERENCIA]]</f>
        <v>0</v>
      </c>
      <c r="K24" s="36"/>
      <c r="L24" s="36"/>
      <c r="M24" s="36"/>
      <c r="N24" s="37" t="s">
        <v>79</v>
      </c>
      <c r="O24" s="37" t="s">
        <v>80</v>
      </c>
      <c r="P24" s="38"/>
      <c r="Q24" s="37" t="s">
        <v>104</v>
      </c>
      <c r="R24" s="37" t="s">
        <v>58</v>
      </c>
      <c r="S24" s="37" t="s">
        <v>82</v>
      </c>
      <c r="T24" s="31"/>
    </row>
    <row r="25" spans="1:20">
      <c r="A25" s="31"/>
      <c r="B25" s="32"/>
      <c r="C25" s="33"/>
      <c r="D25" s="32" t="s">
        <v>105</v>
      </c>
      <c r="E25" s="33" t="s">
        <v>54</v>
      </c>
      <c r="F25" s="34">
        <v>1</v>
      </c>
      <c r="G25" s="35">
        <v>0</v>
      </c>
      <c r="H25" s="35">
        <v>0</v>
      </c>
      <c r="I25" s="35">
        <f>Tabla1[[#This Row],[P.U. M.N.]]*Tabla1[[#This Row],[CANTIDADES DE REFERENCIA]]</f>
        <v>0</v>
      </c>
      <c r="J25" s="35">
        <f>Tabla1[[#This Row],[P.U. USD]]*Tabla1[[#This Row],[CANTIDADES DE REFERENCIA]]</f>
        <v>0</v>
      </c>
      <c r="K25" s="36"/>
      <c r="L25" s="36"/>
      <c r="M25" s="36"/>
      <c r="N25" s="37" t="s">
        <v>79</v>
      </c>
      <c r="O25" s="37" t="s">
        <v>80</v>
      </c>
      <c r="P25" s="38"/>
      <c r="Q25" s="37" t="s">
        <v>106</v>
      </c>
      <c r="R25" s="37"/>
      <c r="S25" s="37" t="s">
        <v>82</v>
      </c>
      <c r="T25" s="31"/>
    </row>
    <row r="26" spans="1:20">
      <c r="A26" s="31"/>
      <c r="B26" s="32"/>
      <c r="C26" s="33"/>
      <c r="D26" s="32" t="s">
        <v>107</v>
      </c>
      <c r="E26" s="33" t="s">
        <v>54</v>
      </c>
      <c r="F26" s="34">
        <v>1</v>
      </c>
      <c r="G26" s="35">
        <v>0</v>
      </c>
      <c r="H26" s="35">
        <v>0</v>
      </c>
      <c r="I26" s="35">
        <f>Tabla1[[#This Row],[P.U. M.N.]]*Tabla1[[#This Row],[CANTIDADES DE REFERENCIA]]</f>
        <v>0</v>
      </c>
      <c r="J26" s="35">
        <f>Tabla1[[#This Row],[P.U. USD]]*Tabla1[[#This Row],[CANTIDADES DE REFERENCIA]]</f>
        <v>0</v>
      </c>
      <c r="K26" s="36"/>
      <c r="L26" s="36"/>
      <c r="M26" s="36"/>
      <c r="N26" s="37" t="s">
        <v>79</v>
      </c>
      <c r="O26" s="37" t="s">
        <v>80</v>
      </c>
      <c r="P26" s="38"/>
      <c r="Q26" s="37" t="s">
        <v>108</v>
      </c>
      <c r="R26" s="37"/>
      <c r="S26" s="37" t="s">
        <v>82</v>
      </c>
      <c r="T26" s="31"/>
    </row>
    <row r="27" spans="1:20">
      <c r="A27" s="31"/>
      <c r="B27" s="32"/>
      <c r="C27" s="33"/>
      <c r="D27" s="32" t="s">
        <v>109</v>
      </c>
      <c r="E27" s="33" t="s">
        <v>54</v>
      </c>
      <c r="F27" s="34">
        <v>1</v>
      </c>
      <c r="G27" s="35">
        <v>0</v>
      </c>
      <c r="H27" s="35">
        <v>0</v>
      </c>
      <c r="I27" s="35">
        <f>Tabla1[[#This Row],[P.U. M.N.]]*Tabla1[[#This Row],[CANTIDADES DE REFERENCIA]]</f>
        <v>0</v>
      </c>
      <c r="J27" s="35">
        <f>Tabla1[[#This Row],[P.U. USD]]*Tabla1[[#This Row],[CANTIDADES DE REFERENCIA]]</f>
        <v>0</v>
      </c>
      <c r="K27" s="36"/>
      <c r="L27" s="36"/>
      <c r="M27" s="36"/>
      <c r="N27" s="37" t="s">
        <v>79</v>
      </c>
      <c r="O27" s="37" t="s">
        <v>80</v>
      </c>
      <c r="P27" s="38"/>
      <c r="Q27" s="37" t="s">
        <v>110</v>
      </c>
      <c r="R27" s="37"/>
      <c r="S27" s="37" t="s">
        <v>82</v>
      </c>
      <c r="T27" s="31"/>
    </row>
    <row r="28" spans="1:20">
      <c r="A28" s="31"/>
      <c r="B28" s="32"/>
      <c r="C28" s="33"/>
      <c r="D28" s="32" t="s">
        <v>111</v>
      </c>
      <c r="E28" s="33" t="s">
        <v>54</v>
      </c>
      <c r="F28" s="34">
        <v>1</v>
      </c>
      <c r="G28" s="35">
        <v>0</v>
      </c>
      <c r="H28" s="35">
        <v>0</v>
      </c>
      <c r="I28" s="35">
        <f>Tabla1[[#This Row],[P.U. M.N.]]*Tabla1[[#This Row],[CANTIDADES DE REFERENCIA]]</f>
        <v>0</v>
      </c>
      <c r="J28" s="35">
        <f>Tabla1[[#This Row],[P.U. USD]]*Tabla1[[#This Row],[CANTIDADES DE REFERENCIA]]</f>
        <v>0</v>
      </c>
      <c r="K28" s="36"/>
      <c r="L28" s="36"/>
      <c r="M28" s="36"/>
      <c r="N28" s="37" t="s">
        <v>79</v>
      </c>
      <c r="O28" s="37" t="s">
        <v>80</v>
      </c>
      <c r="P28" s="38"/>
      <c r="Q28" s="37" t="s">
        <v>112</v>
      </c>
      <c r="R28" s="37"/>
      <c r="S28" s="37" t="s">
        <v>82</v>
      </c>
      <c r="T28" s="31"/>
    </row>
    <row r="29" spans="1:20">
      <c r="A29" s="31"/>
      <c r="B29" s="32"/>
      <c r="C29" s="33"/>
      <c r="D29" s="32" t="s">
        <v>113</v>
      </c>
      <c r="E29" s="33" t="s">
        <v>54</v>
      </c>
      <c r="F29" s="34">
        <v>1</v>
      </c>
      <c r="G29" s="35">
        <v>0</v>
      </c>
      <c r="H29" s="35">
        <v>0</v>
      </c>
      <c r="I29" s="35">
        <f>Tabla1[[#This Row],[P.U. M.N.]]*Tabla1[[#This Row],[CANTIDADES DE REFERENCIA]]</f>
        <v>0</v>
      </c>
      <c r="J29" s="35">
        <f>Tabla1[[#This Row],[P.U. USD]]*Tabla1[[#This Row],[CANTIDADES DE REFERENCIA]]</f>
        <v>0</v>
      </c>
      <c r="K29" s="36"/>
      <c r="L29" s="36"/>
      <c r="M29" s="36"/>
      <c r="N29" s="37" t="s">
        <v>79</v>
      </c>
      <c r="O29" s="37" t="s">
        <v>80</v>
      </c>
      <c r="P29" s="38"/>
      <c r="Q29" s="37" t="s">
        <v>114</v>
      </c>
      <c r="R29" s="37"/>
      <c r="S29" s="37" t="s">
        <v>82</v>
      </c>
      <c r="T29" s="31"/>
    </row>
    <row r="30" spans="1:20">
      <c r="A30" s="31"/>
      <c r="B30" s="32"/>
      <c r="C30" s="33"/>
      <c r="D30" s="32" t="s">
        <v>115</v>
      </c>
      <c r="E30" s="33" t="s">
        <v>116</v>
      </c>
      <c r="F30" s="34">
        <v>1</v>
      </c>
      <c r="G30" s="35">
        <v>0</v>
      </c>
      <c r="H30" s="35">
        <v>0</v>
      </c>
      <c r="I30" s="35">
        <f>Tabla1[[#This Row],[P.U. M.N.]]*Tabla1[[#This Row],[CANTIDADES DE REFERENCIA]]</f>
        <v>0</v>
      </c>
      <c r="J30" s="35">
        <f>Tabla1[[#This Row],[P.U. USD]]*Tabla1[[#This Row],[CANTIDADES DE REFERENCIA]]</f>
        <v>0</v>
      </c>
      <c r="K30" s="36"/>
      <c r="L30" s="36"/>
      <c r="M30" s="36"/>
      <c r="N30" s="37" t="s">
        <v>117</v>
      </c>
      <c r="O30" s="37" t="s">
        <v>118</v>
      </c>
      <c r="P30" s="38"/>
      <c r="Q30" s="37" t="s">
        <v>119</v>
      </c>
      <c r="R30" s="37"/>
      <c r="S30" s="37" t="s">
        <v>120</v>
      </c>
      <c r="T30" s="31"/>
    </row>
    <row r="31" spans="1:20">
      <c r="A31" s="31"/>
      <c r="B31" s="32"/>
      <c r="C31" s="33"/>
      <c r="D31" s="32" t="s">
        <v>121</v>
      </c>
      <c r="E31" s="33" t="s">
        <v>54</v>
      </c>
      <c r="F31" s="34">
        <v>1</v>
      </c>
      <c r="G31" s="35">
        <v>0</v>
      </c>
      <c r="H31" s="35">
        <v>0</v>
      </c>
      <c r="I31" s="35">
        <f>Tabla1[[#This Row],[P.U. M.N.]]*Tabla1[[#This Row],[CANTIDADES DE REFERENCIA]]</f>
        <v>0</v>
      </c>
      <c r="J31" s="35">
        <f>Tabla1[[#This Row],[P.U. USD]]*Tabla1[[#This Row],[CANTIDADES DE REFERENCIA]]</f>
        <v>0</v>
      </c>
      <c r="K31" s="36"/>
      <c r="L31" s="36"/>
      <c r="M31" s="36"/>
      <c r="N31" s="37" t="s">
        <v>79</v>
      </c>
      <c r="O31" s="37" t="s">
        <v>80</v>
      </c>
      <c r="P31" s="38"/>
      <c r="Q31" s="37" t="s">
        <v>122</v>
      </c>
      <c r="R31" s="37"/>
      <c r="S31" s="37" t="s">
        <v>82</v>
      </c>
      <c r="T31" s="31"/>
    </row>
    <row r="32" spans="1:20">
      <c r="A32" s="31"/>
      <c r="B32" s="32"/>
      <c r="C32" s="33"/>
      <c r="D32" s="32" t="s">
        <v>123</v>
      </c>
      <c r="E32" s="33" t="s">
        <v>54</v>
      </c>
      <c r="F32" s="34">
        <v>1</v>
      </c>
      <c r="G32" s="35">
        <v>0</v>
      </c>
      <c r="H32" s="35">
        <v>0</v>
      </c>
      <c r="I32" s="35">
        <f>Tabla1[[#This Row],[P.U. M.N.]]*Tabla1[[#This Row],[CANTIDADES DE REFERENCIA]]</f>
        <v>0</v>
      </c>
      <c r="J32" s="35">
        <f>Tabla1[[#This Row],[P.U. USD]]*Tabla1[[#This Row],[CANTIDADES DE REFERENCIA]]</f>
        <v>0</v>
      </c>
      <c r="K32" s="36"/>
      <c r="L32" s="36"/>
      <c r="M32" s="36"/>
      <c r="N32" s="37" t="s">
        <v>79</v>
      </c>
      <c r="O32" s="37" t="s">
        <v>80</v>
      </c>
      <c r="P32" s="38"/>
      <c r="Q32" s="37" t="s">
        <v>124</v>
      </c>
      <c r="R32" s="37"/>
      <c r="S32" s="37" t="s">
        <v>82</v>
      </c>
      <c r="T32" s="31"/>
    </row>
    <row r="33" spans="1:20">
      <c r="A33" s="31"/>
      <c r="B33" s="32"/>
      <c r="C33" s="33"/>
      <c r="D33" s="32" t="s">
        <v>125</v>
      </c>
      <c r="E33" s="33" t="s">
        <v>54</v>
      </c>
      <c r="F33" s="34">
        <v>1</v>
      </c>
      <c r="G33" s="35">
        <v>0</v>
      </c>
      <c r="H33" s="35">
        <v>0</v>
      </c>
      <c r="I33" s="35">
        <f>Tabla1[[#This Row],[P.U. M.N.]]*Tabla1[[#This Row],[CANTIDADES DE REFERENCIA]]</f>
        <v>0</v>
      </c>
      <c r="J33" s="35">
        <f>Tabla1[[#This Row],[P.U. USD]]*Tabla1[[#This Row],[CANTIDADES DE REFERENCIA]]</f>
        <v>0</v>
      </c>
      <c r="K33" s="36"/>
      <c r="L33" s="36"/>
      <c r="M33" s="36"/>
      <c r="N33" s="37" t="s">
        <v>79</v>
      </c>
      <c r="O33" s="37" t="s">
        <v>80</v>
      </c>
      <c r="P33" s="38"/>
      <c r="Q33" s="37" t="s">
        <v>126</v>
      </c>
      <c r="R33" s="37"/>
      <c r="S33" s="37" t="s">
        <v>82</v>
      </c>
      <c r="T33" s="31"/>
    </row>
    <row r="34" spans="1:20">
      <c r="A34" s="31"/>
      <c r="B34" s="32"/>
      <c r="C34" s="33"/>
      <c r="D34" s="32" t="s">
        <v>127</v>
      </c>
      <c r="E34" s="33" t="s">
        <v>54</v>
      </c>
      <c r="F34" s="34">
        <v>1</v>
      </c>
      <c r="G34" s="35">
        <v>0</v>
      </c>
      <c r="H34" s="35">
        <v>0</v>
      </c>
      <c r="I34" s="35">
        <f>Tabla1[[#This Row],[P.U. M.N.]]*Tabla1[[#This Row],[CANTIDADES DE REFERENCIA]]</f>
        <v>0</v>
      </c>
      <c r="J34" s="35">
        <f>Tabla1[[#This Row],[P.U. USD]]*Tabla1[[#This Row],[CANTIDADES DE REFERENCIA]]</f>
        <v>0</v>
      </c>
      <c r="K34" s="36"/>
      <c r="L34" s="36"/>
      <c r="M34" s="36"/>
      <c r="N34" s="37" t="s">
        <v>79</v>
      </c>
      <c r="O34" s="37" t="s">
        <v>80</v>
      </c>
      <c r="P34" s="38"/>
      <c r="Q34" s="37" t="s">
        <v>128</v>
      </c>
      <c r="R34" s="37"/>
      <c r="S34" s="37" t="s">
        <v>82</v>
      </c>
      <c r="T34" s="31"/>
    </row>
    <row r="35" spans="1:20">
      <c r="A35" s="31"/>
      <c r="B35" s="32"/>
      <c r="C35" s="33"/>
      <c r="D35" s="32" t="s">
        <v>129</v>
      </c>
      <c r="E35" s="33" t="s">
        <v>130</v>
      </c>
      <c r="F35" s="34">
        <v>1</v>
      </c>
      <c r="G35" s="35">
        <v>0</v>
      </c>
      <c r="H35" s="35">
        <v>0</v>
      </c>
      <c r="I35" s="35">
        <f>Tabla1[[#This Row],[P.U. M.N.]]*Tabla1[[#This Row],[CANTIDADES DE REFERENCIA]]</f>
        <v>0</v>
      </c>
      <c r="J35" s="35">
        <f>Tabla1[[#This Row],[P.U. USD]]*Tabla1[[#This Row],[CANTIDADES DE REFERENCIA]]</f>
        <v>0</v>
      </c>
      <c r="K35" s="36"/>
      <c r="L35" s="36"/>
      <c r="M35" s="36"/>
      <c r="N35" s="37" t="s">
        <v>79</v>
      </c>
      <c r="O35" s="37" t="s">
        <v>80</v>
      </c>
      <c r="P35" s="38"/>
      <c r="Q35" s="37" t="s">
        <v>131</v>
      </c>
      <c r="R35" s="37"/>
      <c r="S35" s="37" t="s">
        <v>82</v>
      </c>
      <c r="T35" s="31"/>
    </row>
    <row r="36" spans="1:20">
      <c r="A36" s="31"/>
      <c r="B36" s="32"/>
      <c r="C36" s="33"/>
      <c r="D36" s="32" t="s">
        <v>132</v>
      </c>
      <c r="E36" s="33" t="s">
        <v>116</v>
      </c>
      <c r="F36" s="34">
        <v>1</v>
      </c>
      <c r="G36" s="35">
        <v>0</v>
      </c>
      <c r="H36" s="35">
        <v>0</v>
      </c>
      <c r="I36" s="35">
        <f>Tabla1[[#This Row],[P.U. M.N.]]*Tabla1[[#This Row],[CANTIDADES DE REFERENCIA]]</f>
        <v>0</v>
      </c>
      <c r="J36" s="35">
        <f>Tabla1[[#This Row],[P.U. USD]]*Tabla1[[#This Row],[CANTIDADES DE REFERENCIA]]</f>
        <v>0</v>
      </c>
      <c r="K36" s="36"/>
      <c r="L36" s="36"/>
      <c r="M36" s="36"/>
      <c r="N36" s="37" t="s">
        <v>79</v>
      </c>
      <c r="O36" s="37" t="s">
        <v>80</v>
      </c>
      <c r="P36" s="38"/>
      <c r="Q36" s="37" t="s">
        <v>133</v>
      </c>
      <c r="R36" s="37"/>
      <c r="S36" s="37" t="s">
        <v>82</v>
      </c>
      <c r="T36" s="31"/>
    </row>
    <row r="37" spans="1:20">
      <c r="A37" s="31"/>
      <c r="B37" s="32"/>
      <c r="C37" s="33"/>
      <c r="D37" s="32" t="s">
        <v>134</v>
      </c>
      <c r="E37" s="33" t="s">
        <v>135</v>
      </c>
      <c r="F37" s="34">
        <v>1</v>
      </c>
      <c r="G37" s="35">
        <v>0</v>
      </c>
      <c r="H37" s="35">
        <v>0</v>
      </c>
      <c r="I37" s="35">
        <f>Tabla1[[#This Row],[P.U. M.N.]]*Tabla1[[#This Row],[CANTIDADES DE REFERENCIA]]</f>
        <v>0</v>
      </c>
      <c r="J37" s="35">
        <f>Tabla1[[#This Row],[P.U. USD]]*Tabla1[[#This Row],[CANTIDADES DE REFERENCIA]]</f>
        <v>0</v>
      </c>
      <c r="K37" s="36"/>
      <c r="L37" s="36"/>
      <c r="M37" s="36"/>
      <c r="N37" s="37" t="s">
        <v>79</v>
      </c>
      <c r="O37" s="37" t="s">
        <v>118</v>
      </c>
      <c r="P37" s="38"/>
      <c r="Q37" s="37" t="s">
        <v>136</v>
      </c>
      <c r="R37" s="37"/>
      <c r="S37" s="37" t="s">
        <v>120</v>
      </c>
      <c r="T37" s="31"/>
    </row>
    <row r="38" spans="1:20">
      <c r="A38" s="31"/>
      <c r="B38" s="32"/>
      <c r="C38" s="33"/>
      <c r="D38" s="32" t="s">
        <v>137</v>
      </c>
      <c r="E38" s="33" t="s">
        <v>116</v>
      </c>
      <c r="F38" s="34">
        <v>1</v>
      </c>
      <c r="G38" s="35">
        <v>0</v>
      </c>
      <c r="H38" s="35">
        <v>0</v>
      </c>
      <c r="I38" s="35">
        <f>Tabla1[[#This Row],[P.U. M.N.]]*Tabla1[[#This Row],[CANTIDADES DE REFERENCIA]]</f>
        <v>0</v>
      </c>
      <c r="J38" s="35">
        <f>Tabla1[[#This Row],[P.U. USD]]*Tabla1[[#This Row],[CANTIDADES DE REFERENCIA]]</f>
        <v>0</v>
      </c>
      <c r="K38" s="36"/>
      <c r="L38" s="36"/>
      <c r="M38" s="36"/>
      <c r="N38" s="37" t="s">
        <v>117</v>
      </c>
      <c r="O38" s="37" t="s">
        <v>118</v>
      </c>
      <c r="P38" s="38"/>
      <c r="Q38" s="37" t="s">
        <v>138</v>
      </c>
      <c r="R38" s="37"/>
      <c r="S38" s="37" t="s">
        <v>120</v>
      </c>
      <c r="T38" s="31"/>
    </row>
    <row r="39" spans="1:20">
      <c r="A39" s="31"/>
      <c r="B39" s="32"/>
      <c r="C39" s="33"/>
      <c r="D39" s="32" t="s">
        <v>139</v>
      </c>
      <c r="E39" s="33" t="s">
        <v>116</v>
      </c>
      <c r="F39" s="34">
        <v>1</v>
      </c>
      <c r="G39" s="35">
        <v>0</v>
      </c>
      <c r="H39" s="35">
        <v>0</v>
      </c>
      <c r="I39" s="35">
        <f>Tabla1[[#This Row],[P.U. M.N.]]*Tabla1[[#This Row],[CANTIDADES DE REFERENCIA]]</f>
        <v>0</v>
      </c>
      <c r="J39" s="35">
        <f>Tabla1[[#This Row],[P.U. USD]]*Tabla1[[#This Row],[CANTIDADES DE REFERENCIA]]</f>
        <v>0</v>
      </c>
      <c r="K39" s="36"/>
      <c r="L39" s="36"/>
      <c r="M39" s="36"/>
      <c r="N39" s="37" t="s">
        <v>79</v>
      </c>
      <c r="O39" s="37" t="s">
        <v>80</v>
      </c>
      <c r="P39" s="38"/>
      <c r="Q39" s="37" t="s">
        <v>140</v>
      </c>
      <c r="R39" s="37" t="s">
        <v>58</v>
      </c>
      <c r="S39" s="37" t="s">
        <v>82</v>
      </c>
      <c r="T39" s="31"/>
    </row>
    <row r="40" spans="1:20">
      <c r="A40" s="31"/>
      <c r="B40" s="32"/>
      <c r="C40" s="33"/>
      <c r="D40" s="32" t="s">
        <v>141</v>
      </c>
      <c r="E40" s="33" t="s">
        <v>116</v>
      </c>
      <c r="F40" s="34">
        <v>1</v>
      </c>
      <c r="G40" s="35">
        <v>0</v>
      </c>
      <c r="H40" s="35">
        <v>0</v>
      </c>
      <c r="I40" s="35">
        <f>Tabla1[[#This Row],[P.U. M.N.]]*Tabla1[[#This Row],[CANTIDADES DE REFERENCIA]]</f>
        <v>0</v>
      </c>
      <c r="J40" s="35">
        <f>Tabla1[[#This Row],[P.U. USD]]*Tabla1[[#This Row],[CANTIDADES DE REFERENCIA]]</f>
        <v>0</v>
      </c>
      <c r="K40" s="36"/>
      <c r="L40" s="36"/>
      <c r="M40" s="36"/>
      <c r="N40" s="37" t="s">
        <v>79</v>
      </c>
      <c r="O40" s="37" t="s">
        <v>80</v>
      </c>
      <c r="P40" s="38"/>
      <c r="Q40" s="37" t="s">
        <v>142</v>
      </c>
      <c r="R40" s="37"/>
      <c r="S40" s="37" t="s">
        <v>82</v>
      </c>
      <c r="T40" s="31"/>
    </row>
    <row r="41" spans="1:20">
      <c r="A41" s="31"/>
      <c r="B41" s="32"/>
      <c r="C41" s="33"/>
      <c r="D41" s="32" t="s">
        <v>143</v>
      </c>
      <c r="E41" s="33" t="s">
        <v>116</v>
      </c>
      <c r="F41" s="34">
        <v>1</v>
      </c>
      <c r="G41" s="35">
        <v>0</v>
      </c>
      <c r="H41" s="35">
        <v>0</v>
      </c>
      <c r="I41" s="35">
        <f>Tabla1[[#This Row],[P.U. M.N.]]*Tabla1[[#This Row],[CANTIDADES DE REFERENCIA]]</f>
        <v>0</v>
      </c>
      <c r="J41" s="35">
        <f>Tabla1[[#This Row],[P.U. USD]]*Tabla1[[#This Row],[CANTIDADES DE REFERENCIA]]</f>
        <v>0</v>
      </c>
      <c r="K41" s="36"/>
      <c r="L41" s="36"/>
      <c r="M41" s="36"/>
      <c r="N41" s="37" t="s">
        <v>79</v>
      </c>
      <c r="O41" s="37" t="s">
        <v>80</v>
      </c>
      <c r="P41" s="38"/>
      <c r="Q41" s="37" t="s">
        <v>144</v>
      </c>
      <c r="R41" s="37"/>
      <c r="S41" s="37" t="s">
        <v>82</v>
      </c>
      <c r="T41" s="31"/>
    </row>
    <row r="42" spans="1:20">
      <c r="A42" s="31"/>
      <c r="B42" s="32"/>
      <c r="C42" s="33"/>
      <c r="D42" s="32" t="s">
        <v>145</v>
      </c>
      <c r="E42" s="33" t="s">
        <v>116</v>
      </c>
      <c r="F42" s="34">
        <v>1</v>
      </c>
      <c r="G42" s="35">
        <v>0</v>
      </c>
      <c r="H42" s="35">
        <v>0</v>
      </c>
      <c r="I42" s="35">
        <f>Tabla1[[#This Row],[P.U. M.N.]]*Tabla1[[#This Row],[CANTIDADES DE REFERENCIA]]</f>
        <v>0</v>
      </c>
      <c r="J42" s="35">
        <f>Tabla1[[#This Row],[P.U. USD]]*Tabla1[[#This Row],[CANTIDADES DE REFERENCIA]]</f>
        <v>0</v>
      </c>
      <c r="K42" s="36"/>
      <c r="L42" s="36"/>
      <c r="M42" s="36"/>
      <c r="N42" s="37" t="s">
        <v>79</v>
      </c>
      <c r="O42" s="37" t="s">
        <v>80</v>
      </c>
      <c r="P42" s="38"/>
      <c r="Q42" s="37" t="s">
        <v>146</v>
      </c>
      <c r="R42" s="37"/>
      <c r="S42" s="37" t="s">
        <v>82</v>
      </c>
      <c r="T42" s="31"/>
    </row>
    <row r="43" spans="1:20">
      <c r="A43" s="31"/>
      <c r="B43" s="32"/>
      <c r="C43" s="33"/>
      <c r="D43" s="32" t="s">
        <v>147</v>
      </c>
      <c r="E43" s="33" t="s">
        <v>116</v>
      </c>
      <c r="F43" s="34">
        <v>1</v>
      </c>
      <c r="G43" s="35">
        <v>0</v>
      </c>
      <c r="H43" s="35">
        <v>0</v>
      </c>
      <c r="I43" s="35">
        <f>Tabla1[[#This Row],[P.U. M.N.]]*Tabla1[[#This Row],[CANTIDADES DE REFERENCIA]]</f>
        <v>0</v>
      </c>
      <c r="J43" s="35">
        <f>Tabla1[[#This Row],[P.U. USD]]*Tabla1[[#This Row],[CANTIDADES DE REFERENCIA]]</f>
        <v>0</v>
      </c>
      <c r="K43" s="36"/>
      <c r="L43" s="36"/>
      <c r="M43" s="36"/>
      <c r="N43" s="37" t="s">
        <v>79</v>
      </c>
      <c r="O43" s="37" t="s">
        <v>80</v>
      </c>
      <c r="P43" s="38"/>
      <c r="Q43" s="37" t="s">
        <v>148</v>
      </c>
      <c r="R43" s="37"/>
      <c r="S43" s="37" t="s">
        <v>82</v>
      </c>
      <c r="T43" s="31"/>
    </row>
    <row r="44" spans="1:20">
      <c r="A44" s="31"/>
      <c r="B44" s="32"/>
      <c r="C44" s="33"/>
      <c r="D44" s="32" t="s">
        <v>149</v>
      </c>
      <c r="E44" s="33" t="s">
        <v>116</v>
      </c>
      <c r="F44" s="34">
        <v>1</v>
      </c>
      <c r="G44" s="35">
        <v>0</v>
      </c>
      <c r="H44" s="35">
        <v>0</v>
      </c>
      <c r="I44" s="35">
        <f>Tabla1[[#This Row],[P.U. M.N.]]*Tabla1[[#This Row],[CANTIDADES DE REFERENCIA]]</f>
        <v>0</v>
      </c>
      <c r="J44" s="35">
        <f>Tabla1[[#This Row],[P.U. USD]]*Tabla1[[#This Row],[CANTIDADES DE REFERENCIA]]</f>
        <v>0</v>
      </c>
      <c r="K44" s="36"/>
      <c r="L44" s="36"/>
      <c r="M44" s="36"/>
      <c r="N44" s="37" t="s">
        <v>79</v>
      </c>
      <c r="O44" s="37" t="s">
        <v>80</v>
      </c>
      <c r="P44" s="38"/>
      <c r="Q44" s="37" t="s">
        <v>150</v>
      </c>
      <c r="R44" s="37" t="s">
        <v>58</v>
      </c>
      <c r="S44" s="37" t="s">
        <v>82</v>
      </c>
      <c r="T44" s="31"/>
    </row>
    <row r="45" spans="1:20">
      <c r="A45" s="31"/>
      <c r="B45" s="32"/>
      <c r="C45" s="33"/>
      <c r="D45" s="32" t="s">
        <v>151</v>
      </c>
      <c r="E45" s="33" t="s">
        <v>116</v>
      </c>
      <c r="F45" s="34">
        <v>1</v>
      </c>
      <c r="G45" s="35">
        <v>0</v>
      </c>
      <c r="H45" s="35">
        <v>0</v>
      </c>
      <c r="I45" s="35">
        <f>Tabla1[[#This Row],[P.U. M.N.]]*Tabla1[[#This Row],[CANTIDADES DE REFERENCIA]]</f>
        <v>0</v>
      </c>
      <c r="J45" s="35">
        <f>Tabla1[[#This Row],[P.U. USD]]*Tabla1[[#This Row],[CANTIDADES DE REFERENCIA]]</f>
        <v>0</v>
      </c>
      <c r="K45" s="36"/>
      <c r="L45" s="36"/>
      <c r="M45" s="36"/>
      <c r="N45" s="37" t="s">
        <v>79</v>
      </c>
      <c r="O45" s="37" t="s">
        <v>80</v>
      </c>
      <c r="P45" s="38"/>
      <c r="Q45" s="37" t="s">
        <v>152</v>
      </c>
      <c r="R45" s="37"/>
      <c r="S45" s="37" t="s">
        <v>82</v>
      </c>
      <c r="T45" s="31"/>
    </row>
    <row r="46" spans="1:20">
      <c r="A46" s="31"/>
      <c r="B46" s="32"/>
      <c r="C46" s="33"/>
      <c r="D46" s="32" t="s">
        <v>153</v>
      </c>
      <c r="E46" s="33" t="s">
        <v>116</v>
      </c>
      <c r="F46" s="34">
        <v>1</v>
      </c>
      <c r="G46" s="35">
        <v>0</v>
      </c>
      <c r="H46" s="35">
        <v>0</v>
      </c>
      <c r="I46" s="35">
        <f>Tabla1[[#This Row],[P.U. M.N.]]*Tabla1[[#This Row],[CANTIDADES DE REFERENCIA]]</f>
        <v>0</v>
      </c>
      <c r="J46" s="35">
        <f>Tabla1[[#This Row],[P.U. USD]]*Tabla1[[#This Row],[CANTIDADES DE REFERENCIA]]</f>
        <v>0</v>
      </c>
      <c r="K46" s="36"/>
      <c r="L46" s="36"/>
      <c r="M46" s="36"/>
      <c r="N46" s="37" t="s">
        <v>79</v>
      </c>
      <c r="O46" s="37" t="s">
        <v>80</v>
      </c>
      <c r="P46" s="38"/>
      <c r="Q46" s="37" t="s">
        <v>154</v>
      </c>
      <c r="R46" s="37"/>
      <c r="S46" s="37" t="s">
        <v>82</v>
      </c>
      <c r="T46" s="31"/>
    </row>
    <row r="47" spans="1:20">
      <c r="A47" s="31"/>
      <c r="B47" s="32"/>
      <c r="C47" s="33"/>
      <c r="D47" s="32" t="s">
        <v>155</v>
      </c>
      <c r="E47" s="33" t="s">
        <v>116</v>
      </c>
      <c r="F47" s="34">
        <v>1</v>
      </c>
      <c r="G47" s="35">
        <v>0</v>
      </c>
      <c r="H47" s="35">
        <v>0</v>
      </c>
      <c r="I47" s="35">
        <f>Tabla1[[#This Row],[P.U. M.N.]]*Tabla1[[#This Row],[CANTIDADES DE REFERENCIA]]</f>
        <v>0</v>
      </c>
      <c r="J47" s="35">
        <f>Tabla1[[#This Row],[P.U. USD]]*Tabla1[[#This Row],[CANTIDADES DE REFERENCIA]]</f>
        <v>0</v>
      </c>
      <c r="K47" s="36"/>
      <c r="L47" s="36"/>
      <c r="M47" s="36"/>
      <c r="N47" s="37" t="s">
        <v>79</v>
      </c>
      <c r="O47" s="37" t="s">
        <v>80</v>
      </c>
      <c r="P47" s="38"/>
      <c r="Q47" s="37" t="s">
        <v>156</v>
      </c>
      <c r="R47" s="37"/>
      <c r="S47" s="37" t="s">
        <v>82</v>
      </c>
      <c r="T47" s="31"/>
    </row>
    <row r="48" spans="1:20">
      <c r="A48" s="31"/>
      <c r="B48" s="32"/>
      <c r="C48" s="33"/>
      <c r="D48" s="32" t="s">
        <v>157</v>
      </c>
      <c r="E48" s="33" t="s">
        <v>116</v>
      </c>
      <c r="F48" s="34">
        <v>1</v>
      </c>
      <c r="G48" s="35">
        <v>0</v>
      </c>
      <c r="H48" s="35">
        <v>0</v>
      </c>
      <c r="I48" s="35">
        <f>Tabla1[[#This Row],[P.U. M.N.]]*Tabla1[[#This Row],[CANTIDADES DE REFERENCIA]]</f>
        <v>0</v>
      </c>
      <c r="J48" s="35">
        <f>Tabla1[[#This Row],[P.U. USD]]*Tabla1[[#This Row],[CANTIDADES DE REFERENCIA]]</f>
        <v>0</v>
      </c>
      <c r="K48" s="36"/>
      <c r="L48" s="36"/>
      <c r="M48" s="36"/>
      <c r="N48" s="37" t="s">
        <v>79</v>
      </c>
      <c r="O48" s="37" t="s">
        <v>80</v>
      </c>
      <c r="P48" s="38"/>
      <c r="Q48" s="37" t="s">
        <v>158</v>
      </c>
      <c r="R48" s="37"/>
      <c r="S48" s="37" t="s">
        <v>82</v>
      </c>
      <c r="T48" s="31"/>
    </row>
    <row r="49" spans="1:20">
      <c r="A49" s="31"/>
      <c r="B49" s="32"/>
      <c r="C49" s="33"/>
      <c r="D49" s="32" t="s">
        <v>159</v>
      </c>
      <c r="E49" s="33" t="s">
        <v>116</v>
      </c>
      <c r="F49" s="34">
        <v>1</v>
      </c>
      <c r="G49" s="35">
        <v>0</v>
      </c>
      <c r="H49" s="35">
        <v>0</v>
      </c>
      <c r="I49" s="35">
        <f>Tabla1[[#This Row],[P.U. M.N.]]*Tabla1[[#This Row],[CANTIDADES DE REFERENCIA]]</f>
        <v>0</v>
      </c>
      <c r="J49" s="35">
        <f>Tabla1[[#This Row],[P.U. USD]]*Tabla1[[#This Row],[CANTIDADES DE REFERENCIA]]</f>
        <v>0</v>
      </c>
      <c r="K49" s="36"/>
      <c r="L49" s="36"/>
      <c r="M49" s="36"/>
      <c r="N49" s="37" t="s">
        <v>79</v>
      </c>
      <c r="O49" s="37" t="s">
        <v>80</v>
      </c>
      <c r="P49" s="38"/>
      <c r="Q49" s="37" t="s">
        <v>160</v>
      </c>
      <c r="R49" s="37"/>
      <c r="S49" s="37" t="s">
        <v>82</v>
      </c>
      <c r="T49" s="31"/>
    </row>
    <row r="50" spans="1:20">
      <c r="A50" s="31"/>
      <c r="B50" s="32"/>
      <c r="C50" s="33"/>
      <c r="D50" s="32" t="s">
        <v>161</v>
      </c>
      <c r="E50" s="33" t="s">
        <v>116</v>
      </c>
      <c r="F50" s="34">
        <v>1</v>
      </c>
      <c r="G50" s="35">
        <v>0</v>
      </c>
      <c r="H50" s="35">
        <v>0</v>
      </c>
      <c r="I50" s="35">
        <f>Tabla1[[#This Row],[P.U. M.N.]]*Tabla1[[#This Row],[CANTIDADES DE REFERENCIA]]</f>
        <v>0</v>
      </c>
      <c r="J50" s="35">
        <f>Tabla1[[#This Row],[P.U. USD]]*Tabla1[[#This Row],[CANTIDADES DE REFERENCIA]]</f>
        <v>0</v>
      </c>
      <c r="K50" s="36"/>
      <c r="L50" s="36"/>
      <c r="M50" s="36"/>
      <c r="N50" s="37" t="s">
        <v>79</v>
      </c>
      <c r="O50" s="37" t="s">
        <v>80</v>
      </c>
      <c r="P50" s="38"/>
      <c r="Q50" s="37" t="s">
        <v>162</v>
      </c>
      <c r="R50" s="37"/>
      <c r="S50" s="37" t="s">
        <v>82</v>
      </c>
      <c r="T50" s="31"/>
    </row>
    <row r="51" spans="1:20">
      <c r="A51" s="31"/>
      <c r="B51" s="32"/>
      <c r="C51" s="33"/>
      <c r="D51" s="32" t="s">
        <v>163</v>
      </c>
      <c r="E51" s="33" t="s">
        <v>42</v>
      </c>
      <c r="F51" s="34">
        <v>1</v>
      </c>
      <c r="G51" s="35">
        <v>0</v>
      </c>
      <c r="H51" s="35">
        <v>0</v>
      </c>
      <c r="I51" s="35">
        <f>Tabla1[[#This Row],[P.U. M.N.]]*Tabla1[[#This Row],[CANTIDADES DE REFERENCIA]]</f>
        <v>0</v>
      </c>
      <c r="J51" s="35">
        <f>Tabla1[[#This Row],[P.U. USD]]*Tabla1[[#This Row],[CANTIDADES DE REFERENCIA]]</f>
        <v>0</v>
      </c>
      <c r="K51" s="36"/>
      <c r="L51" s="36"/>
      <c r="M51" s="36"/>
      <c r="N51" s="37" t="s">
        <v>79</v>
      </c>
      <c r="O51" s="37" t="s">
        <v>80</v>
      </c>
      <c r="P51" s="38"/>
      <c r="Q51" s="37" t="s">
        <v>164</v>
      </c>
      <c r="R51" s="37"/>
      <c r="S51" s="37" t="s">
        <v>82</v>
      </c>
      <c r="T51" s="31"/>
    </row>
    <row r="52" spans="1:20">
      <c r="A52" s="31"/>
      <c r="B52" s="32"/>
      <c r="C52" s="33"/>
      <c r="D52" s="32" t="s">
        <v>165</v>
      </c>
      <c r="E52" s="33" t="s">
        <v>42</v>
      </c>
      <c r="F52" s="34">
        <v>1</v>
      </c>
      <c r="G52" s="35">
        <v>0</v>
      </c>
      <c r="H52" s="35">
        <v>0</v>
      </c>
      <c r="I52" s="35">
        <f>Tabla1[[#This Row],[P.U. M.N.]]*Tabla1[[#This Row],[CANTIDADES DE REFERENCIA]]</f>
        <v>0</v>
      </c>
      <c r="J52" s="35">
        <f>Tabla1[[#This Row],[P.U. USD]]*Tabla1[[#This Row],[CANTIDADES DE REFERENCIA]]</f>
        <v>0</v>
      </c>
      <c r="K52" s="36"/>
      <c r="L52" s="36"/>
      <c r="M52" s="36"/>
      <c r="N52" s="37" t="s">
        <v>79</v>
      </c>
      <c r="O52" s="37" t="s">
        <v>80</v>
      </c>
      <c r="P52" s="38"/>
      <c r="Q52" s="37" t="s">
        <v>166</v>
      </c>
      <c r="R52" s="37"/>
      <c r="S52" s="37" t="s">
        <v>82</v>
      </c>
      <c r="T52" s="31"/>
    </row>
    <row r="53" spans="1:20">
      <c r="A53" s="31"/>
      <c r="B53" s="32"/>
      <c r="C53" s="33"/>
      <c r="D53" s="32" t="s">
        <v>167</v>
      </c>
      <c r="E53" s="33" t="s">
        <v>42</v>
      </c>
      <c r="F53" s="34">
        <v>1</v>
      </c>
      <c r="G53" s="35">
        <v>0</v>
      </c>
      <c r="H53" s="35">
        <v>0</v>
      </c>
      <c r="I53" s="35">
        <f>Tabla1[[#This Row],[P.U. M.N.]]*Tabla1[[#This Row],[CANTIDADES DE REFERENCIA]]</f>
        <v>0</v>
      </c>
      <c r="J53" s="35">
        <f>Tabla1[[#This Row],[P.U. USD]]*Tabla1[[#This Row],[CANTIDADES DE REFERENCIA]]</f>
        <v>0</v>
      </c>
      <c r="K53" s="36"/>
      <c r="L53" s="36"/>
      <c r="M53" s="36"/>
      <c r="N53" s="37" t="s">
        <v>79</v>
      </c>
      <c r="O53" s="37" t="s">
        <v>80</v>
      </c>
      <c r="P53" s="38"/>
      <c r="Q53" s="37" t="s">
        <v>168</v>
      </c>
      <c r="R53" s="37"/>
      <c r="S53" s="37" t="s">
        <v>82</v>
      </c>
      <c r="T53" s="31"/>
    </row>
    <row r="54" spans="1:20">
      <c r="A54" s="31"/>
      <c r="B54" s="32"/>
      <c r="C54" s="33"/>
      <c r="D54" s="32" t="s">
        <v>169</v>
      </c>
      <c r="E54" s="33" t="s">
        <v>42</v>
      </c>
      <c r="F54" s="34">
        <v>1</v>
      </c>
      <c r="G54" s="35">
        <v>0</v>
      </c>
      <c r="H54" s="35">
        <v>0</v>
      </c>
      <c r="I54" s="35">
        <f>Tabla1[[#This Row],[P.U. M.N.]]*Tabla1[[#This Row],[CANTIDADES DE REFERENCIA]]</f>
        <v>0</v>
      </c>
      <c r="J54" s="35">
        <f>Tabla1[[#This Row],[P.U. USD]]*Tabla1[[#This Row],[CANTIDADES DE REFERENCIA]]</f>
        <v>0</v>
      </c>
      <c r="K54" s="36"/>
      <c r="L54" s="36"/>
      <c r="M54" s="36"/>
      <c r="N54" s="37" t="s">
        <v>79</v>
      </c>
      <c r="O54" s="37" t="s">
        <v>80</v>
      </c>
      <c r="P54" s="38"/>
      <c r="Q54" s="37" t="s">
        <v>170</v>
      </c>
      <c r="R54" s="37"/>
      <c r="S54" s="37" t="s">
        <v>82</v>
      </c>
      <c r="T54" s="31"/>
    </row>
    <row r="55" spans="1:20">
      <c r="A55" s="31"/>
      <c r="B55" s="32"/>
      <c r="C55" s="33"/>
      <c r="D55" s="32" t="s">
        <v>171</v>
      </c>
      <c r="E55" s="33" t="s">
        <v>42</v>
      </c>
      <c r="F55" s="34">
        <v>1</v>
      </c>
      <c r="G55" s="35">
        <v>0</v>
      </c>
      <c r="H55" s="35">
        <v>0</v>
      </c>
      <c r="I55" s="35">
        <f>Tabla1[[#This Row],[P.U. M.N.]]*Tabla1[[#This Row],[CANTIDADES DE REFERENCIA]]</f>
        <v>0</v>
      </c>
      <c r="J55" s="35">
        <f>Tabla1[[#This Row],[P.U. USD]]*Tabla1[[#This Row],[CANTIDADES DE REFERENCIA]]</f>
        <v>0</v>
      </c>
      <c r="K55" s="36"/>
      <c r="L55" s="36"/>
      <c r="M55" s="36"/>
      <c r="N55" s="37" t="s">
        <v>79</v>
      </c>
      <c r="O55" s="37" t="s">
        <v>80</v>
      </c>
      <c r="P55" s="38"/>
      <c r="Q55" s="37" t="s">
        <v>172</v>
      </c>
      <c r="R55" s="37"/>
      <c r="S55" s="37" t="s">
        <v>82</v>
      </c>
      <c r="T55" s="31"/>
    </row>
    <row r="56" spans="1:20">
      <c r="A56" s="31"/>
      <c r="B56" s="32"/>
      <c r="C56" s="33"/>
      <c r="D56" s="32" t="s">
        <v>173</v>
      </c>
      <c r="E56" s="33" t="s">
        <v>54</v>
      </c>
      <c r="F56" s="34">
        <v>1</v>
      </c>
      <c r="G56" s="35">
        <v>0</v>
      </c>
      <c r="H56" s="35">
        <v>0</v>
      </c>
      <c r="I56" s="35">
        <f>Tabla1[[#This Row],[P.U. M.N.]]*Tabla1[[#This Row],[CANTIDADES DE REFERENCIA]]</f>
        <v>0</v>
      </c>
      <c r="J56" s="35">
        <f>Tabla1[[#This Row],[P.U. USD]]*Tabla1[[#This Row],[CANTIDADES DE REFERENCIA]]</f>
        <v>0</v>
      </c>
      <c r="K56" s="36"/>
      <c r="L56" s="36"/>
      <c r="M56" s="36"/>
      <c r="N56" s="37" t="s">
        <v>79</v>
      </c>
      <c r="O56" s="37" t="s">
        <v>80</v>
      </c>
      <c r="P56" s="38"/>
      <c r="Q56" s="37" t="s">
        <v>174</v>
      </c>
      <c r="R56" s="37"/>
      <c r="S56" s="37" t="s">
        <v>82</v>
      </c>
      <c r="T56" s="31"/>
    </row>
    <row r="57" spans="1:20">
      <c r="A57" s="31"/>
      <c r="B57" s="32"/>
      <c r="C57" s="33"/>
      <c r="D57" s="32" t="s">
        <v>175</v>
      </c>
      <c r="E57" s="33" t="s">
        <v>54</v>
      </c>
      <c r="F57" s="34">
        <v>1</v>
      </c>
      <c r="G57" s="35">
        <v>0</v>
      </c>
      <c r="H57" s="35">
        <v>0</v>
      </c>
      <c r="I57" s="35">
        <f>Tabla1[[#This Row],[P.U. M.N.]]*Tabla1[[#This Row],[CANTIDADES DE REFERENCIA]]</f>
        <v>0</v>
      </c>
      <c r="J57" s="35">
        <f>Tabla1[[#This Row],[P.U. USD]]*Tabla1[[#This Row],[CANTIDADES DE REFERENCIA]]</f>
        <v>0</v>
      </c>
      <c r="K57" s="36"/>
      <c r="L57" s="36"/>
      <c r="M57" s="36"/>
      <c r="N57" s="37" t="s">
        <v>79</v>
      </c>
      <c r="O57" s="37" t="s">
        <v>80</v>
      </c>
      <c r="P57" s="38"/>
      <c r="Q57" s="37" t="s">
        <v>176</v>
      </c>
      <c r="R57" s="37"/>
      <c r="S57" s="37" t="s">
        <v>82</v>
      </c>
      <c r="T57" s="31"/>
    </row>
    <row r="58" spans="1:20">
      <c r="A58" s="31"/>
      <c r="B58" s="32"/>
      <c r="C58" s="33"/>
      <c r="D58" s="32" t="s">
        <v>177</v>
      </c>
      <c r="E58" s="33" t="s">
        <v>54</v>
      </c>
      <c r="F58" s="34">
        <v>1</v>
      </c>
      <c r="G58" s="35">
        <v>0</v>
      </c>
      <c r="H58" s="35">
        <v>0</v>
      </c>
      <c r="I58" s="35">
        <f>Tabla1[[#This Row],[P.U. M.N.]]*Tabla1[[#This Row],[CANTIDADES DE REFERENCIA]]</f>
        <v>0</v>
      </c>
      <c r="J58" s="35">
        <f>Tabla1[[#This Row],[P.U. USD]]*Tabla1[[#This Row],[CANTIDADES DE REFERENCIA]]</f>
        <v>0</v>
      </c>
      <c r="K58" s="36"/>
      <c r="L58" s="36"/>
      <c r="M58" s="36"/>
      <c r="N58" s="37" t="s">
        <v>79</v>
      </c>
      <c r="O58" s="37" t="s">
        <v>80</v>
      </c>
      <c r="P58" s="38"/>
      <c r="Q58" s="37" t="s">
        <v>178</v>
      </c>
      <c r="R58" s="37"/>
      <c r="S58" s="37" t="s">
        <v>82</v>
      </c>
      <c r="T58" s="31"/>
    </row>
    <row r="59" spans="1:20">
      <c r="A59" s="31"/>
      <c r="B59" s="32"/>
      <c r="C59" s="33"/>
      <c r="D59" s="32" t="s">
        <v>179</v>
      </c>
      <c r="E59" s="33" t="s">
        <v>54</v>
      </c>
      <c r="F59" s="34">
        <v>1</v>
      </c>
      <c r="G59" s="35">
        <v>0</v>
      </c>
      <c r="H59" s="35">
        <v>0</v>
      </c>
      <c r="I59" s="35">
        <f>Tabla1[[#This Row],[P.U. M.N.]]*Tabla1[[#This Row],[CANTIDADES DE REFERENCIA]]</f>
        <v>0</v>
      </c>
      <c r="J59" s="35">
        <f>Tabla1[[#This Row],[P.U. USD]]*Tabla1[[#This Row],[CANTIDADES DE REFERENCIA]]</f>
        <v>0</v>
      </c>
      <c r="K59" s="36"/>
      <c r="L59" s="36"/>
      <c r="M59" s="36"/>
      <c r="N59" s="37" t="s">
        <v>117</v>
      </c>
      <c r="O59" s="37" t="s">
        <v>118</v>
      </c>
      <c r="P59" s="38"/>
      <c r="Q59" s="37" t="s">
        <v>180</v>
      </c>
      <c r="R59" s="37"/>
      <c r="S59" s="37" t="s">
        <v>120</v>
      </c>
      <c r="T59" s="31"/>
    </row>
    <row r="60" spans="1:20">
      <c r="A60" s="31"/>
      <c r="B60" s="32"/>
      <c r="C60" s="33"/>
      <c r="D60" s="32" t="s">
        <v>181</v>
      </c>
      <c r="E60" s="33" t="s">
        <v>116</v>
      </c>
      <c r="F60" s="34">
        <v>1</v>
      </c>
      <c r="G60" s="35">
        <v>0</v>
      </c>
      <c r="H60" s="35">
        <v>0</v>
      </c>
      <c r="I60" s="35">
        <f>Tabla1[[#This Row],[P.U. M.N.]]*Tabla1[[#This Row],[CANTIDADES DE REFERENCIA]]</f>
        <v>0</v>
      </c>
      <c r="J60" s="35">
        <f>Tabla1[[#This Row],[P.U. USD]]*Tabla1[[#This Row],[CANTIDADES DE REFERENCIA]]</f>
        <v>0</v>
      </c>
      <c r="K60" s="36"/>
      <c r="L60" s="36"/>
      <c r="M60" s="36"/>
      <c r="N60" s="37" t="s">
        <v>117</v>
      </c>
      <c r="O60" s="37" t="s">
        <v>118</v>
      </c>
      <c r="P60" s="38"/>
      <c r="Q60" s="37" t="s">
        <v>182</v>
      </c>
      <c r="R60" s="37"/>
      <c r="S60" s="37" t="s">
        <v>120</v>
      </c>
      <c r="T60" s="31"/>
    </row>
    <row r="61" spans="1:20">
      <c r="A61" s="31"/>
      <c r="B61" s="32"/>
      <c r="C61" s="33"/>
      <c r="D61" s="32" t="s">
        <v>183</v>
      </c>
      <c r="E61" s="33" t="s">
        <v>54</v>
      </c>
      <c r="F61" s="34">
        <v>1</v>
      </c>
      <c r="G61" s="35">
        <v>0</v>
      </c>
      <c r="H61" s="35">
        <v>0</v>
      </c>
      <c r="I61" s="35">
        <f>Tabla1[[#This Row],[P.U. M.N.]]*Tabla1[[#This Row],[CANTIDADES DE REFERENCIA]]</f>
        <v>0</v>
      </c>
      <c r="J61" s="35">
        <f>Tabla1[[#This Row],[P.U. USD]]*Tabla1[[#This Row],[CANTIDADES DE REFERENCIA]]</f>
        <v>0</v>
      </c>
      <c r="K61" s="36"/>
      <c r="L61" s="36"/>
      <c r="M61" s="36"/>
      <c r="N61" s="37" t="s">
        <v>117</v>
      </c>
      <c r="O61" s="37" t="s">
        <v>118</v>
      </c>
      <c r="P61" s="38"/>
      <c r="Q61" s="37" t="s">
        <v>184</v>
      </c>
      <c r="R61" s="37"/>
      <c r="S61" s="37" t="s">
        <v>120</v>
      </c>
      <c r="T61" s="31"/>
    </row>
    <row r="62" spans="1:20">
      <c r="A62" s="31"/>
      <c r="B62" s="32"/>
      <c r="C62" s="33"/>
      <c r="D62" s="32" t="s">
        <v>185</v>
      </c>
      <c r="E62" s="33" t="s">
        <v>54</v>
      </c>
      <c r="F62" s="34">
        <v>1</v>
      </c>
      <c r="G62" s="35">
        <v>0</v>
      </c>
      <c r="H62" s="35">
        <v>0</v>
      </c>
      <c r="I62" s="35">
        <f>Tabla1[[#This Row],[P.U. M.N.]]*Tabla1[[#This Row],[CANTIDADES DE REFERENCIA]]</f>
        <v>0</v>
      </c>
      <c r="J62" s="35">
        <f>Tabla1[[#This Row],[P.U. USD]]*Tabla1[[#This Row],[CANTIDADES DE REFERENCIA]]</f>
        <v>0</v>
      </c>
      <c r="K62" s="36"/>
      <c r="L62" s="36"/>
      <c r="M62" s="36"/>
      <c r="N62" s="37" t="s">
        <v>117</v>
      </c>
      <c r="O62" s="37" t="s">
        <v>118</v>
      </c>
      <c r="P62" s="38"/>
      <c r="Q62" s="37" t="s">
        <v>186</v>
      </c>
      <c r="R62" s="37"/>
      <c r="S62" s="37" t="s">
        <v>120</v>
      </c>
      <c r="T62" s="31"/>
    </row>
    <row r="63" spans="1:20">
      <c r="A63" s="31"/>
      <c r="B63" s="32"/>
      <c r="C63" s="33"/>
      <c r="D63" s="32" t="s">
        <v>187</v>
      </c>
      <c r="E63" s="33" t="s">
        <v>54</v>
      </c>
      <c r="F63" s="34">
        <v>1</v>
      </c>
      <c r="G63" s="35">
        <v>0</v>
      </c>
      <c r="H63" s="35">
        <v>0</v>
      </c>
      <c r="I63" s="35">
        <f>Tabla1[[#This Row],[P.U. M.N.]]*Tabla1[[#This Row],[CANTIDADES DE REFERENCIA]]</f>
        <v>0</v>
      </c>
      <c r="J63" s="35">
        <f>Tabla1[[#This Row],[P.U. USD]]*Tabla1[[#This Row],[CANTIDADES DE REFERENCIA]]</f>
        <v>0</v>
      </c>
      <c r="K63" s="36"/>
      <c r="L63" s="36"/>
      <c r="M63" s="36"/>
      <c r="N63" s="37" t="s">
        <v>117</v>
      </c>
      <c r="O63" s="37" t="s">
        <v>118</v>
      </c>
      <c r="P63" s="38"/>
      <c r="Q63" s="37" t="s">
        <v>188</v>
      </c>
      <c r="R63" s="37"/>
      <c r="S63" s="37" t="s">
        <v>120</v>
      </c>
      <c r="T63" s="31"/>
    </row>
    <row r="64" spans="1:20">
      <c r="A64" s="31"/>
      <c r="B64" s="32"/>
      <c r="C64" s="33"/>
      <c r="D64" s="32" t="s">
        <v>189</v>
      </c>
      <c r="E64" s="33" t="s">
        <v>54</v>
      </c>
      <c r="F64" s="34">
        <v>1</v>
      </c>
      <c r="G64" s="35">
        <v>0</v>
      </c>
      <c r="H64" s="35">
        <v>0</v>
      </c>
      <c r="I64" s="35">
        <f>Tabla1[[#This Row],[P.U. M.N.]]*Tabla1[[#This Row],[CANTIDADES DE REFERENCIA]]</f>
        <v>0</v>
      </c>
      <c r="J64" s="35">
        <f>Tabla1[[#This Row],[P.U. USD]]*Tabla1[[#This Row],[CANTIDADES DE REFERENCIA]]</f>
        <v>0</v>
      </c>
      <c r="K64" s="36"/>
      <c r="L64" s="36"/>
      <c r="M64" s="36"/>
      <c r="N64" s="37" t="s">
        <v>117</v>
      </c>
      <c r="O64" s="37" t="s">
        <v>118</v>
      </c>
      <c r="P64" s="38"/>
      <c r="Q64" s="37" t="s">
        <v>190</v>
      </c>
      <c r="R64" s="37"/>
      <c r="S64" s="37" t="s">
        <v>120</v>
      </c>
      <c r="T64" s="31"/>
    </row>
    <row r="65" spans="1:20">
      <c r="A65" s="31"/>
      <c r="B65" s="32"/>
      <c r="C65" s="33"/>
      <c r="D65" s="32" t="s">
        <v>191</v>
      </c>
      <c r="E65" s="33" t="s">
        <v>54</v>
      </c>
      <c r="F65" s="34">
        <v>1</v>
      </c>
      <c r="G65" s="35">
        <v>0</v>
      </c>
      <c r="H65" s="35">
        <v>0</v>
      </c>
      <c r="I65" s="35">
        <f>Tabla1[[#This Row],[P.U. M.N.]]*Tabla1[[#This Row],[CANTIDADES DE REFERENCIA]]</f>
        <v>0</v>
      </c>
      <c r="J65" s="35">
        <f>Tabla1[[#This Row],[P.U. USD]]*Tabla1[[#This Row],[CANTIDADES DE REFERENCIA]]</f>
        <v>0</v>
      </c>
      <c r="K65" s="36"/>
      <c r="L65" s="36"/>
      <c r="M65" s="36"/>
      <c r="N65" s="37" t="s">
        <v>117</v>
      </c>
      <c r="O65" s="37" t="s">
        <v>118</v>
      </c>
      <c r="P65" s="38"/>
      <c r="Q65" s="37" t="s">
        <v>192</v>
      </c>
      <c r="R65" s="37"/>
      <c r="S65" s="37" t="s">
        <v>120</v>
      </c>
      <c r="T65" s="31"/>
    </row>
    <row r="66" spans="1:20">
      <c r="A66" s="31"/>
      <c r="B66" s="32"/>
      <c r="C66" s="33"/>
      <c r="D66" s="32" t="s">
        <v>193</v>
      </c>
      <c r="E66" s="33" t="s">
        <v>54</v>
      </c>
      <c r="F66" s="34">
        <v>1</v>
      </c>
      <c r="G66" s="35">
        <v>0</v>
      </c>
      <c r="H66" s="35">
        <v>0</v>
      </c>
      <c r="I66" s="35">
        <f>Tabla1[[#This Row],[P.U. M.N.]]*Tabla1[[#This Row],[CANTIDADES DE REFERENCIA]]</f>
        <v>0</v>
      </c>
      <c r="J66" s="35">
        <f>Tabla1[[#This Row],[P.U. USD]]*Tabla1[[#This Row],[CANTIDADES DE REFERENCIA]]</f>
        <v>0</v>
      </c>
      <c r="K66" s="36"/>
      <c r="L66" s="36"/>
      <c r="M66" s="36"/>
      <c r="N66" s="37" t="s">
        <v>117</v>
      </c>
      <c r="O66" s="37" t="s">
        <v>118</v>
      </c>
      <c r="P66" s="38"/>
      <c r="Q66" s="37" t="s">
        <v>194</v>
      </c>
      <c r="R66" s="37"/>
      <c r="S66" s="37" t="s">
        <v>120</v>
      </c>
      <c r="T66" s="31"/>
    </row>
    <row r="67" spans="1:20">
      <c r="A67" s="31"/>
      <c r="B67" s="32"/>
      <c r="C67" s="33"/>
      <c r="D67" s="32" t="s">
        <v>195</v>
      </c>
      <c r="E67" s="33" t="s">
        <v>54</v>
      </c>
      <c r="F67" s="34">
        <v>1</v>
      </c>
      <c r="G67" s="35">
        <v>0</v>
      </c>
      <c r="H67" s="35">
        <v>0</v>
      </c>
      <c r="I67" s="35">
        <f>Tabla1[[#This Row],[P.U. M.N.]]*Tabla1[[#This Row],[CANTIDADES DE REFERENCIA]]</f>
        <v>0</v>
      </c>
      <c r="J67" s="35">
        <f>Tabla1[[#This Row],[P.U. USD]]*Tabla1[[#This Row],[CANTIDADES DE REFERENCIA]]</f>
        <v>0</v>
      </c>
      <c r="K67" s="36"/>
      <c r="L67" s="36"/>
      <c r="M67" s="36"/>
      <c r="N67" s="37" t="s">
        <v>117</v>
      </c>
      <c r="O67" s="37" t="s">
        <v>118</v>
      </c>
      <c r="P67" s="38"/>
      <c r="Q67" s="37" t="s">
        <v>196</v>
      </c>
      <c r="R67" s="37"/>
      <c r="S67" s="37" t="s">
        <v>120</v>
      </c>
      <c r="T67" s="31"/>
    </row>
    <row r="68" spans="1:20">
      <c r="A68" s="31"/>
      <c r="B68" s="32"/>
      <c r="C68" s="33"/>
      <c r="D68" s="32" t="s">
        <v>197</v>
      </c>
      <c r="E68" s="33" t="s">
        <v>54</v>
      </c>
      <c r="F68" s="34">
        <v>1</v>
      </c>
      <c r="G68" s="35">
        <v>0</v>
      </c>
      <c r="H68" s="35">
        <v>0</v>
      </c>
      <c r="I68" s="35">
        <f>Tabla1[[#This Row],[P.U. M.N.]]*Tabla1[[#This Row],[CANTIDADES DE REFERENCIA]]</f>
        <v>0</v>
      </c>
      <c r="J68" s="35">
        <f>Tabla1[[#This Row],[P.U. USD]]*Tabla1[[#This Row],[CANTIDADES DE REFERENCIA]]</f>
        <v>0</v>
      </c>
      <c r="K68" s="36"/>
      <c r="L68" s="36"/>
      <c r="M68" s="36"/>
      <c r="N68" s="37" t="s">
        <v>117</v>
      </c>
      <c r="O68" s="37" t="s">
        <v>118</v>
      </c>
      <c r="P68" s="38"/>
      <c r="Q68" s="37" t="s">
        <v>198</v>
      </c>
      <c r="R68" s="37"/>
      <c r="S68" s="37" t="s">
        <v>120</v>
      </c>
      <c r="T68" s="31"/>
    </row>
    <row r="69" spans="1:20">
      <c r="A69" s="31"/>
      <c r="B69" s="32"/>
      <c r="C69" s="33"/>
      <c r="D69" s="32" t="s">
        <v>199</v>
      </c>
      <c r="E69" s="33" t="s">
        <v>54</v>
      </c>
      <c r="F69" s="34">
        <v>1</v>
      </c>
      <c r="G69" s="35">
        <v>0</v>
      </c>
      <c r="H69" s="35">
        <v>0</v>
      </c>
      <c r="I69" s="35">
        <f>Tabla1[[#This Row],[P.U. M.N.]]*Tabla1[[#This Row],[CANTIDADES DE REFERENCIA]]</f>
        <v>0</v>
      </c>
      <c r="J69" s="35">
        <f>Tabla1[[#This Row],[P.U. USD]]*Tabla1[[#This Row],[CANTIDADES DE REFERENCIA]]</f>
        <v>0</v>
      </c>
      <c r="K69" s="36"/>
      <c r="L69" s="36"/>
      <c r="M69" s="36"/>
      <c r="N69" s="37" t="s">
        <v>117</v>
      </c>
      <c r="O69" s="37" t="s">
        <v>118</v>
      </c>
      <c r="P69" s="38"/>
      <c r="Q69" s="37" t="s">
        <v>200</v>
      </c>
      <c r="R69" s="37"/>
      <c r="S69" s="37" t="s">
        <v>120</v>
      </c>
      <c r="T69" s="31"/>
    </row>
    <row r="70" spans="1:20">
      <c r="A70" s="31"/>
      <c r="B70" s="32"/>
      <c r="C70" s="33"/>
      <c r="D70" s="32" t="s">
        <v>201</v>
      </c>
      <c r="E70" s="33" t="s">
        <v>54</v>
      </c>
      <c r="F70" s="34">
        <v>1</v>
      </c>
      <c r="G70" s="35">
        <v>0</v>
      </c>
      <c r="H70" s="35">
        <v>0</v>
      </c>
      <c r="I70" s="35">
        <f>Tabla1[[#This Row],[P.U. M.N.]]*Tabla1[[#This Row],[CANTIDADES DE REFERENCIA]]</f>
        <v>0</v>
      </c>
      <c r="J70" s="35">
        <f>Tabla1[[#This Row],[P.U. USD]]*Tabla1[[#This Row],[CANTIDADES DE REFERENCIA]]</f>
        <v>0</v>
      </c>
      <c r="K70" s="36"/>
      <c r="L70" s="36"/>
      <c r="M70" s="36"/>
      <c r="N70" s="37" t="s">
        <v>117</v>
      </c>
      <c r="O70" s="37" t="s">
        <v>118</v>
      </c>
      <c r="P70" s="38"/>
      <c r="Q70" s="37" t="s">
        <v>202</v>
      </c>
      <c r="R70" s="37"/>
      <c r="S70" s="37" t="s">
        <v>120</v>
      </c>
      <c r="T70" s="31"/>
    </row>
    <row r="71" spans="1:20">
      <c r="A71" s="31"/>
      <c r="B71" s="32"/>
      <c r="C71" s="33"/>
      <c r="D71" s="32" t="s">
        <v>203</v>
      </c>
      <c r="E71" s="33" t="s">
        <v>54</v>
      </c>
      <c r="F71" s="34">
        <v>1</v>
      </c>
      <c r="G71" s="35">
        <v>0</v>
      </c>
      <c r="H71" s="35">
        <v>0</v>
      </c>
      <c r="I71" s="35">
        <f>Tabla1[[#This Row],[P.U. M.N.]]*Tabla1[[#This Row],[CANTIDADES DE REFERENCIA]]</f>
        <v>0</v>
      </c>
      <c r="J71" s="35">
        <f>Tabla1[[#This Row],[P.U. USD]]*Tabla1[[#This Row],[CANTIDADES DE REFERENCIA]]</f>
        <v>0</v>
      </c>
      <c r="K71" s="36"/>
      <c r="L71" s="36"/>
      <c r="M71" s="36"/>
      <c r="N71" s="37" t="s">
        <v>117</v>
      </c>
      <c r="O71" s="37" t="s">
        <v>118</v>
      </c>
      <c r="P71" s="38"/>
      <c r="Q71" s="37" t="s">
        <v>204</v>
      </c>
      <c r="R71" s="37"/>
      <c r="S71" s="37" t="s">
        <v>120</v>
      </c>
      <c r="T71" s="31"/>
    </row>
    <row r="72" spans="1:20">
      <c r="A72" s="31"/>
      <c r="B72" s="32"/>
      <c r="C72" s="33"/>
      <c r="D72" s="32" t="s">
        <v>205</v>
      </c>
      <c r="E72" s="33" t="s">
        <v>54</v>
      </c>
      <c r="F72" s="34">
        <v>1</v>
      </c>
      <c r="G72" s="35">
        <v>0</v>
      </c>
      <c r="H72" s="35">
        <v>0</v>
      </c>
      <c r="I72" s="35">
        <f>Tabla1[[#This Row],[P.U. M.N.]]*Tabla1[[#This Row],[CANTIDADES DE REFERENCIA]]</f>
        <v>0</v>
      </c>
      <c r="J72" s="35">
        <f>Tabla1[[#This Row],[P.U. USD]]*Tabla1[[#This Row],[CANTIDADES DE REFERENCIA]]</f>
        <v>0</v>
      </c>
      <c r="K72" s="36"/>
      <c r="L72" s="36"/>
      <c r="M72" s="36"/>
      <c r="N72" s="37" t="s">
        <v>117</v>
      </c>
      <c r="O72" s="37" t="s">
        <v>118</v>
      </c>
      <c r="P72" s="38"/>
      <c r="Q72" s="37" t="s">
        <v>206</v>
      </c>
      <c r="R72" s="37" t="s">
        <v>58</v>
      </c>
      <c r="S72" s="37" t="s">
        <v>120</v>
      </c>
      <c r="T72" s="31"/>
    </row>
    <row r="73" spans="1:20">
      <c r="A73" s="31"/>
      <c r="B73" s="32"/>
      <c r="C73" s="33"/>
      <c r="D73" s="32" t="s">
        <v>207</v>
      </c>
      <c r="E73" s="33" t="s">
        <v>54</v>
      </c>
      <c r="F73" s="34">
        <v>1</v>
      </c>
      <c r="G73" s="35">
        <v>0</v>
      </c>
      <c r="H73" s="35">
        <v>0</v>
      </c>
      <c r="I73" s="35">
        <f>Tabla1[[#This Row],[P.U. M.N.]]*Tabla1[[#This Row],[CANTIDADES DE REFERENCIA]]</f>
        <v>0</v>
      </c>
      <c r="J73" s="35">
        <f>Tabla1[[#This Row],[P.U. USD]]*Tabla1[[#This Row],[CANTIDADES DE REFERENCIA]]</f>
        <v>0</v>
      </c>
      <c r="K73" s="36"/>
      <c r="L73" s="36"/>
      <c r="M73" s="36"/>
      <c r="N73" s="37" t="s">
        <v>117</v>
      </c>
      <c r="O73" s="37" t="s">
        <v>118</v>
      </c>
      <c r="P73" s="38"/>
      <c r="Q73" s="37" t="s">
        <v>208</v>
      </c>
      <c r="R73" s="37"/>
      <c r="S73" s="37" t="s">
        <v>120</v>
      </c>
      <c r="T73" s="31"/>
    </row>
    <row r="74" spans="1:20">
      <c r="A74" s="31"/>
      <c r="B74" s="32"/>
      <c r="C74" s="33"/>
      <c r="D74" s="32" t="s">
        <v>209</v>
      </c>
      <c r="E74" s="33" t="s">
        <v>54</v>
      </c>
      <c r="F74" s="34">
        <v>1</v>
      </c>
      <c r="G74" s="35">
        <v>0</v>
      </c>
      <c r="H74" s="35">
        <v>0</v>
      </c>
      <c r="I74" s="35">
        <f>Tabla1[[#This Row],[P.U. M.N.]]*Tabla1[[#This Row],[CANTIDADES DE REFERENCIA]]</f>
        <v>0</v>
      </c>
      <c r="J74" s="35">
        <f>Tabla1[[#This Row],[P.U. USD]]*Tabla1[[#This Row],[CANTIDADES DE REFERENCIA]]</f>
        <v>0</v>
      </c>
      <c r="K74" s="36"/>
      <c r="L74" s="36"/>
      <c r="M74" s="36"/>
      <c r="N74" s="37" t="s">
        <v>117</v>
      </c>
      <c r="O74" s="37" t="s">
        <v>118</v>
      </c>
      <c r="P74" s="38"/>
      <c r="Q74" s="37" t="s">
        <v>210</v>
      </c>
      <c r="R74" s="37"/>
      <c r="S74" s="37" t="s">
        <v>120</v>
      </c>
      <c r="T74" s="31"/>
    </row>
    <row r="75" spans="1:20">
      <c r="A75" s="31"/>
      <c r="B75" s="32"/>
      <c r="C75" s="33"/>
      <c r="D75" s="32" t="s">
        <v>211</v>
      </c>
      <c r="E75" s="33" t="s">
        <v>54</v>
      </c>
      <c r="F75" s="34">
        <v>1</v>
      </c>
      <c r="G75" s="35">
        <v>0</v>
      </c>
      <c r="H75" s="35">
        <v>0</v>
      </c>
      <c r="I75" s="35">
        <f>Tabla1[[#This Row],[P.U. M.N.]]*Tabla1[[#This Row],[CANTIDADES DE REFERENCIA]]</f>
        <v>0</v>
      </c>
      <c r="J75" s="35">
        <f>Tabla1[[#This Row],[P.U. USD]]*Tabla1[[#This Row],[CANTIDADES DE REFERENCIA]]</f>
        <v>0</v>
      </c>
      <c r="K75" s="36"/>
      <c r="L75" s="36"/>
      <c r="M75" s="36"/>
      <c r="N75" s="37" t="s">
        <v>117</v>
      </c>
      <c r="O75" s="37" t="s">
        <v>118</v>
      </c>
      <c r="P75" s="38"/>
      <c r="Q75" s="37" t="s">
        <v>212</v>
      </c>
      <c r="R75" s="37"/>
      <c r="S75" s="37" t="s">
        <v>120</v>
      </c>
      <c r="T75" s="31"/>
    </row>
    <row r="76" spans="1:20">
      <c r="A76" s="31"/>
      <c r="B76" s="32"/>
      <c r="C76" s="33"/>
      <c r="D76" s="32" t="s">
        <v>213</v>
      </c>
      <c r="E76" s="33" t="s">
        <v>135</v>
      </c>
      <c r="F76" s="34">
        <v>1</v>
      </c>
      <c r="G76" s="35">
        <v>0</v>
      </c>
      <c r="H76" s="35">
        <v>0</v>
      </c>
      <c r="I76" s="35">
        <f>Tabla1[[#This Row],[P.U. M.N.]]*Tabla1[[#This Row],[CANTIDADES DE REFERENCIA]]</f>
        <v>0</v>
      </c>
      <c r="J76" s="35">
        <f>Tabla1[[#This Row],[P.U. USD]]*Tabla1[[#This Row],[CANTIDADES DE REFERENCIA]]</f>
        <v>0</v>
      </c>
      <c r="K76" s="36"/>
      <c r="L76" s="36"/>
      <c r="M76" s="36"/>
      <c r="N76" s="37" t="s">
        <v>117</v>
      </c>
      <c r="O76" s="37" t="s">
        <v>118</v>
      </c>
      <c r="P76" s="38"/>
      <c r="Q76" s="37" t="s">
        <v>214</v>
      </c>
      <c r="R76" s="37"/>
      <c r="S76" s="37" t="s">
        <v>120</v>
      </c>
      <c r="T76" s="31"/>
    </row>
    <row r="77" spans="1:20">
      <c r="A77" s="31"/>
      <c r="B77" s="32"/>
      <c r="C77" s="33"/>
      <c r="D77" s="32" t="s">
        <v>215</v>
      </c>
      <c r="E77" s="33" t="s">
        <v>116</v>
      </c>
      <c r="F77" s="34">
        <v>1</v>
      </c>
      <c r="G77" s="35">
        <v>0</v>
      </c>
      <c r="H77" s="35">
        <v>0</v>
      </c>
      <c r="I77" s="35">
        <f>Tabla1[[#This Row],[P.U. M.N.]]*Tabla1[[#This Row],[CANTIDADES DE REFERENCIA]]</f>
        <v>0</v>
      </c>
      <c r="J77" s="35">
        <f>Tabla1[[#This Row],[P.U. USD]]*Tabla1[[#This Row],[CANTIDADES DE REFERENCIA]]</f>
        <v>0</v>
      </c>
      <c r="K77" s="36"/>
      <c r="L77" s="36"/>
      <c r="M77" s="36"/>
      <c r="N77" s="37" t="s">
        <v>117</v>
      </c>
      <c r="O77" s="37" t="s">
        <v>118</v>
      </c>
      <c r="P77" s="38"/>
      <c r="Q77" s="37" t="s">
        <v>216</v>
      </c>
      <c r="R77" s="37"/>
      <c r="S77" s="37" t="s">
        <v>120</v>
      </c>
      <c r="T77" s="31"/>
    </row>
    <row r="78" spans="1:20">
      <c r="A78" s="31"/>
      <c r="B78" s="32"/>
      <c r="C78" s="33"/>
      <c r="D78" s="32" t="s">
        <v>217</v>
      </c>
      <c r="E78" s="33" t="s">
        <v>116</v>
      </c>
      <c r="F78" s="34">
        <v>1</v>
      </c>
      <c r="G78" s="35">
        <v>0</v>
      </c>
      <c r="H78" s="35">
        <v>0</v>
      </c>
      <c r="I78" s="35">
        <f>Tabla1[[#This Row],[P.U. M.N.]]*Tabla1[[#This Row],[CANTIDADES DE REFERENCIA]]</f>
        <v>0</v>
      </c>
      <c r="J78" s="35">
        <f>Tabla1[[#This Row],[P.U. USD]]*Tabla1[[#This Row],[CANTIDADES DE REFERENCIA]]</f>
        <v>0</v>
      </c>
      <c r="K78" s="36"/>
      <c r="L78" s="36"/>
      <c r="M78" s="36"/>
      <c r="N78" s="37" t="s">
        <v>117</v>
      </c>
      <c r="O78" s="37" t="s">
        <v>118</v>
      </c>
      <c r="P78" s="38"/>
      <c r="Q78" s="37" t="s">
        <v>218</v>
      </c>
      <c r="R78" s="37"/>
      <c r="S78" s="37" t="s">
        <v>120</v>
      </c>
      <c r="T78" s="31"/>
    </row>
    <row r="79" spans="1:20">
      <c r="A79" s="31"/>
      <c r="B79" s="32"/>
      <c r="C79" s="33"/>
      <c r="D79" s="32" t="s">
        <v>219</v>
      </c>
      <c r="E79" s="33" t="s">
        <v>116</v>
      </c>
      <c r="F79" s="34">
        <v>1</v>
      </c>
      <c r="G79" s="35">
        <v>0</v>
      </c>
      <c r="H79" s="35">
        <v>0</v>
      </c>
      <c r="I79" s="35">
        <f>Tabla1[[#This Row],[P.U. M.N.]]*Tabla1[[#This Row],[CANTIDADES DE REFERENCIA]]</f>
        <v>0</v>
      </c>
      <c r="J79" s="35">
        <f>Tabla1[[#This Row],[P.U. USD]]*Tabla1[[#This Row],[CANTIDADES DE REFERENCIA]]</f>
        <v>0</v>
      </c>
      <c r="K79" s="36"/>
      <c r="L79" s="36"/>
      <c r="M79" s="36"/>
      <c r="N79" s="37" t="s">
        <v>117</v>
      </c>
      <c r="O79" s="37" t="s">
        <v>118</v>
      </c>
      <c r="P79" s="38"/>
      <c r="Q79" s="37" t="s">
        <v>220</v>
      </c>
      <c r="R79" s="37"/>
      <c r="S79" s="37" t="s">
        <v>120</v>
      </c>
      <c r="T79" s="31"/>
    </row>
    <row r="80" spans="1:20">
      <c r="A80" s="31"/>
      <c r="B80" s="32"/>
      <c r="C80" s="33"/>
      <c r="D80" s="32" t="s">
        <v>221</v>
      </c>
      <c r="E80" s="33" t="s">
        <v>116</v>
      </c>
      <c r="F80" s="34">
        <v>1</v>
      </c>
      <c r="G80" s="35">
        <v>0</v>
      </c>
      <c r="H80" s="35">
        <v>0</v>
      </c>
      <c r="I80" s="35">
        <f>Tabla1[[#This Row],[P.U. M.N.]]*Tabla1[[#This Row],[CANTIDADES DE REFERENCIA]]</f>
        <v>0</v>
      </c>
      <c r="J80" s="35">
        <f>Tabla1[[#This Row],[P.U. USD]]*Tabla1[[#This Row],[CANTIDADES DE REFERENCIA]]</f>
        <v>0</v>
      </c>
      <c r="K80" s="36"/>
      <c r="L80" s="36"/>
      <c r="M80" s="36"/>
      <c r="N80" s="37" t="s">
        <v>117</v>
      </c>
      <c r="O80" s="37" t="s">
        <v>118</v>
      </c>
      <c r="P80" s="38"/>
      <c r="Q80" s="37" t="s">
        <v>222</v>
      </c>
      <c r="R80" s="37"/>
      <c r="S80" s="37" t="s">
        <v>120</v>
      </c>
      <c r="T80" s="31"/>
    </row>
    <row r="81" spans="1:20">
      <c r="A81" s="31"/>
      <c r="B81" s="32"/>
      <c r="C81" s="33"/>
      <c r="D81" s="32" t="s">
        <v>223</v>
      </c>
      <c r="E81" s="33" t="s">
        <v>116</v>
      </c>
      <c r="F81" s="34">
        <v>1</v>
      </c>
      <c r="G81" s="35">
        <v>0</v>
      </c>
      <c r="H81" s="35">
        <v>0</v>
      </c>
      <c r="I81" s="35">
        <f>Tabla1[[#This Row],[P.U. M.N.]]*Tabla1[[#This Row],[CANTIDADES DE REFERENCIA]]</f>
        <v>0</v>
      </c>
      <c r="J81" s="35">
        <f>Tabla1[[#This Row],[P.U. USD]]*Tabla1[[#This Row],[CANTIDADES DE REFERENCIA]]</f>
        <v>0</v>
      </c>
      <c r="K81" s="36"/>
      <c r="L81" s="36"/>
      <c r="M81" s="36"/>
      <c r="N81" s="37" t="s">
        <v>117</v>
      </c>
      <c r="O81" s="37" t="s">
        <v>118</v>
      </c>
      <c r="P81" s="38"/>
      <c r="Q81" s="37" t="s">
        <v>224</v>
      </c>
      <c r="R81" s="37"/>
      <c r="S81" s="37" t="s">
        <v>120</v>
      </c>
      <c r="T81" s="31"/>
    </row>
    <row r="82" spans="1:20">
      <c r="A82" s="31"/>
      <c r="B82" s="32"/>
      <c r="C82" s="33"/>
      <c r="D82" s="32" t="s">
        <v>225</v>
      </c>
      <c r="E82" s="33" t="s">
        <v>116</v>
      </c>
      <c r="F82" s="34">
        <v>1</v>
      </c>
      <c r="G82" s="35">
        <v>0</v>
      </c>
      <c r="H82" s="35">
        <v>0</v>
      </c>
      <c r="I82" s="35">
        <f>Tabla1[[#This Row],[P.U. M.N.]]*Tabla1[[#This Row],[CANTIDADES DE REFERENCIA]]</f>
        <v>0</v>
      </c>
      <c r="J82" s="35">
        <f>Tabla1[[#This Row],[P.U. USD]]*Tabla1[[#This Row],[CANTIDADES DE REFERENCIA]]</f>
        <v>0</v>
      </c>
      <c r="K82" s="36"/>
      <c r="L82" s="36"/>
      <c r="M82" s="36"/>
      <c r="N82" s="37" t="s">
        <v>117</v>
      </c>
      <c r="O82" s="37" t="s">
        <v>118</v>
      </c>
      <c r="P82" s="38"/>
      <c r="Q82" s="37" t="s">
        <v>226</v>
      </c>
      <c r="R82" s="37"/>
      <c r="S82" s="37" t="s">
        <v>120</v>
      </c>
      <c r="T82" s="31"/>
    </row>
    <row r="83" spans="1:20">
      <c r="A83" s="31"/>
      <c r="B83" s="32"/>
      <c r="C83" s="33"/>
      <c r="D83" s="32" t="s">
        <v>227</v>
      </c>
      <c r="E83" s="33" t="s">
        <v>116</v>
      </c>
      <c r="F83" s="34">
        <v>1</v>
      </c>
      <c r="G83" s="35">
        <v>0</v>
      </c>
      <c r="H83" s="35">
        <v>0</v>
      </c>
      <c r="I83" s="35">
        <f>Tabla1[[#This Row],[P.U. M.N.]]*Tabla1[[#This Row],[CANTIDADES DE REFERENCIA]]</f>
        <v>0</v>
      </c>
      <c r="J83" s="35">
        <f>Tabla1[[#This Row],[P.U. USD]]*Tabla1[[#This Row],[CANTIDADES DE REFERENCIA]]</f>
        <v>0</v>
      </c>
      <c r="K83" s="36"/>
      <c r="L83" s="36"/>
      <c r="M83" s="36"/>
      <c r="N83" s="37" t="s">
        <v>117</v>
      </c>
      <c r="O83" s="37" t="s">
        <v>118</v>
      </c>
      <c r="P83" s="38"/>
      <c r="Q83" s="37" t="s">
        <v>228</v>
      </c>
      <c r="R83" s="37"/>
      <c r="S83" s="37" t="s">
        <v>120</v>
      </c>
      <c r="T83" s="31"/>
    </row>
    <row r="84" spans="1:20">
      <c r="A84" s="31"/>
      <c r="B84" s="32"/>
      <c r="C84" s="33"/>
      <c r="D84" s="32" t="s">
        <v>229</v>
      </c>
      <c r="E84" s="33" t="s">
        <v>116</v>
      </c>
      <c r="F84" s="34">
        <v>1</v>
      </c>
      <c r="G84" s="35">
        <v>0</v>
      </c>
      <c r="H84" s="35">
        <v>0</v>
      </c>
      <c r="I84" s="35">
        <f>Tabla1[[#This Row],[P.U. M.N.]]*Tabla1[[#This Row],[CANTIDADES DE REFERENCIA]]</f>
        <v>0</v>
      </c>
      <c r="J84" s="35">
        <f>Tabla1[[#This Row],[P.U. USD]]*Tabla1[[#This Row],[CANTIDADES DE REFERENCIA]]</f>
        <v>0</v>
      </c>
      <c r="K84" s="36"/>
      <c r="L84" s="36"/>
      <c r="M84" s="36"/>
      <c r="N84" s="37" t="s">
        <v>117</v>
      </c>
      <c r="O84" s="37" t="s">
        <v>118</v>
      </c>
      <c r="P84" s="38"/>
      <c r="Q84" s="37" t="s">
        <v>230</v>
      </c>
      <c r="R84" s="37"/>
      <c r="S84" s="37" t="s">
        <v>120</v>
      </c>
      <c r="T84" s="31"/>
    </row>
    <row r="85" spans="1:20">
      <c r="A85" s="31"/>
      <c r="B85" s="32"/>
      <c r="C85" s="33"/>
      <c r="D85" s="32" t="s">
        <v>231</v>
      </c>
      <c r="E85" s="33" t="s">
        <v>116</v>
      </c>
      <c r="F85" s="34">
        <v>1</v>
      </c>
      <c r="G85" s="35">
        <v>0</v>
      </c>
      <c r="H85" s="35">
        <v>0</v>
      </c>
      <c r="I85" s="35">
        <f>Tabla1[[#This Row],[P.U. M.N.]]*Tabla1[[#This Row],[CANTIDADES DE REFERENCIA]]</f>
        <v>0</v>
      </c>
      <c r="J85" s="35">
        <f>Tabla1[[#This Row],[P.U. USD]]*Tabla1[[#This Row],[CANTIDADES DE REFERENCIA]]</f>
        <v>0</v>
      </c>
      <c r="K85" s="36"/>
      <c r="L85" s="36"/>
      <c r="M85" s="36"/>
      <c r="N85" s="37" t="s">
        <v>117</v>
      </c>
      <c r="O85" s="37" t="s">
        <v>118</v>
      </c>
      <c r="P85" s="38"/>
      <c r="Q85" s="37" t="s">
        <v>232</v>
      </c>
      <c r="R85" s="37"/>
      <c r="S85" s="37" t="s">
        <v>120</v>
      </c>
      <c r="T85" s="31"/>
    </row>
    <row r="86" spans="1:20">
      <c r="A86" s="31"/>
      <c r="B86" s="32"/>
      <c r="C86" s="33"/>
      <c r="D86" s="32" t="s">
        <v>233</v>
      </c>
      <c r="E86" s="33" t="s">
        <v>116</v>
      </c>
      <c r="F86" s="34">
        <v>1</v>
      </c>
      <c r="G86" s="35">
        <v>0</v>
      </c>
      <c r="H86" s="35">
        <v>0</v>
      </c>
      <c r="I86" s="35">
        <f>Tabla1[[#This Row],[P.U. M.N.]]*Tabla1[[#This Row],[CANTIDADES DE REFERENCIA]]</f>
        <v>0</v>
      </c>
      <c r="J86" s="35">
        <f>Tabla1[[#This Row],[P.U. USD]]*Tabla1[[#This Row],[CANTIDADES DE REFERENCIA]]</f>
        <v>0</v>
      </c>
      <c r="K86" s="36"/>
      <c r="L86" s="36"/>
      <c r="M86" s="36"/>
      <c r="N86" s="37" t="s">
        <v>117</v>
      </c>
      <c r="O86" s="37" t="s">
        <v>118</v>
      </c>
      <c r="P86" s="38"/>
      <c r="Q86" s="37" t="s">
        <v>234</v>
      </c>
      <c r="R86" s="37"/>
      <c r="S86" s="37" t="s">
        <v>120</v>
      </c>
      <c r="T86" s="31"/>
    </row>
    <row r="87" spans="1:20">
      <c r="A87" s="31"/>
      <c r="B87" s="32"/>
      <c r="C87" s="33"/>
      <c r="D87" s="32" t="s">
        <v>235</v>
      </c>
      <c r="E87" s="33" t="s">
        <v>116</v>
      </c>
      <c r="F87" s="34">
        <v>1</v>
      </c>
      <c r="G87" s="35">
        <v>0</v>
      </c>
      <c r="H87" s="35">
        <v>0</v>
      </c>
      <c r="I87" s="35">
        <f>Tabla1[[#This Row],[P.U. M.N.]]*Tabla1[[#This Row],[CANTIDADES DE REFERENCIA]]</f>
        <v>0</v>
      </c>
      <c r="J87" s="35">
        <f>Tabla1[[#This Row],[P.U. USD]]*Tabla1[[#This Row],[CANTIDADES DE REFERENCIA]]</f>
        <v>0</v>
      </c>
      <c r="K87" s="36"/>
      <c r="L87" s="36"/>
      <c r="M87" s="36"/>
      <c r="N87" s="37" t="s">
        <v>117</v>
      </c>
      <c r="O87" s="37" t="s">
        <v>118</v>
      </c>
      <c r="P87" s="38"/>
      <c r="Q87" s="37" t="s">
        <v>236</v>
      </c>
      <c r="R87" s="37"/>
      <c r="S87" s="37" t="s">
        <v>120</v>
      </c>
      <c r="T87" s="31"/>
    </row>
    <row r="88" spans="1:20">
      <c r="A88" s="31"/>
      <c r="B88" s="32"/>
      <c r="C88" s="33"/>
      <c r="D88" s="32" t="s">
        <v>237</v>
      </c>
      <c r="E88" s="33" t="s">
        <v>116</v>
      </c>
      <c r="F88" s="34">
        <v>1</v>
      </c>
      <c r="G88" s="35">
        <v>0</v>
      </c>
      <c r="H88" s="35">
        <v>0</v>
      </c>
      <c r="I88" s="35">
        <f>Tabla1[[#This Row],[P.U. M.N.]]*Tabla1[[#This Row],[CANTIDADES DE REFERENCIA]]</f>
        <v>0</v>
      </c>
      <c r="J88" s="35">
        <f>Tabla1[[#This Row],[P.U. USD]]*Tabla1[[#This Row],[CANTIDADES DE REFERENCIA]]</f>
        <v>0</v>
      </c>
      <c r="K88" s="36"/>
      <c r="L88" s="36"/>
      <c r="M88" s="36"/>
      <c r="N88" s="37" t="s">
        <v>117</v>
      </c>
      <c r="O88" s="37" t="s">
        <v>118</v>
      </c>
      <c r="P88" s="38"/>
      <c r="Q88" s="37" t="s">
        <v>238</v>
      </c>
      <c r="R88" s="37"/>
      <c r="S88" s="37" t="s">
        <v>120</v>
      </c>
      <c r="T88" s="31"/>
    </row>
    <row r="89" spans="1:20">
      <c r="A89" s="31"/>
      <c r="B89" s="32"/>
      <c r="C89" s="33"/>
      <c r="D89" s="32" t="s">
        <v>239</v>
      </c>
      <c r="E89" s="33" t="s">
        <v>116</v>
      </c>
      <c r="F89" s="34">
        <v>1</v>
      </c>
      <c r="G89" s="35">
        <v>0</v>
      </c>
      <c r="H89" s="35">
        <v>0</v>
      </c>
      <c r="I89" s="35">
        <f>Tabla1[[#This Row],[P.U. M.N.]]*Tabla1[[#This Row],[CANTIDADES DE REFERENCIA]]</f>
        <v>0</v>
      </c>
      <c r="J89" s="35">
        <f>Tabla1[[#This Row],[P.U. USD]]*Tabla1[[#This Row],[CANTIDADES DE REFERENCIA]]</f>
        <v>0</v>
      </c>
      <c r="K89" s="36"/>
      <c r="L89" s="36"/>
      <c r="M89" s="36"/>
      <c r="N89" s="37" t="s">
        <v>117</v>
      </c>
      <c r="O89" s="37" t="s">
        <v>118</v>
      </c>
      <c r="P89" s="38"/>
      <c r="Q89" s="37" t="s">
        <v>240</v>
      </c>
      <c r="R89" s="37"/>
      <c r="S89" s="37" t="s">
        <v>120</v>
      </c>
      <c r="T89" s="31"/>
    </row>
    <row r="90" spans="1:20">
      <c r="A90" s="31"/>
      <c r="B90" s="32"/>
      <c r="C90" s="33"/>
      <c r="D90" s="32" t="s">
        <v>241</v>
      </c>
      <c r="E90" s="33" t="s">
        <v>116</v>
      </c>
      <c r="F90" s="34">
        <v>1</v>
      </c>
      <c r="G90" s="35">
        <v>0</v>
      </c>
      <c r="H90" s="35">
        <v>0</v>
      </c>
      <c r="I90" s="35">
        <f>Tabla1[[#This Row],[P.U. M.N.]]*Tabla1[[#This Row],[CANTIDADES DE REFERENCIA]]</f>
        <v>0</v>
      </c>
      <c r="J90" s="35">
        <f>Tabla1[[#This Row],[P.U. USD]]*Tabla1[[#This Row],[CANTIDADES DE REFERENCIA]]</f>
        <v>0</v>
      </c>
      <c r="K90" s="36"/>
      <c r="L90" s="36"/>
      <c r="M90" s="36"/>
      <c r="N90" s="37" t="s">
        <v>117</v>
      </c>
      <c r="O90" s="37" t="s">
        <v>118</v>
      </c>
      <c r="P90" s="38"/>
      <c r="Q90" s="37" t="s">
        <v>242</v>
      </c>
      <c r="R90" s="37" t="s">
        <v>58</v>
      </c>
      <c r="S90" s="37" t="s">
        <v>120</v>
      </c>
      <c r="T90" s="31"/>
    </row>
    <row r="91" spans="1:20">
      <c r="A91" s="31"/>
      <c r="B91" s="32"/>
      <c r="C91" s="33"/>
      <c r="D91" s="32" t="s">
        <v>243</v>
      </c>
      <c r="E91" s="33" t="s">
        <v>116</v>
      </c>
      <c r="F91" s="34">
        <v>1</v>
      </c>
      <c r="G91" s="35">
        <v>0</v>
      </c>
      <c r="H91" s="35">
        <v>0</v>
      </c>
      <c r="I91" s="35">
        <f>Tabla1[[#This Row],[P.U. M.N.]]*Tabla1[[#This Row],[CANTIDADES DE REFERENCIA]]</f>
        <v>0</v>
      </c>
      <c r="J91" s="35">
        <f>Tabla1[[#This Row],[P.U. USD]]*Tabla1[[#This Row],[CANTIDADES DE REFERENCIA]]</f>
        <v>0</v>
      </c>
      <c r="K91" s="36"/>
      <c r="L91" s="36"/>
      <c r="M91" s="36"/>
      <c r="N91" s="37" t="s">
        <v>117</v>
      </c>
      <c r="O91" s="37" t="s">
        <v>118</v>
      </c>
      <c r="P91" s="38"/>
      <c r="Q91" s="37" t="s">
        <v>244</v>
      </c>
      <c r="R91" s="37"/>
      <c r="S91" s="37" t="s">
        <v>120</v>
      </c>
      <c r="T91" s="31"/>
    </row>
    <row r="92" spans="1:20">
      <c r="A92" s="31"/>
      <c r="B92" s="32"/>
      <c r="C92" s="33"/>
      <c r="D92" s="32" t="s">
        <v>245</v>
      </c>
      <c r="E92" s="33" t="s">
        <v>116</v>
      </c>
      <c r="F92" s="34">
        <v>1</v>
      </c>
      <c r="G92" s="35">
        <v>0</v>
      </c>
      <c r="H92" s="35">
        <v>0</v>
      </c>
      <c r="I92" s="35">
        <f>Tabla1[[#This Row],[P.U. M.N.]]*Tabla1[[#This Row],[CANTIDADES DE REFERENCIA]]</f>
        <v>0</v>
      </c>
      <c r="J92" s="35">
        <f>Tabla1[[#This Row],[P.U. USD]]*Tabla1[[#This Row],[CANTIDADES DE REFERENCIA]]</f>
        <v>0</v>
      </c>
      <c r="K92" s="36"/>
      <c r="L92" s="36"/>
      <c r="M92" s="36"/>
      <c r="N92" s="37" t="s">
        <v>117</v>
      </c>
      <c r="O92" s="37" t="s">
        <v>118</v>
      </c>
      <c r="P92" s="38"/>
      <c r="Q92" s="37" t="s">
        <v>246</v>
      </c>
      <c r="R92" s="37"/>
      <c r="S92" s="37" t="s">
        <v>120</v>
      </c>
      <c r="T92" s="31"/>
    </row>
    <row r="93" spans="1:20">
      <c r="A93" s="31"/>
      <c r="B93" s="32"/>
      <c r="C93" s="33"/>
      <c r="D93" s="32" t="s">
        <v>247</v>
      </c>
      <c r="E93" s="33" t="s">
        <v>116</v>
      </c>
      <c r="F93" s="34">
        <v>1</v>
      </c>
      <c r="G93" s="35">
        <v>0</v>
      </c>
      <c r="H93" s="35">
        <v>0</v>
      </c>
      <c r="I93" s="35">
        <f>Tabla1[[#This Row],[P.U. M.N.]]*Tabla1[[#This Row],[CANTIDADES DE REFERENCIA]]</f>
        <v>0</v>
      </c>
      <c r="J93" s="35">
        <f>Tabla1[[#This Row],[P.U. USD]]*Tabla1[[#This Row],[CANTIDADES DE REFERENCIA]]</f>
        <v>0</v>
      </c>
      <c r="K93" s="36"/>
      <c r="L93" s="36"/>
      <c r="M93" s="36"/>
      <c r="N93" s="37" t="s">
        <v>117</v>
      </c>
      <c r="O93" s="37" t="s">
        <v>118</v>
      </c>
      <c r="P93" s="38"/>
      <c r="Q93" s="37" t="s">
        <v>248</v>
      </c>
      <c r="R93" s="37"/>
      <c r="S93" s="37" t="s">
        <v>120</v>
      </c>
      <c r="T93" s="31"/>
    </row>
    <row r="94" spans="1:20">
      <c r="A94" s="31"/>
      <c r="B94" s="32"/>
      <c r="C94" s="33"/>
      <c r="D94" s="32" t="s">
        <v>249</v>
      </c>
      <c r="E94" s="33" t="s">
        <v>116</v>
      </c>
      <c r="F94" s="34">
        <v>1</v>
      </c>
      <c r="G94" s="35">
        <v>0</v>
      </c>
      <c r="H94" s="35">
        <v>0</v>
      </c>
      <c r="I94" s="35">
        <f>Tabla1[[#This Row],[P.U. M.N.]]*Tabla1[[#This Row],[CANTIDADES DE REFERENCIA]]</f>
        <v>0</v>
      </c>
      <c r="J94" s="35">
        <f>Tabla1[[#This Row],[P.U. USD]]*Tabla1[[#This Row],[CANTIDADES DE REFERENCIA]]</f>
        <v>0</v>
      </c>
      <c r="K94" s="36"/>
      <c r="L94" s="36"/>
      <c r="M94" s="36"/>
      <c r="N94" s="37" t="s">
        <v>117</v>
      </c>
      <c r="O94" s="37" t="s">
        <v>118</v>
      </c>
      <c r="P94" s="38"/>
      <c r="Q94" s="37" t="s">
        <v>250</v>
      </c>
      <c r="R94" s="37"/>
      <c r="S94" s="37" t="s">
        <v>120</v>
      </c>
      <c r="T94" s="31"/>
    </row>
    <row r="95" spans="1:20">
      <c r="A95" s="31"/>
      <c r="B95" s="32"/>
      <c r="C95" s="33"/>
      <c r="D95" s="32" t="s">
        <v>251</v>
      </c>
      <c r="E95" s="33" t="s">
        <v>116</v>
      </c>
      <c r="F95" s="34">
        <v>1</v>
      </c>
      <c r="G95" s="35">
        <v>0</v>
      </c>
      <c r="H95" s="35">
        <v>0</v>
      </c>
      <c r="I95" s="35">
        <f>Tabla1[[#This Row],[P.U. M.N.]]*Tabla1[[#This Row],[CANTIDADES DE REFERENCIA]]</f>
        <v>0</v>
      </c>
      <c r="J95" s="35">
        <f>Tabla1[[#This Row],[P.U. USD]]*Tabla1[[#This Row],[CANTIDADES DE REFERENCIA]]</f>
        <v>0</v>
      </c>
      <c r="K95" s="36"/>
      <c r="L95" s="36"/>
      <c r="M95" s="36"/>
      <c r="N95" s="37" t="s">
        <v>117</v>
      </c>
      <c r="O95" s="37" t="s">
        <v>118</v>
      </c>
      <c r="P95" s="38"/>
      <c r="Q95" s="37" t="s">
        <v>252</v>
      </c>
      <c r="R95" s="37"/>
      <c r="S95" s="37" t="s">
        <v>120</v>
      </c>
      <c r="T95" s="31"/>
    </row>
    <row r="96" spans="1:20">
      <c r="A96" s="31"/>
      <c r="B96" s="32"/>
      <c r="C96" s="33"/>
      <c r="D96" s="32" t="s">
        <v>253</v>
      </c>
      <c r="E96" s="33" t="s">
        <v>135</v>
      </c>
      <c r="F96" s="34">
        <v>1</v>
      </c>
      <c r="G96" s="35">
        <v>0</v>
      </c>
      <c r="H96" s="35">
        <v>0</v>
      </c>
      <c r="I96" s="35">
        <f>Tabla1[[#This Row],[P.U. M.N.]]*Tabla1[[#This Row],[CANTIDADES DE REFERENCIA]]</f>
        <v>0</v>
      </c>
      <c r="J96" s="35">
        <f>Tabla1[[#This Row],[P.U. USD]]*Tabla1[[#This Row],[CANTIDADES DE REFERENCIA]]</f>
        <v>0</v>
      </c>
      <c r="K96" s="36"/>
      <c r="L96" s="36"/>
      <c r="M96" s="36"/>
      <c r="N96" s="37" t="s">
        <v>117</v>
      </c>
      <c r="O96" s="37" t="s">
        <v>118</v>
      </c>
      <c r="P96" s="38"/>
      <c r="Q96" s="37" t="s">
        <v>254</v>
      </c>
      <c r="R96" s="37"/>
      <c r="S96" s="37" t="s">
        <v>120</v>
      </c>
      <c r="T96" s="31"/>
    </row>
    <row r="97" spans="1:20">
      <c r="A97" s="31"/>
      <c r="B97" s="32"/>
      <c r="C97" s="33"/>
      <c r="D97" s="32" t="s">
        <v>255</v>
      </c>
      <c r="E97" s="33" t="s">
        <v>135</v>
      </c>
      <c r="F97" s="34">
        <v>1</v>
      </c>
      <c r="G97" s="35">
        <v>0</v>
      </c>
      <c r="H97" s="35">
        <v>0</v>
      </c>
      <c r="I97" s="35">
        <f>Tabla1[[#This Row],[P.U. M.N.]]*Tabla1[[#This Row],[CANTIDADES DE REFERENCIA]]</f>
        <v>0</v>
      </c>
      <c r="J97" s="35">
        <f>Tabla1[[#This Row],[P.U. USD]]*Tabla1[[#This Row],[CANTIDADES DE REFERENCIA]]</f>
        <v>0</v>
      </c>
      <c r="K97" s="36"/>
      <c r="L97" s="36"/>
      <c r="M97" s="36"/>
      <c r="N97" s="37" t="s">
        <v>117</v>
      </c>
      <c r="O97" s="37" t="s">
        <v>118</v>
      </c>
      <c r="P97" s="38"/>
      <c r="Q97" s="37" t="s">
        <v>256</v>
      </c>
      <c r="R97" s="37"/>
      <c r="S97" s="37" t="s">
        <v>120</v>
      </c>
      <c r="T97" s="31"/>
    </row>
    <row r="98" spans="1:20">
      <c r="A98" s="31"/>
      <c r="B98" s="32"/>
      <c r="C98" s="33"/>
      <c r="D98" s="32" t="s">
        <v>257</v>
      </c>
      <c r="E98" s="33" t="s">
        <v>135</v>
      </c>
      <c r="F98" s="34">
        <v>1</v>
      </c>
      <c r="G98" s="35">
        <v>0</v>
      </c>
      <c r="H98" s="35">
        <v>0</v>
      </c>
      <c r="I98" s="35">
        <f>Tabla1[[#This Row],[P.U. M.N.]]*Tabla1[[#This Row],[CANTIDADES DE REFERENCIA]]</f>
        <v>0</v>
      </c>
      <c r="J98" s="35">
        <f>Tabla1[[#This Row],[P.U. USD]]*Tabla1[[#This Row],[CANTIDADES DE REFERENCIA]]</f>
        <v>0</v>
      </c>
      <c r="K98" s="36"/>
      <c r="L98" s="36"/>
      <c r="M98" s="36"/>
      <c r="N98" s="37" t="s">
        <v>117</v>
      </c>
      <c r="O98" s="37" t="s">
        <v>118</v>
      </c>
      <c r="P98" s="38"/>
      <c r="Q98" s="37" t="s">
        <v>258</v>
      </c>
      <c r="R98" s="37"/>
      <c r="S98" s="37" t="s">
        <v>120</v>
      </c>
      <c r="T98" s="31"/>
    </row>
    <row r="99" spans="1:20">
      <c r="A99" s="31"/>
      <c r="B99" s="32"/>
      <c r="C99" s="33"/>
      <c r="D99" s="32" t="s">
        <v>259</v>
      </c>
      <c r="E99" s="33" t="s">
        <v>135</v>
      </c>
      <c r="F99" s="34">
        <v>1</v>
      </c>
      <c r="G99" s="35">
        <v>0</v>
      </c>
      <c r="H99" s="35">
        <v>0</v>
      </c>
      <c r="I99" s="35">
        <f>Tabla1[[#This Row],[P.U. M.N.]]*Tabla1[[#This Row],[CANTIDADES DE REFERENCIA]]</f>
        <v>0</v>
      </c>
      <c r="J99" s="35">
        <f>Tabla1[[#This Row],[P.U. USD]]*Tabla1[[#This Row],[CANTIDADES DE REFERENCIA]]</f>
        <v>0</v>
      </c>
      <c r="K99" s="36"/>
      <c r="L99" s="36"/>
      <c r="M99" s="36"/>
      <c r="N99" s="37" t="s">
        <v>117</v>
      </c>
      <c r="O99" s="37" t="s">
        <v>118</v>
      </c>
      <c r="P99" s="38"/>
      <c r="Q99" s="37" t="s">
        <v>260</v>
      </c>
      <c r="R99" s="37"/>
      <c r="S99" s="37" t="s">
        <v>120</v>
      </c>
      <c r="T99" s="31"/>
    </row>
    <row r="100" spans="1:20">
      <c r="A100" s="31"/>
      <c r="B100" s="32"/>
      <c r="C100" s="33"/>
      <c r="D100" s="32" t="s">
        <v>261</v>
      </c>
      <c r="E100" s="33" t="s">
        <v>116</v>
      </c>
      <c r="F100" s="34">
        <v>1</v>
      </c>
      <c r="G100" s="35">
        <v>0</v>
      </c>
      <c r="H100" s="35">
        <v>0</v>
      </c>
      <c r="I100" s="35">
        <f>Tabla1[[#This Row],[P.U. M.N.]]*Tabla1[[#This Row],[CANTIDADES DE REFERENCIA]]</f>
        <v>0</v>
      </c>
      <c r="J100" s="35">
        <f>Tabla1[[#This Row],[P.U. USD]]*Tabla1[[#This Row],[CANTIDADES DE REFERENCIA]]</f>
        <v>0</v>
      </c>
      <c r="K100" s="36"/>
      <c r="L100" s="36"/>
      <c r="M100" s="36"/>
      <c r="N100" s="37" t="s">
        <v>117</v>
      </c>
      <c r="O100" s="37" t="s">
        <v>118</v>
      </c>
      <c r="P100" s="38"/>
      <c r="Q100" s="37" t="s">
        <v>262</v>
      </c>
      <c r="R100" s="37"/>
      <c r="S100" s="37" t="s">
        <v>120</v>
      </c>
      <c r="T100" s="31"/>
    </row>
    <row r="101" spans="1:20">
      <c r="A101" s="31"/>
      <c r="B101" s="32"/>
      <c r="C101" s="33"/>
      <c r="D101" s="32" t="s">
        <v>263</v>
      </c>
      <c r="E101" s="33" t="s">
        <v>116</v>
      </c>
      <c r="F101" s="34">
        <v>1</v>
      </c>
      <c r="G101" s="35">
        <v>0</v>
      </c>
      <c r="H101" s="35">
        <v>0</v>
      </c>
      <c r="I101" s="35">
        <f>Tabla1[[#This Row],[P.U. M.N.]]*Tabla1[[#This Row],[CANTIDADES DE REFERENCIA]]</f>
        <v>0</v>
      </c>
      <c r="J101" s="35">
        <f>Tabla1[[#This Row],[P.U. USD]]*Tabla1[[#This Row],[CANTIDADES DE REFERENCIA]]</f>
        <v>0</v>
      </c>
      <c r="K101" s="36"/>
      <c r="L101" s="36"/>
      <c r="M101" s="36"/>
      <c r="N101" s="37" t="s">
        <v>117</v>
      </c>
      <c r="O101" s="37" t="s">
        <v>118</v>
      </c>
      <c r="P101" s="38"/>
      <c r="Q101" s="37" t="s">
        <v>264</v>
      </c>
      <c r="R101" s="37"/>
      <c r="S101" s="37" t="s">
        <v>120</v>
      </c>
      <c r="T101" s="31"/>
    </row>
    <row r="102" spans="1:20">
      <c r="A102" s="31"/>
      <c r="B102" s="32"/>
      <c r="C102" s="33"/>
      <c r="D102" s="32" t="s">
        <v>265</v>
      </c>
      <c r="E102" s="33" t="s">
        <v>116</v>
      </c>
      <c r="F102" s="34">
        <v>1</v>
      </c>
      <c r="G102" s="35">
        <v>0</v>
      </c>
      <c r="H102" s="35">
        <v>0</v>
      </c>
      <c r="I102" s="35">
        <f>Tabla1[[#This Row],[P.U. M.N.]]*Tabla1[[#This Row],[CANTIDADES DE REFERENCIA]]</f>
        <v>0</v>
      </c>
      <c r="J102" s="35">
        <f>Tabla1[[#This Row],[P.U. USD]]*Tabla1[[#This Row],[CANTIDADES DE REFERENCIA]]</f>
        <v>0</v>
      </c>
      <c r="K102" s="36"/>
      <c r="L102" s="36"/>
      <c r="M102" s="36"/>
      <c r="N102" s="37" t="s">
        <v>117</v>
      </c>
      <c r="O102" s="37" t="s">
        <v>118</v>
      </c>
      <c r="P102" s="38"/>
      <c r="Q102" s="37" t="s">
        <v>266</v>
      </c>
      <c r="R102" s="37"/>
      <c r="S102" s="37" t="s">
        <v>120</v>
      </c>
      <c r="T102" s="31"/>
    </row>
    <row r="103" spans="1:20">
      <c r="A103" s="31"/>
      <c r="B103" s="32"/>
      <c r="C103" s="33"/>
      <c r="D103" s="32" t="s">
        <v>267</v>
      </c>
      <c r="E103" s="33" t="s">
        <v>116</v>
      </c>
      <c r="F103" s="34">
        <v>1</v>
      </c>
      <c r="G103" s="35">
        <v>0</v>
      </c>
      <c r="H103" s="35">
        <v>0</v>
      </c>
      <c r="I103" s="35">
        <f>Tabla1[[#This Row],[P.U. M.N.]]*Tabla1[[#This Row],[CANTIDADES DE REFERENCIA]]</f>
        <v>0</v>
      </c>
      <c r="J103" s="35">
        <f>Tabla1[[#This Row],[P.U. USD]]*Tabla1[[#This Row],[CANTIDADES DE REFERENCIA]]</f>
        <v>0</v>
      </c>
      <c r="K103" s="36"/>
      <c r="L103" s="36"/>
      <c r="M103" s="36"/>
      <c r="N103" s="37" t="s">
        <v>117</v>
      </c>
      <c r="O103" s="37" t="s">
        <v>118</v>
      </c>
      <c r="P103" s="38"/>
      <c r="Q103" s="37" t="s">
        <v>268</v>
      </c>
      <c r="R103" s="37"/>
      <c r="S103" s="37" t="s">
        <v>120</v>
      </c>
      <c r="T103" s="31"/>
    </row>
    <row r="104" spans="1:20">
      <c r="A104" s="31"/>
      <c r="B104" s="32"/>
      <c r="C104" s="33"/>
      <c r="D104" s="32" t="s">
        <v>269</v>
      </c>
      <c r="E104" s="33" t="s">
        <v>116</v>
      </c>
      <c r="F104" s="34">
        <v>1</v>
      </c>
      <c r="G104" s="35">
        <v>0</v>
      </c>
      <c r="H104" s="35">
        <v>0</v>
      </c>
      <c r="I104" s="35">
        <f>Tabla1[[#This Row],[P.U. M.N.]]*Tabla1[[#This Row],[CANTIDADES DE REFERENCIA]]</f>
        <v>0</v>
      </c>
      <c r="J104" s="35">
        <f>Tabla1[[#This Row],[P.U. USD]]*Tabla1[[#This Row],[CANTIDADES DE REFERENCIA]]</f>
        <v>0</v>
      </c>
      <c r="K104" s="36"/>
      <c r="L104" s="36"/>
      <c r="M104" s="36"/>
      <c r="N104" s="37" t="s">
        <v>117</v>
      </c>
      <c r="O104" s="37" t="s">
        <v>118</v>
      </c>
      <c r="P104" s="38"/>
      <c r="Q104" s="37" t="s">
        <v>270</v>
      </c>
      <c r="R104" s="37"/>
      <c r="S104" s="37" t="s">
        <v>120</v>
      </c>
      <c r="T104" s="31"/>
    </row>
    <row r="105" spans="1:20">
      <c r="A105" s="31"/>
      <c r="B105" s="32"/>
      <c r="C105" s="33"/>
      <c r="D105" s="32" t="s">
        <v>271</v>
      </c>
      <c r="E105" s="33" t="s">
        <v>116</v>
      </c>
      <c r="F105" s="34">
        <v>1</v>
      </c>
      <c r="G105" s="35">
        <v>0</v>
      </c>
      <c r="H105" s="35">
        <v>0</v>
      </c>
      <c r="I105" s="35">
        <f>Tabla1[[#This Row],[P.U. M.N.]]*Tabla1[[#This Row],[CANTIDADES DE REFERENCIA]]</f>
        <v>0</v>
      </c>
      <c r="J105" s="35">
        <f>Tabla1[[#This Row],[P.U. USD]]*Tabla1[[#This Row],[CANTIDADES DE REFERENCIA]]</f>
        <v>0</v>
      </c>
      <c r="K105" s="36"/>
      <c r="L105" s="36"/>
      <c r="M105" s="36"/>
      <c r="N105" s="37" t="s">
        <v>117</v>
      </c>
      <c r="O105" s="37" t="s">
        <v>118</v>
      </c>
      <c r="P105" s="38"/>
      <c r="Q105" s="37" t="s">
        <v>272</v>
      </c>
      <c r="R105" s="37"/>
      <c r="S105" s="37" t="s">
        <v>120</v>
      </c>
      <c r="T105" s="31"/>
    </row>
    <row r="106" spans="1:20">
      <c r="A106" s="31"/>
      <c r="B106" s="32"/>
      <c r="C106" s="33"/>
      <c r="D106" s="32" t="s">
        <v>273</v>
      </c>
      <c r="E106" s="33" t="s">
        <v>116</v>
      </c>
      <c r="F106" s="34">
        <v>1</v>
      </c>
      <c r="G106" s="35">
        <v>0</v>
      </c>
      <c r="H106" s="35">
        <v>0</v>
      </c>
      <c r="I106" s="35">
        <f>Tabla1[[#This Row],[P.U. M.N.]]*Tabla1[[#This Row],[CANTIDADES DE REFERENCIA]]</f>
        <v>0</v>
      </c>
      <c r="J106" s="35">
        <f>Tabla1[[#This Row],[P.U. USD]]*Tabla1[[#This Row],[CANTIDADES DE REFERENCIA]]</f>
        <v>0</v>
      </c>
      <c r="K106" s="36"/>
      <c r="L106" s="36"/>
      <c r="M106" s="36"/>
      <c r="N106" s="37" t="s">
        <v>117</v>
      </c>
      <c r="O106" s="37" t="s">
        <v>118</v>
      </c>
      <c r="P106" s="38"/>
      <c r="Q106" s="37" t="s">
        <v>274</v>
      </c>
      <c r="R106" s="37"/>
      <c r="S106" s="37" t="s">
        <v>120</v>
      </c>
      <c r="T106" s="31"/>
    </row>
    <row r="107" spans="1:20">
      <c r="A107" s="31"/>
      <c r="B107" s="32"/>
      <c r="C107" s="33"/>
      <c r="D107" s="32" t="s">
        <v>275</v>
      </c>
      <c r="E107" s="33" t="s">
        <v>116</v>
      </c>
      <c r="F107" s="34">
        <v>1</v>
      </c>
      <c r="G107" s="35">
        <v>0</v>
      </c>
      <c r="H107" s="35">
        <v>0</v>
      </c>
      <c r="I107" s="35">
        <f>Tabla1[[#This Row],[P.U. M.N.]]*Tabla1[[#This Row],[CANTIDADES DE REFERENCIA]]</f>
        <v>0</v>
      </c>
      <c r="J107" s="35">
        <f>Tabla1[[#This Row],[P.U. USD]]*Tabla1[[#This Row],[CANTIDADES DE REFERENCIA]]</f>
        <v>0</v>
      </c>
      <c r="K107" s="36"/>
      <c r="L107" s="36"/>
      <c r="M107" s="36"/>
      <c r="N107" s="37" t="s">
        <v>117</v>
      </c>
      <c r="O107" s="37" t="s">
        <v>118</v>
      </c>
      <c r="P107" s="38"/>
      <c r="Q107" s="37" t="s">
        <v>276</v>
      </c>
      <c r="R107" s="37"/>
      <c r="S107" s="37" t="s">
        <v>120</v>
      </c>
      <c r="T107" s="31"/>
    </row>
    <row r="108" spans="1:20">
      <c r="A108" s="31"/>
      <c r="B108" s="32"/>
      <c r="C108" s="33"/>
      <c r="D108" s="32" t="s">
        <v>277</v>
      </c>
      <c r="E108" s="33" t="s">
        <v>116</v>
      </c>
      <c r="F108" s="34">
        <v>1</v>
      </c>
      <c r="G108" s="35">
        <v>0</v>
      </c>
      <c r="H108" s="35">
        <v>0</v>
      </c>
      <c r="I108" s="35">
        <f>Tabla1[[#This Row],[P.U. M.N.]]*Tabla1[[#This Row],[CANTIDADES DE REFERENCIA]]</f>
        <v>0</v>
      </c>
      <c r="J108" s="35">
        <f>Tabla1[[#This Row],[P.U. USD]]*Tabla1[[#This Row],[CANTIDADES DE REFERENCIA]]</f>
        <v>0</v>
      </c>
      <c r="K108" s="36"/>
      <c r="L108" s="36"/>
      <c r="M108" s="36"/>
      <c r="N108" s="37" t="s">
        <v>117</v>
      </c>
      <c r="O108" s="37" t="s">
        <v>118</v>
      </c>
      <c r="P108" s="38"/>
      <c r="Q108" s="37" t="s">
        <v>278</v>
      </c>
      <c r="R108" s="37"/>
      <c r="S108" s="37" t="s">
        <v>120</v>
      </c>
      <c r="T108" s="31"/>
    </row>
    <row r="109" spans="1:20">
      <c r="A109" s="31"/>
      <c r="B109" s="32"/>
      <c r="C109" s="33"/>
      <c r="D109" s="32" t="s">
        <v>279</v>
      </c>
      <c r="E109" s="33" t="s">
        <v>116</v>
      </c>
      <c r="F109" s="34">
        <v>1</v>
      </c>
      <c r="G109" s="35">
        <v>0</v>
      </c>
      <c r="H109" s="35">
        <v>0</v>
      </c>
      <c r="I109" s="35">
        <f>Tabla1[[#This Row],[P.U. M.N.]]*Tabla1[[#This Row],[CANTIDADES DE REFERENCIA]]</f>
        <v>0</v>
      </c>
      <c r="J109" s="35">
        <f>Tabla1[[#This Row],[P.U. USD]]*Tabla1[[#This Row],[CANTIDADES DE REFERENCIA]]</f>
        <v>0</v>
      </c>
      <c r="K109" s="36"/>
      <c r="L109" s="36"/>
      <c r="M109" s="36"/>
      <c r="N109" s="37" t="s">
        <v>117</v>
      </c>
      <c r="O109" s="37" t="s">
        <v>118</v>
      </c>
      <c r="P109" s="38"/>
      <c r="Q109" s="37" t="s">
        <v>280</v>
      </c>
      <c r="R109" s="37"/>
      <c r="S109" s="37" t="s">
        <v>120</v>
      </c>
      <c r="T109" s="31"/>
    </row>
    <row r="110" spans="1:20">
      <c r="A110" s="31"/>
      <c r="B110" s="32"/>
      <c r="C110" s="33"/>
      <c r="D110" s="32" t="s">
        <v>281</v>
      </c>
      <c r="E110" s="33" t="s">
        <v>116</v>
      </c>
      <c r="F110" s="34">
        <v>1</v>
      </c>
      <c r="G110" s="35">
        <v>0</v>
      </c>
      <c r="H110" s="35">
        <v>0</v>
      </c>
      <c r="I110" s="35">
        <f>Tabla1[[#This Row],[P.U. M.N.]]*Tabla1[[#This Row],[CANTIDADES DE REFERENCIA]]</f>
        <v>0</v>
      </c>
      <c r="J110" s="35">
        <f>Tabla1[[#This Row],[P.U. USD]]*Tabla1[[#This Row],[CANTIDADES DE REFERENCIA]]</f>
        <v>0</v>
      </c>
      <c r="K110" s="36"/>
      <c r="L110" s="36"/>
      <c r="M110" s="36"/>
      <c r="N110" s="37" t="s">
        <v>117</v>
      </c>
      <c r="O110" s="37" t="s">
        <v>118</v>
      </c>
      <c r="P110" s="38"/>
      <c r="Q110" s="37" t="s">
        <v>282</v>
      </c>
      <c r="R110" s="37"/>
      <c r="S110" s="37" t="s">
        <v>120</v>
      </c>
      <c r="T110" s="31"/>
    </row>
    <row r="111" spans="1:20">
      <c r="A111" s="31"/>
      <c r="B111" s="32"/>
      <c r="C111" s="33"/>
      <c r="D111" s="32" t="s">
        <v>283</v>
      </c>
      <c r="E111" s="33" t="s">
        <v>116</v>
      </c>
      <c r="F111" s="34">
        <v>1</v>
      </c>
      <c r="G111" s="35">
        <v>0</v>
      </c>
      <c r="H111" s="35">
        <v>0</v>
      </c>
      <c r="I111" s="35">
        <f>Tabla1[[#This Row],[P.U. M.N.]]*Tabla1[[#This Row],[CANTIDADES DE REFERENCIA]]</f>
        <v>0</v>
      </c>
      <c r="J111" s="35">
        <f>Tabla1[[#This Row],[P.U. USD]]*Tabla1[[#This Row],[CANTIDADES DE REFERENCIA]]</f>
        <v>0</v>
      </c>
      <c r="K111" s="36"/>
      <c r="L111" s="36"/>
      <c r="M111" s="36"/>
      <c r="N111" s="37" t="s">
        <v>117</v>
      </c>
      <c r="O111" s="37" t="s">
        <v>118</v>
      </c>
      <c r="P111" s="38"/>
      <c r="Q111" s="37" t="s">
        <v>284</v>
      </c>
      <c r="R111" s="37"/>
      <c r="S111" s="37" t="s">
        <v>120</v>
      </c>
      <c r="T111" s="31"/>
    </row>
    <row r="112" spans="1:20">
      <c r="A112" s="31"/>
      <c r="B112" s="32"/>
      <c r="C112" s="33"/>
      <c r="D112" s="32" t="s">
        <v>285</v>
      </c>
      <c r="E112" s="33" t="s">
        <v>116</v>
      </c>
      <c r="F112" s="34">
        <v>1</v>
      </c>
      <c r="G112" s="35">
        <v>0</v>
      </c>
      <c r="H112" s="35">
        <v>0</v>
      </c>
      <c r="I112" s="35">
        <f>Tabla1[[#This Row],[P.U. M.N.]]*Tabla1[[#This Row],[CANTIDADES DE REFERENCIA]]</f>
        <v>0</v>
      </c>
      <c r="J112" s="35">
        <f>Tabla1[[#This Row],[P.U. USD]]*Tabla1[[#This Row],[CANTIDADES DE REFERENCIA]]</f>
        <v>0</v>
      </c>
      <c r="K112" s="36"/>
      <c r="L112" s="36"/>
      <c r="M112" s="36"/>
      <c r="N112" s="37" t="s">
        <v>117</v>
      </c>
      <c r="O112" s="37" t="s">
        <v>118</v>
      </c>
      <c r="P112" s="38"/>
      <c r="Q112" s="37" t="s">
        <v>286</v>
      </c>
      <c r="R112" s="37"/>
      <c r="S112" s="37" t="s">
        <v>120</v>
      </c>
      <c r="T112" s="31"/>
    </row>
    <row r="113" spans="1:20">
      <c r="A113" s="31"/>
      <c r="B113" s="32"/>
      <c r="C113" s="33"/>
      <c r="D113" s="32" t="s">
        <v>287</v>
      </c>
      <c r="E113" s="33" t="s">
        <v>116</v>
      </c>
      <c r="F113" s="34">
        <v>1</v>
      </c>
      <c r="G113" s="35">
        <v>0</v>
      </c>
      <c r="H113" s="35">
        <v>0</v>
      </c>
      <c r="I113" s="35">
        <f>Tabla1[[#This Row],[P.U. M.N.]]*Tabla1[[#This Row],[CANTIDADES DE REFERENCIA]]</f>
        <v>0</v>
      </c>
      <c r="J113" s="35">
        <f>Tabla1[[#This Row],[P.U. USD]]*Tabla1[[#This Row],[CANTIDADES DE REFERENCIA]]</f>
        <v>0</v>
      </c>
      <c r="K113" s="36"/>
      <c r="L113" s="36"/>
      <c r="M113" s="36"/>
      <c r="N113" s="37" t="s">
        <v>117</v>
      </c>
      <c r="O113" s="37" t="s">
        <v>118</v>
      </c>
      <c r="P113" s="38"/>
      <c r="Q113" s="37" t="s">
        <v>288</v>
      </c>
      <c r="R113" s="37"/>
      <c r="S113" s="37" t="s">
        <v>120</v>
      </c>
      <c r="T113" s="31"/>
    </row>
    <row r="114" spans="1:20">
      <c r="A114" s="31"/>
      <c r="B114" s="32"/>
      <c r="C114" s="33"/>
      <c r="D114" s="32" t="s">
        <v>289</v>
      </c>
      <c r="E114" s="33" t="s">
        <v>116</v>
      </c>
      <c r="F114" s="34">
        <v>1</v>
      </c>
      <c r="G114" s="35">
        <v>0</v>
      </c>
      <c r="H114" s="35">
        <v>0</v>
      </c>
      <c r="I114" s="35">
        <f>Tabla1[[#This Row],[P.U. M.N.]]*Tabla1[[#This Row],[CANTIDADES DE REFERENCIA]]</f>
        <v>0</v>
      </c>
      <c r="J114" s="35">
        <f>Tabla1[[#This Row],[P.U. USD]]*Tabla1[[#This Row],[CANTIDADES DE REFERENCIA]]</f>
        <v>0</v>
      </c>
      <c r="K114" s="36"/>
      <c r="L114" s="36"/>
      <c r="M114" s="36"/>
      <c r="N114" s="37" t="s">
        <v>117</v>
      </c>
      <c r="O114" s="37" t="s">
        <v>118</v>
      </c>
      <c r="P114" s="38"/>
      <c r="Q114" s="37" t="s">
        <v>290</v>
      </c>
      <c r="R114" s="37"/>
      <c r="S114" s="37" t="s">
        <v>120</v>
      </c>
      <c r="T114" s="31"/>
    </row>
    <row r="115" spans="1:20">
      <c r="A115" s="31"/>
      <c r="B115" s="32"/>
      <c r="C115" s="33"/>
      <c r="D115" s="32" t="s">
        <v>291</v>
      </c>
      <c r="E115" s="33" t="s">
        <v>116</v>
      </c>
      <c r="F115" s="34">
        <v>1</v>
      </c>
      <c r="G115" s="35">
        <v>0</v>
      </c>
      <c r="H115" s="35">
        <v>0</v>
      </c>
      <c r="I115" s="35">
        <f>Tabla1[[#This Row],[P.U. M.N.]]*Tabla1[[#This Row],[CANTIDADES DE REFERENCIA]]</f>
        <v>0</v>
      </c>
      <c r="J115" s="35">
        <f>Tabla1[[#This Row],[P.U. USD]]*Tabla1[[#This Row],[CANTIDADES DE REFERENCIA]]</f>
        <v>0</v>
      </c>
      <c r="K115" s="36"/>
      <c r="L115" s="36"/>
      <c r="M115" s="36"/>
      <c r="N115" s="37" t="s">
        <v>117</v>
      </c>
      <c r="O115" s="37" t="s">
        <v>118</v>
      </c>
      <c r="P115" s="38"/>
      <c r="Q115" s="37" t="s">
        <v>292</v>
      </c>
      <c r="R115" s="37"/>
      <c r="S115" s="37" t="s">
        <v>120</v>
      </c>
      <c r="T115" s="31"/>
    </row>
    <row r="116" spans="1:20">
      <c r="A116" s="31"/>
      <c r="B116" s="32"/>
      <c r="C116" s="33"/>
      <c r="D116" s="32" t="s">
        <v>293</v>
      </c>
      <c r="E116" s="33" t="s">
        <v>116</v>
      </c>
      <c r="F116" s="34">
        <v>1</v>
      </c>
      <c r="G116" s="35">
        <v>0</v>
      </c>
      <c r="H116" s="35">
        <v>0</v>
      </c>
      <c r="I116" s="35">
        <f>Tabla1[[#This Row],[P.U. M.N.]]*Tabla1[[#This Row],[CANTIDADES DE REFERENCIA]]</f>
        <v>0</v>
      </c>
      <c r="J116" s="35">
        <f>Tabla1[[#This Row],[P.U. USD]]*Tabla1[[#This Row],[CANTIDADES DE REFERENCIA]]</f>
        <v>0</v>
      </c>
      <c r="K116" s="36"/>
      <c r="L116" s="36"/>
      <c r="M116" s="36"/>
      <c r="N116" s="37" t="s">
        <v>117</v>
      </c>
      <c r="O116" s="37" t="s">
        <v>118</v>
      </c>
      <c r="P116" s="38"/>
      <c r="Q116" s="37" t="s">
        <v>294</v>
      </c>
      <c r="R116" s="37"/>
      <c r="S116" s="37" t="s">
        <v>120</v>
      </c>
      <c r="T116" s="31"/>
    </row>
    <row r="117" spans="1:20">
      <c r="A117" s="31"/>
      <c r="B117" s="32"/>
      <c r="C117" s="33"/>
      <c r="D117" s="32" t="s">
        <v>295</v>
      </c>
      <c r="E117" s="33" t="s">
        <v>116</v>
      </c>
      <c r="F117" s="34">
        <v>1</v>
      </c>
      <c r="G117" s="35">
        <v>0</v>
      </c>
      <c r="H117" s="35">
        <v>0</v>
      </c>
      <c r="I117" s="35">
        <f>Tabla1[[#This Row],[P.U. M.N.]]*Tabla1[[#This Row],[CANTIDADES DE REFERENCIA]]</f>
        <v>0</v>
      </c>
      <c r="J117" s="35">
        <f>Tabla1[[#This Row],[P.U. USD]]*Tabla1[[#This Row],[CANTIDADES DE REFERENCIA]]</f>
        <v>0</v>
      </c>
      <c r="K117" s="36"/>
      <c r="L117" s="36"/>
      <c r="M117" s="36"/>
      <c r="N117" s="37" t="s">
        <v>117</v>
      </c>
      <c r="O117" s="37" t="s">
        <v>118</v>
      </c>
      <c r="P117" s="38"/>
      <c r="Q117" s="37" t="s">
        <v>296</v>
      </c>
      <c r="R117" s="37" t="s">
        <v>58</v>
      </c>
      <c r="S117" s="37" t="s">
        <v>120</v>
      </c>
      <c r="T117" s="31"/>
    </row>
    <row r="118" spans="1:20">
      <c r="A118" s="31"/>
      <c r="B118" s="32"/>
      <c r="C118" s="33"/>
      <c r="D118" s="32" t="s">
        <v>297</v>
      </c>
      <c r="E118" s="33" t="s">
        <v>116</v>
      </c>
      <c r="F118" s="34">
        <v>1</v>
      </c>
      <c r="G118" s="35">
        <v>0</v>
      </c>
      <c r="H118" s="35">
        <v>0</v>
      </c>
      <c r="I118" s="35">
        <f>Tabla1[[#This Row],[P.U. M.N.]]*Tabla1[[#This Row],[CANTIDADES DE REFERENCIA]]</f>
        <v>0</v>
      </c>
      <c r="J118" s="35">
        <f>Tabla1[[#This Row],[P.U. USD]]*Tabla1[[#This Row],[CANTIDADES DE REFERENCIA]]</f>
        <v>0</v>
      </c>
      <c r="K118" s="36"/>
      <c r="L118" s="36"/>
      <c r="M118" s="36"/>
      <c r="N118" s="37" t="s">
        <v>117</v>
      </c>
      <c r="O118" s="37" t="s">
        <v>118</v>
      </c>
      <c r="P118" s="38"/>
      <c r="Q118" s="37" t="s">
        <v>298</v>
      </c>
      <c r="R118" s="37"/>
      <c r="S118" s="37" t="s">
        <v>120</v>
      </c>
      <c r="T118" s="31"/>
    </row>
    <row r="119" spans="1:20">
      <c r="A119" s="31"/>
      <c r="B119" s="32"/>
      <c r="C119" s="33"/>
      <c r="D119" s="32" t="s">
        <v>299</v>
      </c>
      <c r="E119" s="33" t="s">
        <v>116</v>
      </c>
      <c r="F119" s="34">
        <v>1</v>
      </c>
      <c r="G119" s="35">
        <v>0</v>
      </c>
      <c r="H119" s="35">
        <v>0</v>
      </c>
      <c r="I119" s="35">
        <f>Tabla1[[#This Row],[P.U. M.N.]]*Tabla1[[#This Row],[CANTIDADES DE REFERENCIA]]</f>
        <v>0</v>
      </c>
      <c r="J119" s="35">
        <f>Tabla1[[#This Row],[P.U. USD]]*Tabla1[[#This Row],[CANTIDADES DE REFERENCIA]]</f>
        <v>0</v>
      </c>
      <c r="K119" s="36"/>
      <c r="L119" s="36"/>
      <c r="M119" s="36"/>
      <c r="N119" s="37" t="s">
        <v>117</v>
      </c>
      <c r="O119" s="37" t="s">
        <v>118</v>
      </c>
      <c r="P119" s="38"/>
      <c r="Q119" s="37" t="s">
        <v>300</v>
      </c>
      <c r="R119" s="37"/>
      <c r="S119" s="37" t="s">
        <v>120</v>
      </c>
      <c r="T119" s="31"/>
    </row>
    <row r="120" spans="1:20">
      <c r="A120" s="31"/>
      <c r="B120" s="32"/>
      <c r="C120" s="33"/>
      <c r="D120" s="32" t="s">
        <v>301</v>
      </c>
      <c r="E120" s="33" t="s">
        <v>54</v>
      </c>
      <c r="F120" s="34">
        <v>1</v>
      </c>
      <c r="G120" s="35">
        <v>0</v>
      </c>
      <c r="H120" s="35">
        <v>0</v>
      </c>
      <c r="I120" s="35">
        <f>Tabla1[[#This Row],[P.U. M.N.]]*Tabla1[[#This Row],[CANTIDADES DE REFERENCIA]]</f>
        <v>0</v>
      </c>
      <c r="J120" s="35">
        <f>Tabla1[[#This Row],[P.U. USD]]*Tabla1[[#This Row],[CANTIDADES DE REFERENCIA]]</f>
        <v>0</v>
      </c>
      <c r="K120" s="36"/>
      <c r="L120" s="36"/>
      <c r="M120" s="36"/>
      <c r="N120" s="37" t="s">
        <v>79</v>
      </c>
      <c r="O120" s="37" t="s">
        <v>80</v>
      </c>
      <c r="P120" s="38"/>
      <c r="Q120" s="37" t="s">
        <v>302</v>
      </c>
      <c r="R120" s="37"/>
      <c r="S120" s="37" t="s">
        <v>82</v>
      </c>
      <c r="T120" s="31"/>
    </row>
    <row r="121" spans="1:20">
      <c r="A121" s="31"/>
      <c r="B121" s="32"/>
      <c r="C121" s="33"/>
      <c r="D121" s="32" t="s">
        <v>303</v>
      </c>
      <c r="E121" s="33" t="s">
        <v>54</v>
      </c>
      <c r="F121" s="34">
        <v>1</v>
      </c>
      <c r="G121" s="35">
        <v>0</v>
      </c>
      <c r="H121" s="35">
        <v>0</v>
      </c>
      <c r="I121" s="35">
        <f>Tabla1[[#This Row],[P.U. M.N.]]*Tabla1[[#This Row],[CANTIDADES DE REFERENCIA]]</f>
        <v>0</v>
      </c>
      <c r="J121" s="35">
        <f>Tabla1[[#This Row],[P.U. USD]]*Tabla1[[#This Row],[CANTIDADES DE REFERENCIA]]</f>
        <v>0</v>
      </c>
      <c r="K121" s="36"/>
      <c r="L121" s="36"/>
      <c r="M121" s="36"/>
      <c r="N121" s="37" t="s">
        <v>79</v>
      </c>
      <c r="O121" s="37" t="s">
        <v>80</v>
      </c>
      <c r="P121" s="38"/>
      <c r="Q121" s="37" t="s">
        <v>304</v>
      </c>
      <c r="R121" s="37"/>
      <c r="S121" s="37" t="s">
        <v>82</v>
      </c>
      <c r="T121" s="31"/>
    </row>
    <row r="122" spans="1:20">
      <c r="A122" s="31"/>
      <c r="B122" s="32"/>
      <c r="C122" s="33"/>
      <c r="D122" s="32" t="s">
        <v>305</v>
      </c>
      <c r="E122" s="33" t="s">
        <v>116</v>
      </c>
      <c r="F122" s="34">
        <v>1</v>
      </c>
      <c r="G122" s="35">
        <v>0</v>
      </c>
      <c r="H122" s="35">
        <v>0</v>
      </c>
      <c r="I122" s="35">
        <f>Tabla1[[#This Row],[P.U. M.N.]]*Tabla1[[#This Row],[CANTIDADES DE REFERENCIA]]</f>
        <v>0</v>
      </c>
      <c r="J122" s="35">
        <f>Tabla1[[#This Row],[P.U. USD]]*Tabla1[[#This Row],[CANTIDADES DE REFERENCIA]]</f>
        <v>0</v>
      </c>
      <c r="K122" s="36"/>
      <c r="L122" s="36"/>
      <c r="M122" s="36"/>
      <c r="N122" s="37" t="s">
        <v>117</v>
      </c>
      <c r="O122" s="37" t="s">
        <v>118</v>
      </c>
      <c r="P122" s="38"/>
      <c r="Q122" s="37" t="s">
        <v>306</v>
      </c>
      <c r="R122" s="37"/>
      <c r="S122" s="37" t="s">
        <v>120</v>
      </c>
      <c r="T122" s="31"/>
    </row>
    <row r="123" spans="1:20">
      <c r="A123" s="31"/>
      <c r="B123" s="32"/>
      <c r="C123" s="33"/>
      <c r="D123" s="32" t="s">
        <v>307</v>
      </c>
      <c r="E123" s="33" t="s">
        <v>54</v>
      </c>
      <c r="F123" s="34">
        <v>1</v>
      </c>
      <c r="G123" s="35">
        <v>0</v>
      </c>
      <c r="H123" s="35">
        <v>0</v>
      </c>
      <c r="I123" s="35">
        <f>Tabla1[[#This Row],[P.U. M.N.]]*Tabla1[[#This Row],[CANTIDADES DE REFERENCIA]]</f>
        <v>0</v>
      </c>
      <c r="J123" s="35">
        <f>Tabla1[[#This Row],[P.U. USD]]*Tabla1[[#This Row],[CANTIDADES DE REFERENCIA]]</f>
        <v>0</v>
      </c>
      <c r="K123" s="36"/>
      <c r="L123" s="36"/>
      <c r="M123" s="36"/>
      <c r="N123" s="37" t="s">
        <v>117</v>
      </c>
      <c r="O123" s="37" t="s">
        <v>118</v>
      </c>
      <c r="P123" s="38"/>
      <c r="Q123" s="37" t="s">
        <v>308</v>
      </c>
      <c r="R123" s="37"/>
      <c r="S123" s="37" t="s">
        <v>120</v>
      </c>
      <c r="T123" s="31"/>
    </row>
    <row r="124" spans="1:20">
      <c r="A124" s="31"/>
      <c r="B124" s="32"/>
      <c r="C124" s="33"/>
      <c r="D124" s="32" t="s">
        <v>309</v>
      </c>
      <c r="E124" s="33" t="s">
        <v>54</v>
      </c>
      <c r="F124" s="34">
        <v>1</v>
      </c>
      <c r="G124" s="35">
        <v>0</v>
      </c>
      <c r="H124" s="35">
        <v>0</v>
      </c>
      <c r="I124" s="35">
        <f>Tabla1[[#This Row],[P.U. M.N.]]*Tabla1[[#This Row],[CANTIDADES DE REFERENCIA]]</f>
        <v>0</v>
      </c>
      <c r="J124" s="35">
        <f>Tabla1[[#This Row],[P.U. USD]]*Tabla1[[#This Row],[CANTIDADES DE REFERENCIA]]</f>
        <v>0</v>
      </c>
      <c r="K124" s="36"/>
      <c r="L124" s="36"/>
      <c r="M124" s="36"/>
      <c r="N124" s="37" t="s">
        <v>117</v>
      </c>
      <c r="O124" s="37" t="s">
        <v>118</v>
      </c>
      <c r="P124" s="38"/>
      <c r="Q124" s="37" t="s">
        <v>310</v>
      </c>
      <c r="R124" s="37"/>
      <c r="S124" s="37" t="s">
        <v>120</v>
      </c>
      <c r="T124" s="31"/>
    </row>
    <row r="125" spans="1:20">
      <c r="A125" s="31"/>
      <c r="B125" s="32"/>
      <c r="C125" s="33"/>
      <c r="D125" s="32" t="s">
        <v>311</v>
      </c>
      <c r="E125" s="33" t="s">
        <v>116</v>
      </c>
      <c r="F125" s="34">
        <v>1</v>
      </c>
      <c r="G125" s="35">
        <v>0</v>
      </c>
      <c r="H125" s="35">
        <v>0</v>
      </c>
      <c r="I125" s="35">
        <f>Tabla1[[#This Row],[P.U. M.N.]]*Tabla1[[#This Row],[CANTIDADES DE REFERENCIA]]</f>
        <v>0</v>
      </c>
      <c r="J125" s="35">
        <f>Tabla1[[#This Row],[P.U. USD]]*Tabla1[[#This Row],[CANTIDADES DE REFERENCIA]]</f>
        <v>0</v>
      </c>
      <c r="K125" s="36"/>
      <c r="L125" s="36"/>
      <c r="M125" s="36"/>
      <c r="N125" s="37" t="s">
        <v>117</v>
      </c>
      <c r="O125" s="37" t="s">
        <v>118</v>
      </c>
      <c r="P125" s="38"/>
      <c r="Q125" s="37" t="s">
        <v>312</v>
      </c>
      <c r="R125" s="37"/>
      <c r="S125" s="37" t="s">
        <v>120</v>
      </c>
      <c r="T125" s="31"/>
    </row>
    <row r="126" spans="1:20">
      <c r="A126" s="31"/>
      <c r="B126" s="32"/>
      <c r="C126" s="33"/>
      <c r="D126" s="32" t="s">
        <v>313</v>
      </c>
      <c r="E126" s="33" t="s">
        <v>116</v>
      </c>
      <c r="F126" s="34">
        <v>1</v>
      </c>
      <c r="G126" s="35">
        <v>0</v>
      </c>
      <c r="H126" s="35">
        <v>0</v>
      </c>
      <c r="I126" s="35">
        <f>Tabla1[[#This Row],[P.U. M.N.]]*Tabla1[[#This Row],[CANTIDADES DE REFERENCIA]]</f>
        <v>0</v>
      </c>
      <c r="J126" s="35">
        <f>Tabla1[[#This Row],[P.U. USD]]*Tabla1[[#This Row],[CANTIDADES DE REFERENCIA]]</f>
        <v>0</v>
      </c>
      <c r="K126" s="36"/>
      <c r="L126" s="36"/>
      <c r="M126" s="36"/>
      <c r="N126" s="37" t="s">
        <v>117</v>
      </c>
      <c r="O126" s="37" t="s">
        <v>118</v>
      </c>
      <c r="P126" s="38"/>
      <c r="Q126" s="37" t="s">
        <v>314</v>
      </c>
      <c r="R126" s="37"/>
      <c r="S126" s="37" t="s">
        <v>120</v>
      </c>
      <c r="T126" s="31"/>
    </row>
    <row r="127" spans="1:20">
      <c r="A127" s="31"/>
      <c r="B127" s="32"/>
      <c r="C127" s="33"/>
      <c r="D127" s="32" t="s">
        <v>315</v>
      </c>
      <c r="E127" s="33" t="s">
        <v>116</v>
      </c>
      <c r="F127" s="34">
        <v>1</v>
      </c>
      <c r="G127" s="35">
        <v>0</v>
      </c>
      <c r="H127" s="35">
        <v>0</v>
      </c>
      <c r="I127" s="35">
        <f>Tabla1[[#This Row],[P.U. M.N.]]*Tabla1[[#This Row],[CANTIDADES DE REFERENCIA]]</f>
        <v>0</v>
      </c>
      <c r="J127" s="35">
        <f>Tabla1[[#This Row],[P.U. USD]]*Tabla1[[#This Row],[CANTIDADES DE REFERENCIA]]</f>
        <v>0</v>
      </c>
      <c r="K127" s="36"/>
      <c r="L127" s="36"/>
      <c r="M127" s="36"/>
      <c r="N127" s="37" t="s">
        <v>117</v>
      </c>
      <c r="O127" s="37" t="s">
        <v>118</v>
      </c>
      <c r="P127" s="38"/>
      <c r="Q127" s="37" t="s">
        <v>316</v>
      </c>
      <c r="R127" s="37"/>
      <c r="S127" s="37" t="s">
        <v>120</v>
      </c>
      <c r="T127" s="31"/>
    </row>
    <row r="128" spans="1:20">
      <c r="A128" s="31"/>
      <c r="B128" s="32"/>
      <c r="C128" s="33"/>
      <c r="D128" s="32" t="s">
        <v>317</v>
      </c>
      <c r="E128" s="33" t="s">
        <v>116</v>
      </c>
      <c r="F128" s="34">
        <v>1</v>
      </c>
      <c r="G128" s="35">
        <v>0</v>
      </c>
      <c r="H128" s="35">
        <v>0</v>
      </c>
      <c r="I128" s="35">
        <f>Tabla1[[#This Row],[P.U. M.N.]]*Tabla1[[#This Row],[CANTIDADES DE REFERENCIA]]</f>
        <v>0</v>
      </c>
      <c r="J128" s="35">
        <f>Tabla1[[#This Row],[P.U. USD]]*Tabla1[[#This Row],[CANTIDADES DE REFERENCIA]]</f>
        <v>0</v>
      </c>
      <c r="K128" s="36"/>
      <c r="L128" s="36"/>
      <c r="M128" s="36"/>
      <c r="N128" s="37" t="s">
        <v>117</v>
      </c>
      <c r="O128" s="37" t="s">
        <v>118</v>
      </c>
      <c r="P128" s="38"/>
      <c r="Q128" s="37" t="s">
        <v>318</v>
      </c>
      <c r="R128" s="37"/>
      <c r="S128" s="37" t="s">
        <v>120</v>
      </c>
      <c r="T128" s="31"/>
    </row>
    <row r="129" spans="1:20">
      <c r="A129" s="31"/>
      <c r="B129" s="32"/>
      <c r="C129" s="33"/>
      <c r="D129" s="32" t="s">
        <v>319</v>
      </c>
      <c r="E129" s="33" t="s">
        <v>135</v>
      </c>
      <c r="F129" s="34">
        <v>1</v>
      </c>
      <c r="G129" s="35">
        <v>0</v>
      </c>
      <c r="H129" s="35">
        <v>0</v>
      </c>
      <c r="I129" s="35">
        <f>Tabla1[[#This Row],[P.U. M.N.]]*Tabla1[[#This Row],[CANTIDADES DE REFERENCIA]]</f>
        <v>0</v>
      </c>
      <c r="J129" s="35">
        <f>Tabla1[[#This Row],[P.U. USD]]*Tabla1[[#This Row],[CANTIDADES DE REFERENCIA]]</f>
        <v>0</v>
      </c>
      <c r="K129" s="36"/>
      <c r="L129" s="36"/>
      <c r="M129" s="36"/>
      <c r="N129" s="37" t="s">
        <v>117</v>
      </c>
      <c r="O129" s="37" t="s">
        <v>118</v>
      </c>
      <c r="P129" s="38"/>
      <c r="Q129" s="37" t="s">
        <v>320</v>
      </c>
      <c r="R129" s="37" t="s">
        <v>58</v>
      </c>
      <c r="S129" s="37" t="s">
        <v>120</v>
      </c>
      <c r="T129" s="31"/>
    </row>
    <row r="130" spans="1:20">
      <c r="A130" s="31"/>
      <c r="B130" s="32"/>
      <c r="C130" s="33"/>
      <c r="D130" s="32" t="s">
        <v>321</v>
      </c>
      <c r="E130" s="33" t="s">
        <v>116</v>
      </c>
      <c r="F130" s="34">
        <v>1</v>
      </c>
      <c r="G130" s="35">
        <v>0</v>
      </c>
      <c r="H130" s="35">
        <v>0</v>
      </c>
      <c r="I130" s="35">
        <f>Tabla1[[#This Row],[P.U. M.N.]]*Tabla1[[#This Row],[CANTIDADES DE REFERENCIA]]</f>
        <v>0</v>
      </c>
      <c r="J130" s="35">
        <f>Tabla1[[#This Row],[P.U. USD]]*Tabla1[[#This Row],[CANTIDADES DE REFERENCIA]]</f>
        <v>0</v>
      </c>
      <c r="K130" s="36"/>
      <c r="L130" s="36"/>
      <c r="M130" s="36"/>
      <c r="N130" s="37" t="s">
        <v>79</v>
      </c>
      <c r="O130" s="37" t="s">
        <v>80</v>
      </c>
      <c r="P130" s="38"/>
      <c r="Q130" s="37" t="s">
        <v>322</v>
      </c>
      <c r="R130" s="37"/>
      <c r="S130" s="37" t="s">
        <v>82</v>
      </c>
      <c r="T130" s="31"/>
    </row>
    <row r="131" spans="1:20">
      <c r="A131" s="31"/>
      <c r="B131" s="32"/>
      <c r="C131" s="33"/>
      <c r="D131" s="32" t="s">
        <v>323</v>
      </c>
      <c r="E131" s="33" t="s">
        <v>54</v>
      </c>
      <c r="F131" s="34">
        <v>1</v>
      </c>
      <c r="G131" s="35">
        <v>0</v>
      </c>
      <c r="H131" s="35">
        <v>0</v>
      </c>
      <c r="I131" s="35">
        <f>Tabla1[[#This Row],[P.U. M.N.]]*Tabla1[[#This Row],[CANTIDADES DE REFERENCIA]]</f>
        <v>0</v>
      </c>
      <c r="J131" s="35">
        <f>Tabla1[[#This Row],[P.U. USD]]*Tabla1[[#This Row],[CANTIDADES DE REFERENCIA]]</f>
        <v>0</v>
      </c>
      <c r="K131" s="36"/>
      <c r="L131" s="36"/>
      <c r="M131" s="36"/>
      <c r="N131" s="37" t="s">
        <v>324</v>
      </c>
      <c r="O131" s="37" t="s">
        <v>325</v>
      </c>
      <c r="P131" s="38"/>
      <c r="Q131" s="37" t="s">
        <v>326</v>
      </c>
      <c r="R131" s="37"/>
      <c r="S131" s="37" t="s">
        <v>327</v>
      </c>
      <c r="T131" s="31"/>
    </row>
    <row r="132" spans="1:20">
      <c r="A132" s="31"/>
      <c r="B132" s="32"/>
      <c r="C132" s="33"/>
      <c r="D132" s="32" t="s">
        <v>328</v>
      </c>
      <c r="E132" s="33" t="s">
        <v>54</v>
      </c>
      <c r="F132" s="34">
        <v>1</v>
      </c>
      <c r="G132" s="35">
        <v>0</v>
      </c>
      <c r="H132" s="35">
        <v>0</v>
      </c>
      <c r="I132" s="35">
        <f>Tabla1[[#This Row],[P.U. M.N.]]*Tabla1[[#This Row],[CANTIDADES DE REFERENCIA]]</f>
        <v>0</v>
      </c>
      <c r="J132" s="35">
        <f>Tabla1[[#This Row],[P.U. USD]]*Tabla1[[#This Row],[CANTIDADES DE REFERENCIA]]</f>
        <v>0</v>
      </c>
      <c r="K132" s="36"/>
      <c r="L132" s="36"/>
      <c r="M132" s="36"/>
      <c r="N132" s="37" t="s">
        <v>79</v>
      </c>
      <c r="O132" s="37" t="s">
        <v>80</v>
      </c>
      <c r="P132" s="38"/>
      <c r="Q132" s="37" t="s">
        <v>329</v>
      </c>
      <c r="R132" s="37"/>
      <c r="S132" s="37" t="s">
        <v>82</v>
      </c>
      <c r="T132" s="31"/>
    </row>
    <row r="133" spans="1:20">
      <c r="A133" s="31"/>
      <c r="B133" s="32"/>
      <c r="C133" s="33"/>
      <c r="D133" s="32" t="s">
        <v>330</v>
      </c>
      <c r="E133" s="33" t="s">
        <v>54</v>
      </c>
      <c r="F133" s="34">
        <v>1</v>
      </c>
      <c r="G133" s="35">
        <v>0</v>
      </c>
      <c r="H133" s="35">
        <v>0</v>
      </c>
      <c r="I133" s="35">
        <f>Tabla1[[#This Row],[P.U. M.N.]]*Tabla1[[#This Row],[CANTIDADES DE REFERENCIA]]</f>
        <v>0</v>
      </c>
      <c r="J133" s="35">
        <f>Tabla1[[#This Row],[P.U. USD]]*Tabla1[[#This Row],[CANTIDADES DE REFERENCIA]]</f>
        <v>0</v>
      </c>
      <c r="K133" s="36"/>
      <c r="L133" s="36"/>
      <c r="M133" s="36"/>
      <c r="N133" s="37" t="s">
        <v>117</v>
      </c>
      <c r="O133" s="37" t="s">
        <v>118</v>
      </c>
      <c r="P133" s="38"/>
      <c r="Q133" s="37" t="s">
        <v>331</v>
      </c>
      <c r="R133" s="37"/>
      <c r="S133" s="37" t="s">
        <v>120</v>
      </c>
      <c r="T133" s="31"/>
    </row>
    <row r="134" spans="1:20">
      <c r="A134" s="31"/>
      <c r="B134" s="32"/>
      <c r="C134" s="33"/>
      <c r="D134" s="32" t="s">
        <v>332</v>
      </c>
      <c r="E134" s="33" t="s">
        <v>116</v>
      </c>
      <c r="F134" s="34">
        <v>1</v>
      </c>
      <c r="G134" s="35">
        <v>0</v>
      </c>
      <c r="H134" s="35">
        <v>0</v>
      </c>
      <c r="I134" s="35">
        <f>Tabla1[[#This Row],[P.U. M.N.]]*Tabla1[[#This Row],[CANTIDADES DE REFERENCIA]]</f>
        <v>0</v>
      </c>
      <c r="J134" s="35">
        <f>Tabla1[[#This Row],[P.U. USD]]*Tabla1[[#This Row],[CANTIDADES DE REFERENCIA]]</f>
        <v>0</v>
      </c>
      <c r="K134" s="36"/>
      <c r="L134" s="36"/>
      <c r="M134" s="36"/>
      <c r="N134" s="37" t="s">
        <v>117</v>
      </c>
      <c r="O134" s="37" t="s">
        <v>118</v>
      </c>
      <c r="P134" s="38"/>
      <c r="Q134" s="37" t="s">
        <v>333</v>
      </c>
      <c r="R134" s="37" t="s">
        <v>58</v>
      </c>
      <c r="S134" s="37" t="s">
        <v>120</v>
      </c>
      <c r="T134" s="31"/>
    </row>
    <row r="135" spans="1:20">
      <c r="A135" s="31"/>
      <c r="B135" s="32"/>
      <c r="C135" s="33"/>
      <c r="D135" s="32" t="s">
        <v>334</v>
      </c>
      <c r="E135" s="33" t="s">
        <v>54</v>
      </c>
      <c r="F135" s="34">
        <v>1</v>
      </c>
      <c r="G135" s="35">
        <v>0</v>
      </c>
      <c r="H135" s="35">
        <v>0</v>
      </c>
      <c r="I135" s="35">
        <f>Tabla1[[#This Row],[P.U. M.N.]]*Tabla1[[#This Row],[CANTIDADES DE REFERENCIA]]</f>
        <v>0</v>
      </c>
      <c r="J135" s="35">
        <f>Tabla1[[#This Row],[P.U. USD]]*Tabla1[[#This Row],[CANTIDADES DE REFERENCIA]]</f>
        <v>0</v>
      </c>
      <c r="K135" s="36"/>
      <c r="L135" s="36"/>
      <c r="M135" s="36"/>
      <c r="N135" s="37" t="s">
        <v>79</v>
      </c>
      <c r="O135" s="37" t="s">
        <v>80</v>
      </c>
      <c r="P135" s="38"/>
      <c r="Q135" s="37" t="s">
        <v>335</v>
      </c>
      <c r="R135" s="37"/>
      <c r="S135" s="37" t="s">
        <v>82</v>
      </c>
      <c r="T135" s="31"/>
    </row>
    <row r="136" spans="1:20">
      <c r="A136" s="31"/>
      <c r="B136" s="32"/>
      <c r="C136" s="33"/>
      <c r="D136" s="32" t="s">
        <v>336</v>
      </c>
      <c r="E136" s="33" t="s">
        <v>54</v>
      </c>
      <c r="F136" s="34">
        <v>1</v>
      </c>
      <c r="G136" s="35">
        <v>0</v>
      </c>
      <c r="H136" s="35">
        <v>0</v>
      </c>
      <c r="I136" s="35">
        <f>Tabla1[[#This Row],[P.U. M.N.]]*Tabla1[[#This Row],[CANTIDADES DE REFERENCIA]]</f>
        <v>0</v>
      </c>
      <c r="J136" s="35">
        <f>Tabla1[[#This Row],[P.U. USD]]*Tabla1[[#This Row],[CANTIDADES DE REFERENCIA]]</f>
        <v>0</v>
      </c>
      <c r="K136" s="36"/>
      <c r="L136" s="36"/>
      <c r="M136" s="36"/>
      <c r="N136" s="37" t="s">
        <v>79</v>
      </c>
      <c r="O136" s="37" t="s">
        <v>80</v>
      </c>
      <c r="P136" s="38"/>
      <c r="Q136" s="37" t="s">
        <v>337</v>
      </c>
      <c r="R136" s="37"/>
      <c r="S136" s="37" t="s">
        <v>82</v>
      </c>
      <c r="T136" s="31"/>
    </row>
    <row r="137" spans="1:20">
      <c r="A137" s="31"/>
      <c r="B137" s="32"/>
      <c r="C137" s="33"/>
      <c r="D137" s="32" t="s">
        <v>338</v>
      </c>
      <c r="E137" s="33" t="s">
        <v>54</v>
      </c>
      <c r="F137" s="34">
        <v>1</v>
      </c>
      <c r="G137" s="35">
        <v>0</v>
      </c>
      <c r="H137" s="35">
        <v>0</v>
      </c>
      <c r="I137" s="35">
        <f>Tabla1[[#This Row],[P.U. M.N.]]*Tabla1[[#This Row],[CANTIDADES DE REFERENCIA]]</f>
        <v>0</v>
      </c>
      <c r="J137" s="35">
        <f>Tabla1[[#This Row],[P.U. USD]]*Tabla1[[#This Row],[CANTIDADES DE REFERENCIA]]</f>
        <v>0</v>
      </c>
      <c r="K137" s="36"/>
      <c r="L137" s="36"/>
      <c r="M137" s="36"/>
      <c r="N137" s="37" t="s">
        <v>79</v>
      </c>
      <c r="O137" s="37" t="s">
        <v>80</v>
      </c>
      <c r="P137" s="38"/>
      <c r="Q137" s="37" t="s">
        <v>339</v>
      </c>
      <c r="R137" s="37"/>
      <c r="S137" s="37" t="s">
        <v>82</v>
      </c>
      <c r="T137" s="31"/>
    </row>
    <row r="138" spans="1:20">
      <c r="A138" s="31"/>
      <c r="B138" s="32"/>
      <c r="C138" s="33"/>
      <c r="D138" s="32" t="s">
        <v>340</v>
      </c>
      <c r="E138" s="33" t="s">
        <v>54</v>
      </c>
      <c r="F138" s="34">
        <v>1</v>
      </c>
      <c r="G138" s="35">
        <v>0</v>
      </c>
      <c r="H138" s="35">
        <v>0</v>
      </c>
      <c r="I138" s="35">
        <f>Tabla1[[#This Row],[P.U. M.N.]]*Tabla1[[#This Row],[CANTIDADES DE REFERENCIA]]</f>
        <v>0</v>
      </c>
      <c r="J138" s="35">
        <f>Tabla1[[#This Row],[P.U. USD]]*Tabla1[[#This Row],[CANTIDADES DE REFERENCIA]]</f>
        <v>0</v>
      </c>
      <c r="K138" s="36"/>
      <c r="L138" s="36"/>
      <c r="M138" s="36"/>
      <c r="N138" s="37" t="s">
        <v>79</v>
      </c>
      <c r="O138" s="37" t="s">
        <v>80</v>
      </c>
      <c r="P138" s="38"/>
      <c r="Q138" s="37" t="s">
        <v>341</v>
      </c>
      <c r="R138" s="37"/>
      <c r="S138" s="37" t="s">
        <v>82</v>
      </c>
      <c r="T138" s="31"/>
    </row>
    <row r="139" spans="1:20">
      <c r="A139" s="31"/>
      <c r="B139" s="32"/>
      <c r="C139" s="33"/>
      <c r="D139" s="32" t="s">
        <v>342</v>
      </c>
      <c r="E139" s="33" t="s">
        <v>54</v>
      </c>
      <c r="F139" s="34">
        <v>1</v>
      </c>
      <c r="G139" s="35">
        <v>0</v>
      </c>
      <c r="H139" s="35">
        <v>0</v>
      </c>
      <c r="I139" s="35">
        <f>Tabla1[[#This Row],[P.U. M.N.]]*Tabla1[[#This Row],[CANTIDADES DE REFERENCIA]]</f>
        <v>0</v>
      </c>
      <c r="J139" s="35">
        <f>Tabla1[[#This Row],[P.U. USD]]*Tabla1[[#This Row],[CANTIDADES DE REFERENCIA]]</f>
        <v>0</v>
      </c>
      <c r="K139" s="36"/>
      <c r="L139" s="36"/>
      <c r="M139" s="36"/>
      <c r="N139" s="37" t="s">
        <v>79</v>
      </c>
      <c r="O139" s="37" t="s">
        <v>80</v>
      </c>
      <c r="P139" s="38"/>
      <c r="Q139" s="37" t="s">
        <v>343</v>
      </c>
      <c r="R139" s="37"/>
      <c r="S139" s="37" t="s">
        <v>82</v>
      </c>
      <c r="T139" s="31"/>
    </row>
    <row r="140" spans="1:20">
      <c r="A140" s="31"/>
      <c r="B140" s="32"/>
      <c r="C140" s="33"/>
      <c r="D140" s="32" t="s">
        <v>344</v>
      </c>
      <c r="E140" s="33" t="s">
        <v>54</v>
      </c>
      <c r="F140" s="34">
        <v>1</v>
      </c>
      <c r="G140" s="35">
        <v>0</v>
      </c>
      <c r="H140" s="35">
        <v>0</v>
      </c>
      <c r="I140" s="35">
        <f>Tabla1[[#This Row],[P.U. M.N.]]*Tabla1[[#This Row],[CANTIDADES DE REFERENCIA]]</f>
        <v>0</v>
      </c>
      <c r="J140" s="35">
        <f>Tabla1[[#This Row],[P.U. USD]]*Tabla1[[#This Row],[CANTIDADES DE REFERENCIA]]</f>
        <v>0</v>
      </c>
      <c r="K140" s="36"/>
      <c r="L140" s="36"/>
      <c r="M140" s="36"/>
      <c r="N140" s="37" t="s">
        <v>79</v>
      </c>
      <c r="O140" s="37" t="s">
        <v>80</v>
      </c>
      <c r="P140" s="38"/>
      <c r="Q140" s="37" t="s">
        <v>345</v>
      </c>
      <c r="R140" s="37"/>
      <c r="S140" s="37" t="s">
        <v>82</v>
      </c>
      <c r="T140" s="31"/>
    </row>
    <row r="141" spans="1:20">
      <c r="A141" s="31"/>
      <c r="B141" s="32"/>
      <c r="C141" s="33"/>
      <c r="D141" s="32" t="s">
        <v>346</v>
      </c>
      <c r="E141" s="33" t="s">
        <v>54</v>
      </c>
      <c r="F141" s="34">
        <v>1</v>
      </c>
      <c r="G141" s="35">
        <v>0</v>
      </c>
      <c r="H141" s="35">
        <v>0</v>
      </c>
      <c r="I141" s="35">
        <f>Tabla1[[#This Row],[P.U. M.N.]]*Tabla1[[#This Row],[CANTIDADES DE REFERENCIA]]</f>
        <v>0</v>
      </c>
      <c r="J141" s="35">
        <f>Tabla1[[#This Row],[P.U. USD]]*Tabla1[[#This Row],[CANTIDADES DE REFERENCIA]]</f>
        <v>0</v>
      </c>
      <c r="K141" s="36"/>
      <c r="L141" s="36"/>
      <c r="M141" s="36"/>
      <c r="N141" s="37" t="s">
        <v>117</v>
      </c>
      <c r="O141" s="37" t="s">
        <v>118</v>
      </c>
      <c r="P141" s="38"/>
      <c r="Q141" s="37" t="s">
        <v>347</v>
      </c>
      <c r="R141" s="37"/>
      <c r="S141" s="37" t="s">
        <v>120</v>
      </c>
      <c r="T141" s="31"/>
    </row>
    <row r="142" spans="1:20">
      <c r="A142" s="31"/>
      <c r="B142" s="32"/>
      <c r="C142" s="33"/>
      <c r="D142" s="32" t="s">
        <v>348</v>
      </c>
      <c r="E142" s="33" t="s">
        <v>54</v>
      </c>
      <c r="F142" s="34">
        <v>1</v>
      </c>
      <c r="G142" s="35">
        <v>0</v>
      </c>
      <c r="H142" s="35">
        <v>0</v>
      </c>
      <c r="I142" s="35">
        <f>Tabla1[[#This Row],[P.U. M.N.]]*Tabla1[[#This Row],[CANTIDADES DE REFERENCIA]]</f>
        <v>0</v>
      </c>
      <c r="J142" s="35">
        <f>Tabla1[[#This Row],[P.U. USD]]*Tabla1[[#This Row],[CANTIDADES DE REFERENCIA]]</f>
        <v>0</v>
      </c>
      <c r="K142" s="36"/>
      <c r="L142" s="36"/>
      <c r="M142" s="36"/>
      <c r="N142" s="37" t="s">
        <v>117</v>
      </c>
      <c r="O142" s="37" t="s">
        <v>118</v>
      </c>
      <c r="P142" s="38"/>
      <c r="Q142" s="37" t="s">
        <v>349</v>
      </c>
      <c r="R142" s="37"/>
      <c r="S142" s="37" t="s">
        <v>120</v>
      </c>
      <c r="T142" s="31"/>
    </row>
    <row r="143" spans="1:20">
      <c r="A143" s="31"/>
      <c r="B143" s="32"/>
      <c r="C143" s="33"/>
      <c r="D143" s="32" t="s">
        <v>350</v>
      </c>
      <c r="E143" s="33" t="s">
        <v>54</v>
      </c>
      <c r="F143" s="34">
        <v>1</v>
      </c>
      <c r="G143" s="35">
        <v>0</v>
      </c>
      <c r="H143" s="35">
        <v>0</v>
      </c>
      <c r="I143" s="35">
        <f>Tabla1[[#This Row],[P.U. M.N.]]*Tabla1[[#This Row],[CANTIDADES DE REFERENCIA]]</f>
        <v>0</v>
      </c>
      <c r="J143" s="35">
        <f>Tabla1[[#This Row],[P.U. USD]]*Tabla1[[#This Row],[CANTIDADES DE REFERENCIA]]</f>
        <v>0</v>
      </c>
      <c r="K143" s="36"/>
      <c r="L143" s="36"/>
      <c r="M143" s="36"/>
      <c r="N143" s="37" t="s">
        <v>117</v>
      </c>
      <c r="O143" s="37" t="s">
        <v>118</v>
      </c>
      <c r="P143" s="38"/>
      <c r="Q143" s="37" t="s">
        <v>351</v>
      </c>
      <c r="R143" s="37"/>
      <c r="S143" s="37" t="s">
        <v>120</v>
      </c>
      <c r="T143" s="31"/>
    </row>
    <row r="144" spans="1:20">
      <c r="A144" s="31"/>
      <c r="B144" s="32"/>
      <c r="C144" s="33"/>
      <c r="D144" s="32" t="s">
        <v>352</v>
      </c>
      <c r="E144" s="33" t="s">
        <v>54</v>
      </c>
      <c r="F144" s="34">
        <v>1</v>
      </c>
      <c r="G144" s="35">
        <v>0</v>
      </c>
      <c r="H144" s="35">
        <v>0</v>
      </c>
      <c r="I144" s="35">
        <f>Tabla1[[#This Row],[P.U. M.N.]]*Tabla1[[#This Row],[CANTIDADES DE REFERENCIA]]</f>
        <v>0</v>
      </c>
      <c r="J144" s="35">
        <f>Tabla1[[#This Row],[P.U. USD]]*Tabla1[[#This Row],[CANTIDADES DE REFERENCIA]]</f>
        <v>0</v>
      </c>
      <c r="K144" s="36"/>
      <c r="L144" s="36"/>
      <c r="M144" s="36"/>
      <c r="N144" s="37" t="s">
        <v>117</v>
      </c>
      <c r="O144" s="37" t="s">
        <v>118</v>
      </c>
      <c r="P144" s="38"/>
      <c r="Q144" s="37" t="s">
        <v>353</v>
      </c>
      <c r="R144" s="37"/>
      <c r="S144" s="37" t="s">
        <v>120</v>
      </c>
      <c r="T144" s="31"/>
    </row>
    <row r="145" spans="1:20">
      <c r="A145" s="31"/>
      <c r="B145" s="32"/>
      <c r="C145" s="33"/>
      <c r="D145" s="32" t="s">
        <v>354</v>
      </c>
      <c r="E145" s="33" t="s">
        <v>54</v>
      </c>
      <c r="F145" s="34">
        <v>1</v>
      </c>
      <c r="G145" s="35">
        <v>0</v>
      </c>
      <c r="H145" s="35">
        <v>0</v>
      </c>
      <c r="I145" s="35">
        <f>Tabla1[[#This Row],[P.U. M.N.]]*Tabla1[[#This Row],[CANTIDADES DE REFERENCIA]]</f>
        <v>0</v>
      </c>
      <c r="J145" s="35">
        <f>Tabla1[[#This Row],[P.U. USD]]*Tabla1[[#This Row],[CANTIDADES DE REFERENCIA]]</f>
        <v>0</v>
      </c>
      <c r="K145" s="36"/>
      <c r="L145" s="36"/>
      <c r="M145" s="36"/>
      <c r="N145" s="37" t="s">
        <v>117</v>
      </c>
      <c r="O145" s="37" t="s">
        <v>118</v>
      </c>
      <c r="P145" s="38"/>
      <c r="Q145" s="37" t="s">
        <v>355</v>
      </c>
      <c r="R145" s="37"/>
      <c r="S145" s="37" t="s">
        <v>120</v>
      </c>
      <c r="T145" s="31"/>
    </row>
    <row r="146" spans="1:20">
      <c r="A146" s="31"/>
      <c r="B146" s="32"/>
      <c r="C146" s="33"/>
      <c r="D146" s="32" t="s">
        <v>356</v>
      </c>
      <c r="E146" s="33" t="s">
        <v>54</v>
      </c>
      <c r="F146" s="34">
        <v>1</v>
      </c>
      <c r="G146" s="35">
        <v>0</v>
      </c>
      <c r="H146" s="35">
        <v>0</v>
      </c>
      <c r="I146" s="35">
        <f>Tabla1[[#This Row],[P.U. M.N.]]*Tabla1[[#This Row],[CANTIDADES DE REFERENCIA]]</f>
        <v>0</v>
      </c>
      <c r="J146" s="35">
        <f>Tabla1[[#This Row],[P.U. USD]]*Tabla1[[#This Row],[CANTIDADES DE REFERENCIA]]</f>
        <v>0</v>
      </c>
      <c r="K146" s="36"/>
      <c r="L146" s="36"/>
      <c r="M146" s="36"/>
      <c r="N146" s="37" t="s">
        <v>79</v>
      </c>
      <c r="O146" s="37" t="s">
        <v>80</v>
      </c>
      <c r="P146" s="38"/>
      <c r="Q146" s="37" t="s">
        <v>357</v>
      </c>
      <c r="R146" s="37"/>
      <c r="S146" s="37" t="s">
        <v>82</v>
      </c>
      <c r="T146" s="31"/>
    </row>
    <row r="147" spans="1:20">
      <c r="A147" s="31"/>
      <c r="B147" s="32"/>
      <c r="C147" s="33"/>
      <c r="D147" s="32" t="s">
        <v>358</v>
      </c>
      <c r="E147" s="33" t="s">
        <v>116</v>
      </c>
      <c r="F147" s="34">
        <v>1</v>
      </c>
      <c r="G147" s="35">
        <v>0</v>
      </c>
      <c r="H147" s="35">
        <v>0</v>
      </c>
      <c r="I147" s="35">
        <f>Tabla1[[#This Row],[P.U. M.N.]]*Tabla1[[#This Row],[CANTIDADES DE REFERENCIA]]</f>
        <v>0</v>
      </c>
      <c r="J147" s="35">
        <f>Tabla1[[#This Row],[P.U. USD]]*Tabla1[[#This Row],[CANTIDADES DE REFERENCIA]]</f>
        <v>0</v>
      </c>
      <c r="K147" s="36"/>
      <c r="L147" s="36"/>
      <c r="M147" s="36"/>
      <c r="N147" s="37" t="s">
        <v>117</v>
      </c>
      <c r="O147" s="37" t="s">
        <v>118</v>
      </c>
      <c r="P147" s="38"/>
      <c r="Q147" s="37" t="s">
        <v>359</v>
      </c>
      <c r="R147" s="37"/>
      <c r="S147" s="37" t="s">
        <v>120</v>
      </c>
      <c r="T147" s="31"/>
    </row>
    <row r="148" spans="1:20">
      <c r="A148" s="31"/>
      <c r="B148" s="32"/>
      <c r="C148" s="33"/>
      <c r="D148" s="32" t="s">
        <v>360</v>
      </c>
      <c r="E148" s="33" t="s">
        <v>116</v>
      </c>
      <c r="F148" s="34">
        <v>1</v>
      </c>
      <c r="G148" s="35">
        <v>0</v>
      </c>
      <c r="H148" s="35">
        <v>0</v>
      </c>
      <c r="I148" s="35">
        <f>Tabla1[[#This Row],[P.U. M.N.]]*Tabla1[[#This Row],[CANTIDADES DE REFERENCIA]]</f>
        <v>0</v>
      </c>
      <c r="J148" s="35">
        <f>Tabla1[[#This Row],[P.U. USD]]*Tabla1[[#This Row],[CANTIDADES DE REFERENCIA]]</f>
        <v>0</v>
      </c>
      <c r="K148" s="36"/>
      <c r="L148" s="36"/>
      <c r="M148" s="36"/>
      <c r="N148" s="37" t="s">
        <v>117</v>
      </c>
      <c r="O148" s="37" t="s">
        <v>118</v>
      </c>
      <c r="P148" s="38"/>
      <c r="Q148" s="37" t="s">
        <v>361</v>
      </c>
      <c r="R148" s="37" t="s">
        <v>58</v>
      </c>
      <c r="S148" s="37" t="s">
        <v>120</v>
      </c>
      <c r="T148" s="31"/>
    </row>
    <row r="149" spans="1:20">
      <c r="A149" s="31"/>
      <c r="B149" s="32"/>
      <c r="C149" s="33"/>
      <c r="D149" s="32" t="s">
        <v>362</v>
      </c>
      <c r="E149" s="33" t="s">
        <v>116</v>
      </c>
      <c r="F149" s="34">
        <v>1</v>
      </c>
      <c r="G149" s="35">
        <v>0</v>
      </c>
      <c r="H149" s="35">
        <v>0</v>
      </c>
      <c r="I149" s="35">
        <f>Tabla1[[#This Row],[P.U. M.N.]]*Tabla1[[#This Row],[CANTIDADES DE REFERENCIA]]</f>
        <v>0</v>
      </c>
      <c r="J149" s="35">
        <f>Tabla1[[#This Row],[P.U. USD]]*Tabla1[[#This Row],[CANTIDADES DE REFERENCIA]]</f>
        <v>0</v>
      </c>
      <c r="K149" s="36"/>
      <c r="L149" s="36"/>
      <c r="M149" s="36"/>
      <c r="N149" s="37" t="s">
        <v>117</v>
      </c>
      <c r="O149" s="37" t="s">
        <v>118</v>
      </c>
      <c r="P149" s="38"/>
      <c r="Q149" s="37" t="s">
        <v>363</v>
      </c>
      <c r="R149" s="37" t="s">
        <v>58</v>
      </c>
      <c r="S149" s="37" t="s">
        <v>120</v>
      </c>
      <c r="T149" s="31"/>
    </row>
    <row r="150" spans="1:20">
      <c r="A150" s="31"/>
      <c r="B150" s="32"/>
      <c r="C150" s="33"/>
      <c r="D150" s="32" t="s">
        <v>364</v>
      </c>
      <c r="E150" s="33" t="s">
        <v>61</v>
      </c>
      <c r="F150" s="34">
        <v>1</v>
      </c>
      <c r="G150" s="35">
        <v>0</v>
      </c>
      <c r="H150" s="35">
        <v>0</v>
      </c>
      <c r="I150" s="35">
        <f>Tabla1[[#This Row],[P.U. M.N.]]*Tabla1[[#This Row],[CANTIDADES DE REFERENCIA]]</f>
        <v>0</v>
      </c>
      <c r="J150" s="35">
        <f>Tabla1[[#This Row],[P.U. USD]]*Tabla1[[#This Row],[CANTIDADES DE REFERENCIA]]</f>
        <v>0</v>
      </c>
      <c r="K150" s="36"/>
      <c r="L150" s="36"/>
      <c r="M150" s="36"/>
      <c r="N150" s="37" t="s">
        <v>79</v>
      </c>
      <c r="O150" s="37" t="s">
        <v>80</v>
      </c>
      <c r="P150" s="38"/>
      <c r="Q150" s="37" t="s">
        <v>365</v>
      </c>
      <c r="R150" s="37"/>
      <c r="S150" s="37" t="s">
        <v>82</v>
      </c>
      <c r="T150" s="31"/>
    </row>
    <row r="151" spans="1:20">
      <c r="A151" s="31"/>
      <c r="B151" s="32"/>
      <c r="C151" s="33"/>
      <c r="D151" s="32" t="s">
        <v>366</v>
      </c>
      <c r="E151" s="33" t="s">
        <v>367</v>
      </c>
      <c r="F151" s="34">
        <v>1</v>
      </c>
      <c r="G151" s="35">
        <v>0</v>
      </c>
      <c r="H151" s="35">
        <v>0</v>
      </c>
      <c r="I151" s="35">
        <f>Tabla1[[#This Row],[P.U. M.N.]]*Tabla1[[#This Row],[CANTIDADES DE REFERENCIA]]</f>
        <v>0</v>
      </c>
      <c r="J151" s="35">
        <f>Tabla1[[#This Row],[P.U. USD]]*Tabla1[[#This Row],[CANTIDADES DE REFERENCIA]]</f>
        <v>0</v>
      </c>
      <c r="K151" s="36"/>
      <c r="L151" s="36"/>
      <c r="M151" s="36"/>
      <c r="N151" s="37" t="s">
        <v>79</v>
      </c>
      <c r="O151" s="37" t="s">
        <v>80</v>
      </c>
      <c r="P151" s="38"/>
      <c r="Q151" s="37" t="s">
        <v>368</v>
      </c>
      <c r="R151" s="37"/>
      <c r="S151" s="37" t="s">
        <v>82</v>
      </c>
      <c r="T151" s="31"/>
    </row>
    <row r="152" spans="1:20">
      <c r="A152" s="31"/>
      <c r="B152" s="32"/>
      <c r="C152" s="33"/>
      <c r="D152" s="32" t="s">
        <v>369</v>
      </c>
      <c r="E152" s="33" t="s">
        <v>135</v>
      </c>
      <c r="F152" s="34">
        <v>1</v>
      </c>
      <c r="G152" s="35">
        <v>0</v>
      </c>
      <c r="H152" s="35">
        <v>0</v>
      </c>
      <c r="I152" s="35">
        <f>Tabla1[[#This Row],[P.U. M.N.]]*Tabla1[[#This Row],[CANTIDADES DE REFERENCIA]]</f>
        <v>0</v>
      </c>
      <c r="J152" s="35">
        <f>Tabla1[[#This Row],[P.U. USD]]*Tabla1[[#This Row],[CANTIDADES DE REFERENCIA]]</f>
        <v>0</v>
      </c>
      <c r="K152" s="36"/>
      <c r="L152" s="36"/>
      <c r="M152" s="36"/>
      <c r="N152" s="37" t="s">
        <v>117</v>
      </c>
      <c r="O152" s="37" t="s">
        <v>118</v>
      </c>
      <c r="P152" s="38"/>
      <c r="Q152" s="37" t="s">
        <v>370</v>
      </c>
      <c r="R152" s="37"/>
      <c r="S152" s="37" t="s">
        <v>120</v>
      </c>
      <c r="T152" s="31"/>
    </row>
    <row r="153" spans="1:20">
      <c r="A153" s="31"/>
      <c r="B153" s="32"/>
      <c r="C153" s="33"/>
      <c r="D153" s="32" t="s">
        <v>371</v>
      </c>
      <c r="E153" s="33" t="s">
        <v>116</v>
      </c>
      <c r="F153" s="34">
        <v>1</v>
      </c>
      <c r="G153" s="35">
        <v>0</v>
      </c>
      <c r="H153" s="35">
        <v>0</v>
      </c>
      <c r="I153" s="35">
        <f>Tabla1[[#This Row],[P.U. M.N.]]*Tabla1[[#This Row],[CANTIDADES DE REFERENCIA]]</f>
        <v>0</v>
      </c>
      <c r="J153" s="35">
        <f>Tabla1[[#This Row],[P.U. USD]]*Tabla1[[#This Row],[CANTIDADES DE REFERENCIA]]</f>
        <v>0</v>
      </c>
      <c r="K153" s="36"/>
      <c r="L153" s="36"/>
      <c r="M153" s="36"/>
      <c r="N153" s="37" t="s">
        <v>117</v>
      </c>
      <c r="O153" s="37" t="s">
        <v>118</v>
      </c>
      <c r="P153" s="38"/>
      <c r="Q153" s="37" t="s">
        <v>372</v>
      </c>
      <c r="R153" s="37"/>
      <c r="S153" s="37" t="s">
        <v>120</v>
      </c>
      <c r="T153" s="31"/>
    </row>
    <row r="154" spans="1:20">
      <c r="A154" s="31"/>
      <c r="B154" s="32"/>
      <c r="C154" s="33"/>
      <c r="D154" s="32" t="s">
        <v>373</v>
      </c>
      <c r="E154" s="33" t="s">
        <v>116</v>
      </c>
      <c r="F154" s="34">
        <v>1</v>
      </c>
      <c r="G154" s="35">
        <v>0</v>
      </c>
      <c r="H154" s="35">
        <v>0</v>
      </c>
      <c r="I154" s="35">
        <f>Tabla1[[#This Row],[P.U. M.N.]]*Tabla1[[#This Row],[CANTIDADES DE REFERENCIA]]</f>
        <v>0</v>
      </c>
      <c r="J154" s="35">
        <f>Tabla1[[#This Row],[P.U. USD]]*Tabla1[[#This Row],[CANTIDADES DE REFERENCIA]]</f>
        <v>0</v>
      </c>
      <c r="K154" s="36"/>
      <c r="L154" s="36"/>
      <c r="M154" s="36"/>
      <c r="N154" s="37" t="s">
        <v>117</v>
      </c>
      <c r="O154" s="37" t="s">
        <v>118</v>
      </c>
      <c r="P154" s="38"/>
      <c r="Q154" s="37" t="s">
        <v>374</v>
      </c>
      <c r="R154" s="37"/>
      <c r="S154" s="37" t="s">
        <v>120</v>
      </c>
      <c r="T154" s="31"/>
    </row>
    <row r="155" spans="1:20">
      <c r="A155" s="31"/>
      <c r="B155" s="32"/>
      <c r="C155" s="33"/>
      <c r="D155" s="32" t="s">
        <v>375</v>
      </c>
      <c r="E155" s="33" t="s">
        <v>367</v>
      </c>
      <c r="F155" s="34">
        <v>1</v>
      </c>
      <c r="G155" s="35">
        <v>0</v>
      </c>
      <c r="H155" s="35">
        <v>0</v>
      </c>
      <c r="I155" s="35">
        <f>Tabla1[[#This Row],[P.U. M.N.]]*Tabla1[[#This Row],[CANTIDADES DE REFERENCIA]]</f>
        <v>0</v>
      </c>
      <c r="J155" s="35">
        <f>Tabla1[[#This Row],[P.U. USD]]*Tabla1[[#This Row],[CANTIDADES DE REFERENCIA]]</f>
        <v>0</v>
      </c>
      <c r="K155" s="36"/>
      <c r="L155" s="36"/>
      <c r="M155" s="36"/>
      <c r="N155" s="37" t="s">
        <v>117</v>
      </c>
      <c r="O155" s="37" t="s">
        <v>118</v>
      </c>
      <c r="P155" s="38"/>
      <c r="Q155" s="37" t="s">
        <v>376</v>
      </c>
      <c r="R155" s="37"/>
      <c r="S155" s="37" t="s">
        <v>120</v>
      </c>
      <c r="T155" s="31"/>
    </row>
    <row r="156" spans="1:20">
      <c r="A156" s="31"/>
      <c r="B156" s="32"/>
      <c r="C156" s="33"/>
      <c r="D156" s="32" t="s">
        <v>377</v>
      </c>
      <c r="E156" s="33" t="s">
        <v>54</v>
      </c>
      <c r="F156" s="34">
        <v>1</v>
      </c>
      <c r="G156" s="35">
        <v>0</v>
      </c>
      <c r="H156" s="35">
        <v>0</v>
      </c>
      <c r="I156" s="35">
        <f>Tabla1[[#This Row],[P.U. M.N.]]*Tabla1[[#This Row],[CANTIDADES DE REFERENCIA]]</f>
        <v>0</v>
      </c>
      <c r="J156" s="35">
        <f>Tabla1[[#This Row],[P.U. USD]]*Tabla1[[#This Row],[CANTIDADES DE REFERENCIA]]</f>
        <v>0</v>
      </c>
      <c r="K156" s="36"/>
      <c r="L156" s="36"/>
      <c r="M156" s="36"/>
      <c r="N156" s="37" t="s">
        <v>79</v>
      </c>
      <c r="O156" s="37" t="s">
        <v>80</v>
      </c>
      <c r="P156" s="38"/>
      <c r="Q156" s="37" t="s">
        <v>378</v>
      </c>
      <c r="R156" s="37"/>
      <c r="S156" s="37" t="s">
        <v>82</v>
      </c>
      <c r="T156" s="31"/>
    </row>
    <row r="157" spans="1:20">
      <c r="A157" s="31"/>
      <c r="B157" s="32"/>
      <c r="C157" s="33"/>
      <c r="D157" s="32" t="s">
        <v>379</v>
      </c>
      <c r="E157" s="33" t="s">
        <v>54</v>
      </c>
      <c r="F157" s="34">
        <v>1</v>
      </c>
      <c r="G157" s="35">
        <v>0</v>
      </c>
      <c r="H157" s="35">
        <v>0</v>
      </c>
      <c r="I157" s="35">
        <f>Tabla1[[#This Row],[P.U. M.N.]]*Tabla1[[#This Row],[CANTIDADES DE REFERENCIA]]</f>
        <v>0</v>
      </c>
      <c r="J157" s="35">
        <f>Tabla1[[#This Row],[P.U. USD]]*Tabla1[[#This Row],[CANTIDADES DE REFERENCIA]]</f>
        <v>0</v>
      </c>
      <c r="K157" s="36"/>
      <c r="L157" s="36"/>
      <c r="M157" s="36"/>
      <c r="N157" s="37" t="s">
        <v>79</v>
      </c>
      <c r="O157" s="37" t="s">
        <v>80</v>
      </c>
      <c r="P157" s="38"/>
      <c r="Q157" s="37" t="s">
        <v>380</v>
      </c>
      <c r="R157" s="37"/>
      <c r="S157" s="37" t="s">
        <v>82</v>
      </c>
      <c r="T157" s="31"/>
    </row>
    <row r="158" spans="1:20">
      <c r="A158" s="31"/>
      <c r="B158" s="32"/>
      <c r="C158" s="33"/>
      <c r="D158" s="32" t="s">
        <v>381</v>
      </c>
      <c r="E158" s="33" t="s">
        <v>116</v>
      </c>
      <c r="F158" s="34">
        <v>1</v>
      </c>
      <c r="G158" s="35">
        <v>0</v>
      </c>
      <c r="H158" s="35">
        <v>0</v>
      </c>
      <c r="I158" s="35">
        <f>Tabla1[[#This Row],[P.U. M.N.]]*Tabla1[[#This Row],[CANTIDADES DE REFERENCIA]]</f>
        <v>0</v>
      </c>
      <c r="J158" s="35">
        <f>Tabla1[[#This Row],[P.U. USD]]*Tabla1[[#This Row],[CANTIDADES DE REFERENCIA]]</f>
        <v>0</v>
      </c>
      <c r="K158" s="36"/>
      <c r="L158" s="36"/>
      <c r="M158" s="36"/>
      <c r="N158" s="37" t="s">
        <v>117</v>
      </c>
      <c r="O158" s="37" t="s">
        <v>118</v>
      </c>
      <c r="P158" s="38"/>
      <c r="Q158" s="37" t="s">
        <v>382</v>
      </c>
      <c r="R158" s="37"/>
      <c r="S158" s="37" t="s">
        <v>120</v>
      </c>
      <c r="T158" s="31"/>
    </row>
    <row r="159" spans="1:20">
      <c r="A159" s="31"/>
      <c r="B159" s="32"/>
      <c r="C159" s="33"/>
      <c r="D159" s="32" t="s">
        <v>383</v>
      </c>
      <c r="E159" s="33" t="s">
        <v>116</v>
      </c>
      <c r="F159" s="34">
        <v>1</v>
      </c>
      <c r="G159" s="35">
        <v>0</v>
      </c>
      <c r="H159" s="35">
        <v>0</v>
      </c>
      <c r="I159" s="35">
        <f>Tabla1[[#This Row],[P.U. M.N.]]*Tabla1[[#This Row],[CANTIDADES DE REFERENCIA]]</f>
        <v>0</v>
      </c>
      <c r="J159" s="35">
        <f>Tabla1[[#This Row],[P.U. USD]]*Tabla1[[#This Row],[CANTIDADES DE REFERENCIA]]</f>
        <v>0</v>
      </c>
      <c r="K159" s="36"/>
      <c r="L159" s="36"/>
      <c r="M159" s="36"/>
      <c r="N159" s="37" t="s">
        <v>79</v>
      </c>
      <c r="O159" s="37" t="s">
        <v>80</v>
      </c>
      <c r="P159" s="38"/>
      <c r="Q159" s="37" t="s">
        <v>384</v>
      </c>
      <c r="R159" s="37"/>
      <c r="S159" s="37" t="s">
        <v>82</v>
      </c>
      <c r="T159" s="31"/>
    </row>
    <row r="160" spans="1:20">
      <c r="A160" s="31"/>
      <c r="B160" s="32"/>
      <c r="C160" s="33"/>
      <c r="D160" s="32" t="s">
        <v>385</v>
      </c>
      <c r="E160" s="33" t="s">
        <v>367</v>
      </c>
      <c r="F160" s="34">
        <v>1</v>
      </c>
      <c r="G160" s="35">
        <v>0</v>
      </c>
      <c r="H160" s="35">
        <v>0</v>
      </c>
      <c r="I160" s="35">
        <f>Tabla1[[#This Row],[P.U. M.N.]]*Tabla1[[#This Row],[CANTIDADES DE REFERENCIA]]</f>
        <v>0</v>
      </c>
      <c r="J160" s="35">
        <f>Tabla1[[#This Row],[P.U. USD]]*Tabla1[[#This Row],[CANTIDADES DE REFERENCIA]]</f>
        <v>0</v>
      </c>
      <c r="K160" s="36"/>
      <c r="L160" s="36"/>
      <c r="M160" s="36"/>
      <c r="N160" s="37" t="s">
        <v>79</v>
      </c>
      <c r="O160" s="37" t="s">
        <v>80</v>
      </c>
      <c r="P160" s="38"/>
      <c r="Q160" s="37" t="s">
        <v>386</v>
      </c>
      <c r="R160" s="37"/>
      <c r="S160" s="37" t="s">
        <v>82</v>
      </c>
      <c r="T160" s="31"/>
    </row>
    <row r="161" spans="1:20">
      <c r="A161" s="31"/>
      <c r="B161" s="32"/>
      <c r="C161" s="33"/>
      <c r="D161" s="32" t="s">
        <v>387</v>
      </c>
      <c r="E161" s="33" t="s">
        <v>116</v>
      </c>
      <c r="F161" s="34">
        <v>1</v>
      </c>
      <c r="G161" s="35">
        <v>0</v>
      </c>
      <c r="H161" s="35">
        <v>0</v>
      </c>
      <c r="I161" s="35">
        <f>Tabla1[[#This Row],[P.U. M.N.]]*Tabla1[[#This Row],[CANTIDADES DE REFERENCIA]]</f>
        <v>0</v>
      </c>
      <c r="J161" s="35">
        <f>Tabla1[[#This Row],[P.U. USD]]*Tabla1[[#This Row],[CANTIDADES DE REFERENCIA]]</f>
        <v>0</v>
      </c>
      <c r="K161" s="36"/>
      <c r="L161" s="36"/>
      <c r="M161" s="36"/>
      <c r="N161" s="37"/>
      <c r="O161" s="37"/>
      <c r="P161" s="38"/>
      <c r="Q161" s="37" t="s">
        <v>388</v>
      </c>
      <c r="R161" s="37" t="s">
        <v>389</v>
      </c>
      <c r="S161" s="37" t="s">
        <v>390</v>
      </c>
      <c r="T161" s="31"/>
    </row>
    <row r="162" spans="1:20">
      <c r="A162" s="31"/>
      <c r="B162" s="32"/>
      <c r="C162" s="33"/>
      <c r="D162" s="32" t="s">
        <v>391</v>
      </c>
      <c r="E162" s="33" t="s">
        <v>116</v>
      </c>
      <c r="F162" s="34">
        <v>1</v>
      </c>
      <c r="G162" s="35">
        <v>0</v>
      </c>
      <c r="H162" s="35">
        <v>0</v>
      </c>
      <c r="I162" s="35">
        <f>Tabla1[[#This Row],[P.U. M.N.]]*Tabla1[[#This Row],[CANTIDADES DE REFERENCIA]]</f>
        <v>0</v>
      </c>
      <c r="J162" s="35">
        <f>Tabla1[[#This Row],[P.U. USD]]*Tabla1[[#This Row],[CANTIDADES DE REFERENCIA]]</f>
        <v>0</v>
      </c>
      <c r="K162" s="36"/>
      <c r="L162" s="36"/>
      <c r="M162" s="36"/>
      <c r="N162" s="37" t="s">
        <v>392</v>
      </c>
      <c r="O162" s="37" t="s">
        <v>393</v>
      </c>
      <c r="P162" s="38"/>
      <c r="Q162" s="37" t="s">
        <v>394</v>
      </c>
      <c r="R162" s="37"/>
      <c r="S162" s="37" t="s">
        <v>395</v>
      </c>
      <c r="T162" s="31"/>
    </row>
    <row r="163" spans="1:20">
      <c r="A163" s="31"/>
      <c r="B163" s="32"/>
      <c r="C163" s="33"/>
      <c r="D163" s="32" t="s">
        <v>396</v>
      </c>
      <c r="E163" s="33" t="s">
        <v>116</v>
      </c>
      <c r="F163" s="34">
        <v>1</v>
      </c>
      <c r="G163" s="35">
        <v>0</v>
      </c>
      <c r="H163" s="35">
        <v>0</v>
      </c>
      <c r="I163" s="35">
        <f>Tabla1[[#This Row],[P.U. M.N.]]*Tabla1[[#This Row],[CANTIDADES DE REFERENCIA]]</f>
        <v>0</v>
      </c>
      <c r="J163" s="35">
        <f>Tabla1[[#This Row],[P.U. USD]]*Tabla1[[#This Row],[CANTIDADES DE REFERENCIA]]</f>
        <v>0</v>
      </c>
      <c r="K163" s="36"/>
      <c r="L163" s="36"/>
      <c r="M163" s="36"/>
      <c r="N163" s="37"/>
      <c r="O163" s="37"/>
      <c r="P163" s="38"/>
      <c r="Q163" s="37" t="s">
        <v>397</v>
      </c>
      <c r="R163" s="37" t="s">
        <v>389</v>
      </c>
      <c r="S163" s="37" t="s">
        <v>390</v>
      </c>
      <c r="T163" s="31"/>
    </row>
    <row r="164" spans="1:20">
      <c r="A164" s="31"/>
      <c r="B164" s="32"/>
      <c r="C164" s="33"/>
      <c r="D164" s="32" t="s">
        <v>398</v>
      </c>
      <c r="E164" s="33" t="s">
        <v>116</v>
      </c>
      <c r="F164" s="34">
        <v>1</v>
      </c>
      <c r="G164" s="35">
        <v>0</v>
      </c>
      <c r="H164" s="35">
        <v>0</v>
      </c>
      <c r="I164" s="35">
        <f>Tabla1[[#This Row],[P.U. M.N.]]*Tabla1[[#This Row],[CANTIDADES DE REFERENCIA]]</f>
        <v>0</v>
      </c>
      <c r="J164" s="35">
        <f>Tabla1[[#This Row],[P.U. USD]]*Tabla1[[#This Row],[CANTIDADES DE REFERENCIA]]</f>
        <v>0</v>
      </c>
      <c r="K164" s="36"/>
      <c r="L164" s="36"/>
      <c r="M164" s="36"/>
      <c r="N164" s="37" t="s">
        <v>392</v>
      </c>
      <c r="O164" s="37" t="s">
        <v>393</v>
      </c>
      <c r="P164" s="38"/>
      <c r="Q164" s="37" t="s">
        <v>399</v>
      </c>
      <c r="R164" s="37" t="s">
        <v>58</v>
      </c>
      <c r="S164" s="37" t="s">
        <v>395</v>
      </c>
      <c r="T164" s="31"/>
    </row>
    <row r="165" spans="1:20">
      <c r="A165" s="31"/>
      <c r="B165" s="32"/>
      <c r="C165" s="33"/>
      <c r="D165" s="32" t="s">
        <v>400</v>
      </c>
      <c r="E165" s="33" t="s">
        <v>116</v>
      </c>
      <c r="F165" s="34">
        <v>1</v>
      </c>
      <c r="G165" s="35">
        <v>0</v>
      </c>
      <c r="H165" s="35">
        <v>0</v>
      </c>
      <c r="I165" s="35">
        <f>Tabla1[[#This Row],[P.U. M.N.]]*Tabla1[[#This Row],[CANTIDADES DE REFERENCIA]]</f>
        <v>0</v>
      </c>
      <c r="J165" s="35">
        <f>Tabla1[[#This Row],[P.U. USD]]*Tabla1[[#This Row],[CANTIDADES DE REFERENCIA]]</f>
        <v>0</v>
      </c>
      <c r="K165" s="36"/>
      <c r="L165" s="36"/>
      <c r="M165" s="36"/>
      <c r="N165" s="37"/>
      <c r="O165" s="37"/>
      <c r="P165" s="38"/>
      <c r="Q165" s="37" t="s">
        <v>401</v>
      </c>
      <c r="R165" s="37" t="s">
        <v>389</v>
      </c>
      <c r="S165" s="37" t="s">
        <v>390</v>
      </c>
      <c r="T165" s="31"/>
    </row>
    <row r="166" spans="1:20">
      <c r="A166" s="31"/>
      <c r="B166" s="32"/>
      <c r="C166" s="33"/>
      <c r="D166" s="32" t="s">
        <v>402</v>
      </c>
      <c r="E166" s="33" t="s">
        <v>116</v>
      </c>
      <c r="F166" s="34">
        <v>1</v>
      </c>
      <c r="G166" s="35">
        <v>0</v>
      </c>
      <c r="H166" s="35">
        <v>0</v>
      </c>
      <c r="I166" s="35">
        <f>Tabla1[[#This Row],[P.U. M.N.]]*Tabla1[[#This Row],[CANTIDADES DE REFERENCIA]]</f>
        <v>0</v>
      </c>
      <c r="J166" s="35">
        <f>Tabla1[[#This Row],[P.U. USD]]*Tabla1[[#This Row],[CANTIDADES DE REFERENCIA]]</f>
        <v>0</v>
      </c>
      <c r="K166" s="36"/>
      <c r="L166" s="36"/>
      <c r="M166" s="36"/>
      <c r="N166" s="37"/>
      <c r="O166" s="37"/>
      <c r="P166" s="38"/>
      <c r="Q166" s="37" t="s">
        <v>403</v>
      </c>
      <c r="R166" s="37" t="s">
        <v>389</v>
      </c>
      <c r="S166" s="37" t="s">
        <v>390</v>
      </c>
      <c r="T166" s="31"/>
    </row>
    <row r="167" spans="1:20">
      <c r="A167" s="31"/>
      <c r="B167" s="32"/>
      <c r="C167" s="33"/>
      <c r="D167" s="32" t="s">
        <v>404</v>
      </c>
      <c r="E167" s="33" t="s">
        <v>116</v>
      </c>
      <c r="F167" s="34">
        <v>1</v>
      </c>
      <c r="G167" s="35">
        <v>0</v>
      </c>
      <c r="H167" s="35">
        <v>0</v>
      </c>
      <c r="I167" s="35">
        <f>Tabla1[[#This Row],[P.U. M.N.]]*Tabla1[[#This Row],[CANTIDADES DE REFERENCIA]]</f>
        <v>0</v>
      </c>
      <c r="J167" s="35">
        <f>Tabla1[[#This Row],[P.U. USD]]*Tabla1[[#This Row],[CANTIDADES DE REFERENCIA]]</f>
        <v>0</v>
      </c>
      <c r="K167" s="36"/>
      <c r="L167" s="36"/>
      <c r="M167" s="36"/>
      <c r="N167" s="37"/>
      <c r="O167" s="37"/>
      <c r="P167" s="38"/>
      <c r="Q167" s="37" t="s">
        <v>405</v>
      </c>
      <c r="R167" s="37" t="s">
        <v>389</v>
      </c>
      <c r="S167" s="37" t="s">
        <v>390</v>
      </c>
      <c r="T167" s="31"/>
    </row>
    <row r="168" spans="1:20">
      <c r="A168" s="31"/>
      <c r="B168" s="32"/>
      <c r="C168" s="33"/>
      <c r="D168" s="32" t="s">
        <v>406</v>
      </c>
      <c r="E168" s="33" t="s">
        <v>116</v>
      </c>
      <c r="F168" s="34">
        <v>1</v>
      </c>
      <c r="G168" s="35">
        <v>0</v>
      </c>
      <c r="H168" s="35">
        <v>0</v>
      </c>
      <c r="I168" s="35">
        <f>Tabla1[[#This Row],[P.U. M.N.]]*Tabla1[[#This Row],[CANTIDADES DE REFERENCIA]]</f>
        <v>0</v>
      </c>
      <c r="J168" s="35">
        <f>Tabla1[[#This Row],[P.U. USD]]*Tabla1[[#This Row],[CANTIDADES DE REFERENCIA]]</f>
        <v>0</v>
      </c>
      <c r="K168" s="36"/>
      <c r="L168" s="36"/>
      <c r="M168" s="36"/>
      <c r="N168" s="37" t="s">
        <v>392</v>
      </c>
      <c r="O168" s="37" t="s">
        <v>393</v>
      </c>
      <c r="P168" s="38"/>
      <c r="Q168" s="37" t="s">
        <v>407</v>
      </c>
      <c r="R168" s="37"/>
      <c r="S168" s="37" t="s">
        <v>395</v>
      </c>
      <c r="T168" s="31"/>
    </row>
    <row r="169" spans="1:20">
      <c r="A169" s="31"/>
      <c r="B169" s="32"/>
      <c r="C169" s="33"/>
      <c r="D169" s="32" t="s">
        <v>408</v>
      </c>
      <c r="E169" s="33" t="s">
        <v>116</v>
      </c>
      <c r="F169" s="34">
        <v>1</v>
      </c>
      <c r="G169" s="35">
        <v>0</v>
      </c>
      <c r="H169" s="35">
        <v>0</v>
      </c>
      <c r="I169" s="35">
        <f>Tabla1[[#This Row],[P.U. M.N.]]*Tabla1[[#This Row],[CANTIDADES DE REFERENCIA]]</f>
        <v>0</v>
      </c>
      <c r="J169" s="35">
        <f>Tabla1[[#This Row],[P.U. USD]]*Tabla1[[#This Row],[CANTIDADES DE REFERENCIA]]</f>
        <v>0</v>
      </c>
      <c r="K169" s="36"/>
      <c r="L169" s="36"/>
      <c r="M169" s="36"/>
      <c r="N169" s="37"/>
      <c r="O169" s="37"/>
      <c r="P169" s="38"/>
      <c r="Q169" s="37" t="s">
        <v>409</v>
      </c>
      <c r="R169" s="37" t="s">
        <v>389</v>
      </c>
      <c r="S169" s="37" t="s">
        <v>390</v>
      </c>
      <c r="T169" s="31"/>
    </row>
    <row r="170" spans="1:20">
      <c r="A170" s="31"/>
      <c r="B170" s="32"/>
      <c r="C170" s="33"/>
      <c r="D170" s="32" t="s">
        <v>410</v>
      </c>
      <c r="E170" s="33" t="s">
        <v>116</v>
      </c>
      <c r="F170" s="34">
        <v>1</v>
      </c>
      <c r="G170" s="35">
        <v>0</v>
      </c>
      <c r="H170" s="35">
        <v>0</v>
      </c>
      <c r="I170" s="35">
        <f>Tabla1[[#This Row],[P.U. M.N.]]*Tabla1[[#This Row],[CANTIDADES DE REFERENCIA]]</f>
        <v>0</v>
      </c>
      <c r="J170" s="35">
        <f>Tabla1[[#This Row],[P.U. USD]]*Tabla1[[#This Row],[CANTIDADES DE REFERENCIA]]</f>
        <v>0</v>
      </c>
      <c r="K170" s="36"/>
      <c r="L170" s="36"/>
      <c r="M170" s="36"/>
      <c r="N170" s="37"/>
      <c r="O170" s="37"/>
      <c r="P170" s="38"/>
      <c r="Q170" s="37" t="s">
        <v>411</v>
      </c>
      <c r="R170" s="37" t="s">
        <v>389</v>
      </c>
      <c r="S170" s="37" t="s">
        <v>390</v>
      </c>
      <c r="T170" s="31"/>
    </row>
    <row r="171" spans="1:20">
      <c r="A171" s="31"/>
      <c r="B171" s="32"/>
      <c r="C171" s="33"/>
      <c r="D171" s="32" t="s">
        <v>412</v>
      </c>
      <c r="E171" s="33" t="s">
        <v>54</v>
      </c>
      <c r="F171" s="34">
        <v>1</v>
      </c>
      <c r="G171" s="35">
        <v>0</v>
      </c>
      <c r="H171" s="35">
        <v>0</v>
      </c>
      <c r="I171" s="35">
        <f>Tabla1[[#This Row],[P.U. M.N.]]*Tabla1[[#This Row],[CANTIDADES DE REFERENCIA]]</f>
        <v>0</v>
      </c>
      <c r="J171" s="35">
        <f>Tabla1[[#This Row],[P.U. USD]]*Tabla1[[#This Row],[CANTIDADES DE REFERENCIA]]</f>
        <v>0</v>
      </c>
      <c r="K171" s="36"/>
      <c r="L171" s="36"/>
      <c r="M171" s="36"/>
      <c r="N171" s="37"/>
      <c r="O171" s="37"/>
      <c r="P171" s="38"/>
      <c r="Q171" s="37" t="s">
        <v>413</v>
      </c>
      <c r="R171" s="37" t="s">
        <v>389</v>
      </c>
      <c r="S171" s="37" t="s">
        <v>390</v>
      </c>
      <c r="T171" s="31"/>
    </row>
    <row r="172" spans="1:20">
      <c r="A172" s="31"/>
      <c r="B172" s="32"/>
      <c r="C172" s="33"/>
      <c r="D172" s="32" t="s">
        <v>414</v>
      </c>
      <c r="E172" s="33" t="s">
        <v>54</v>
      </c>
      <c r="F172" s="34">
        <v>1</v>
      </c>
      <c r="G172" s="35">
        <v>0</v>
      </c>
      <c r="H172" s="35">
        <v>0</v>
      </c>
      <c r="I172" s="35">
        <f>Tabla1[[#This Row],[P.U. M.N.]]*Tabla1[[#This Row],[CANTIDADES DE REFERENCIA]]</f>
        <v>0</v>
      </c>
      <c r="J172" s="35">
        <f>Tabla1[[#This Row],[P.U. USD]]*Tabla1[[#This Row],[CANTIDADES DE REFERENCIA]]</f>
        <v>0</v>
      </c>
      <c r="K172" s="36"/>
      <c r="L172" s="36"/>
      <c r="M172" s="36"/>
      <c r="N172" s="37"/>
      <c r="O172" s="37"/>
      <c r="P172" s="38"/>
      <c r="Q172" s="37" t="s">
        <v>415</v>
      </c>
      <c r="R172" s="37" t="s">
        <v>389</v>
      </c>
      <c r="S172" s="37" t="s">
        <v>390</v>
      </c>
      <c r="T172" s="31"/>
    </row>
    <row r="173" spans="1:20">
      <c r="A173" s="31"/>
      <c r="B173" s="32"/>
      <c r="C173" s="33"/>
      <c r="D173" s="32" t="s">
        <v>416</v>
      </c>
      <c r="E173" s="33" t="s">
        <v>54</v>
      </c>
      <c r="F173" s="34">
        <v>1</v>
      </c>
      <c r="G173" s="35">
        <v>0</v>
      </c>
      <c r="H173" s="35">
        <v>0</v>
      </c>
      <c r="I173" s="35">
        <f>Tabla1[[#This Row],[P.U. M.N.]]*Tabla1[[#This Row],[CANTIDADES DE REFERENCIA]]</f>
        <v>0</v>
      </c>
      <c r="J173" s="35">
        <f>Tabla1[[#This Row],[P.U. USD]]*Tabla1[[#This Row],[CANTIDADES DE REFERENCIA]]</f>
        <v>0</v>
      </c>
      <c r="K173" s="36"/>
      <c r="L173" s="36"/>
      <c r="M173" s="36"/>
      <c r="N173" s="37"/>
      <c r="O173" s="37"/>
      <c r="P173" s="38"/>
      <c r="Q173" s="37" t="s">
        <v>417</v>
      </c>
      <c r="R173" s="37" t="s">
        <v>389</v>
      </c>
      <c r="S173" s="37" t="s">
        <v>390</v>
      </c>
      <c r="T173" s="31"/>
    </row>
    <row r="174" spans="1:20">
      <c r="A174" s="31"/>
      <c r="B174" s="32"/>
      <c r="C174" s="33"/>
      <c r="D174" s="32" t="s">
        <v>418</v>
      </c>
      <c r="E174" s="33" t="s">
        <v>54</v>
      </c>
      <c r="F174" s="34">
        <v>1</v>
      </c>
      <c r="G174" s="35">
        <v>0</v>
      </c>
      <c r="H174" s="35">
        <v>0</v>
      </c>
      <c r="I174" s="35">
        <f>Tabla1[[#This Row],[P.U. M.N.]]*Tabla1[[#This Row],[CANTIDADES DE REFERENCIA]]</f>
        <v>0</v>
      </c>
      <c r="J174" s="35">
        <f>Tabla1[[#This Row],[P.U. USD]]*Tabla1[[#This Row],[CANTIDADES DE REFERENCIA]]</f>
        <v>0</v>
      </c>
      <c r="K174" s="36"/>
      <c r="L174" s="36"/>
      <c r="M174" s="36"/>
      <c r="N174" s="37"/>
      <c r="O174" s="37"/>
      <c r="P174" s="38"/>
      <c r="Q174" s="37" t="s">
        <v>419</v>
      </c>
      <c r="R174" s="37" t="s">
        <v>389</v>
      </c>
      <c r="S174" s="37" t="s">
        <v>390</v>
      </c>
      <c r="T174" s="31"/>
    </row>
    <row r="175" spans="1:20">
      <c r="A175" s="31"/>
      <c r="B175" s="32"/>
      <c r="C175" s="33"/>
      <c r="D175" s="32" t="s">
        <v>420</v>
      </c>
      <c r="E175" s="33" t="s">
        <v>54</v>
      </c>
      <c r="F175" s="34">
        <v>1</v>
      </c>
      <c r="G175" s="35">
        <v>0</v>
      </c>
      <c r="H175" s="35">
        <v>0</v>
      </c>
      <c r="I175" s="35">
        <f>Tabla1[[#This Row],[P.U. M.N.]]*Tabla1[[#This Row],[CANTIDADES DE REFERENCIA]]</f>
        <v>0</v>
      </c>
      <c r="J175" s="35">
        <f>Tabla1[[#This Row],[P.U. USD]]*Tabla1[[#This Row],[CANTIDADES DE REFERENCIA]]</f>
        <v>0</v>
      </c>
      <c r="K175" s="36"/>
      <c r="L175" s="36"/>
      <c r="M175" s="36"/>
      <c r="N175" s="37"/>
      <c r="O175" s="37"/>
      <c r="P175" s="38"/>
      <c r="Q175" s="37" t="s">
        <v>421</v>
      </c>
      <c r="R175" s="37" t="s">
        <v>389</v>
      </c>
      <c r="S175" s="37" t="s">
        <v>390</v>
      </c>
      <c r="T175" s="31"/>
    </row>
    <row r="176" spans="1:20">
      <c r="A176" s="31"/>
      <c r="B176" s="32"/>
      <c r="C176" s="33"/>
      <c r="D176" s="32" t="s">
        <v>422</v>
      </c>
      <c r="E176" s="33" t="s">
        <v>54</v>
      </c>
      <c r="F176" s="34">
        <v>1</v>
      </c>
      <c r="G176" s="35">
        <v>0</v>
      </c>
      <c r="H176" s="35">
        <v>0</v>
      </c>
      <c r="I176" s="35">
        <f>Tabla1[[#This Row],[P.U. M.N.]]*Tabla1[[#This Row],[CANTIDADES DE REFERENCIA]]</f>
        <v>0</v>
      </c>
      <c r="J176" s="35">
        <f>Tabla1[[#This Row],[P.U. USD]]*Tabla1[[#This Row],[CANTIDADES DE REFERENCIA]]</f>
        <v>0</v>
      </c>
      <c r="K176" s="36"/>
      <c r="L176" s="36"/>
      <c r="M176" s="36"/>
      <c r="N176" s="37"/>
      <c r="O176" s="37"/>
      <c r="P176" s="38"/>
      <c r="Q176" s="37" t="s">
        <v>423</v>
      </c>
      <c r="R176" s="37" t="s">
        <v>389</v>
      </c>
      <c r="S176" s="37" t="s">
        <v>390</v>
      </c>
      <c r="T176" s="31"/>
    </row>
    <row r="177" spans="1:20">
      <c r="A177" s="31"/>
      <c r="B177" s="32"/>
      <c r="C177" s="33"/>
      <c r="D177" s="32" t="s">
        <v>424</v>
      </c>
      <c r="E177" s="33" t="s">
        <v>54</v>
      </c>
      <c r="F177" s="34">
        <v>1</v>
      </c>
      <c r="G177" s="35">
        <v>0</v>
      </c>
      <c r="H177" s="35">
        <v>0</v>
      </c>
      <c r="I177" s="35">
        <f>Tabla1[[#This Row],[P.U. M.N.]]*Tabla1[[#This Row],[CANTIDADES DE REFERENCIA]]</f>
        <v>0</v>
      </c>
      <c r="J177" s="35">
        <f>Tabla1[[#This Row],[P.U. USD]]*Tabla1[[#This Row],[CANTIDADES DE REFERENCIA]]</f>
        <v>0</v>
      </c>
      <c r="K177" s="36"/>
      <c r="L177" s="36"/>
      <c r="M177" s="36"/>
      <c r="N177" s="37"/>
      <c r="O177" s="37"/>
      <c r="P177" s="38"/>
      <c r="Q177" s="37" t="s">
        <v>425</v>
      </c>
      <c r="R177" s="37" t="s">
        <v>389</v>
      </c>
      <c r="S177" s="37" t="s">
        <v>390</v>
      </c>
      <c r="T177" s="31"/>
    </row>
    <row r="178" spans="1:20">
      <c r="A178" s="31"/>
      <c r="B178" s="32"/>
      <c r="C178" s="33"/>
      <c r="D178" s="32" t="s">
        <v>426</v>
      </c>
      <c r="E178" s="33" t="s">
        <v>54</v>
      </c>
      <c r="F178" s="34">
        <v>1</v>
      </c>
      <c r="G178" s="35">
        <v>0</v>
      </c>
      <c r="H178" s="35">
        <v>0</v>
      </c>
      <c r="I178" s="35">
        <f>Tabla1[[#This Row],[P.U. M.N.]]*Tabla1[[#This Row],[CANTIDADES DE REFERENCIA]]</f>
        <v>0</v>
      </c>
      <c r="J178" s="35">
        <f>Tabla1[[#This Row],[P.U. USD]]*Tabla1[[#This Row],[CANTIDADES DE REFERENCIA]]</f>
        <v>0</v>
      </c>
      <c r="K178" s="36"/>
      <c r="L178" s="36"/>
      <c r="M178" s="36"/>
      <c r="N178" s="37"/>
      <c r="O178" s="37"/>
      <c r="P178" s="38"/>
      <c r="Q178" s="37" t="s">
        <v>427</v>
      </c>
      <c r="R178" s="37" t="s">
        <v>389</v>
      </c>
      <c r="S178" s="37" t="s">
        <v>390</v>
      </c>
      <c r="T178" s="31"/>
    </row>
    <row r="179" spans="1:20">
      <c r="A179" s="31"/>
      <c r="B179" s="32"/>
      <c r="C179" s="33"/>
      <c r="D179" s="32" t="s">
        <v>428</v>
      </c>
      <c r="E179" s="33" t="s">
        <v>54</v>
      </c>
      <c r="F179" s="34">
        <v>1</v>
      </c>
      <c r="G179" s="35">
        <v>0</v>
      </c>
      <c r="H179" s="35">
        <v>0</v>
      </c>
      <c r="I179" s="35">
        <f>Tabla1[[#This Row],[P.U. M.N.]]*Tabla1[[#This Row],[CANTIDADES DE REFERENCIA]]</f>
        <v>0</v>
      </c>
      <c r="J179" s="35">
        <f>Tabla1[[#This Row],[P.U. USD]]*Tabla1[[#This Row],[CANTIDADES DE REFERENCIA]]</f>
        <v>0</v>
      </c>
      <c r="K179" s="36"/>
      <c r="L179" s="36"/>
      <c r="M179" s="36"/>
      <c r="N179" s="37"/>
      <c r="O179" s="37"/>
      <c r="P179" s="38"/>
      <c r="Q179" s="37" t="s">
        <v>429</v>
      </c>
      <c r="R179" s="37" t="s">
        <v>58</v>
      </c>
      <c r="S179" s="37" t="s">
        <v>390</v>
      </c>
      <c r="T179" s="31"/>
    </row>
    <row r="180" spans="1:20">
      <c r="A180" s="31"/>
      <c r="B180" s="32"/>
      <c r="C180" s="33"/>
      <c r="D180" s="32" t="s">
        <v>430</v>
      </c>
      <c r="E180" s="33" t="s">
        <v>54</v>
      </c>
      <c r="F180" s="34">
        <v>1</v>
      </c>
      <c r="G180" s="35">
        <v>0</v>
      </c>
      <c r="H180" s="35">
        <v>0</v>
      </c>
      <c r="I180" s="35">
        <f>Tabla1[[#This Row],[P.U. M.N.]]*Tabla1[[#This Row],[CANTIDADES DE REFERENCIA]]</f>
        <v>0</v>
      </c>
      <c r="J180" s="35">
        <f>Tabla1[[#This Row],[P.U. USD]]*Tabla1[[#This Row],[CANTIDADES DE REFERENCIA]]</f>
        <v>0</v>
      </c>
      <c r="K180" s="36"/>
      <c r="L180" s="36"/>
      <c r="M180" s="36"/>
      <c r="N180" s="37"/>
      <c r="O180" s="37"/>
      <c r="P180" s="38"/>
      <c r="Q180" s="37" t="s">
        <v>431</v>
      </c>
      <c r="R180" s="37" t="s">
        <v>389</v>
      </c>
      <c r="S180" s="37" t="s">
        <v>390</v>
      </c>
      <c r="T180" s="31"/>
    </row>
    <row r="181" spans="1:20">
      <c r="A181" s="31"/>
      <c r="B181" s="32"/>
      <c r="C181" s="33"/>
      <c r="D181" s="32" t="s">
        <v>432</v>
      </c>
      <c r="E181" s="33" t="s">
        <v>54</v>
      </c>
      <c r="F181" s="34">
        <v>1</v>
      </c>
      <c r="G181" s="35">
        <v>0</v>
      </c>
      <c r="H181" s="35">
        <v>0</v>
      </c>
      <c r="I181" s="35">
        <f>Tabla1[[#This Row],[P.U. M.N.]]*Tabla1[[#This Row],[CANTIDADES DE REFERENCIA]]</f>
        <v>0</v>
      </c>
      <c r="J181" s="35">
        <f>Tabla1[[#This Row],[P.U. USD]]*Tabla1[[#This Row],[CANTIDADES DE REFERENCIA]]</f>
        <v>0</v>
      </c>
      <c r="K181" s="36"/>
      <c r="L181" s="36"/>
      <c r="M181" s="36"/>
      <c r="N181" s="37"/>
      <c r="O181" s="37"/>
      <c r="P181" s="38"/>
      <c r="Q181" s="37" t="s">
        <v>433</v>
      </c>
      <c r="R181" s="37" t="s">
        <v>389</v>
      </c>
      <c r="S181" s="37" t="s">
        <v>390</v>
      </c>
      <c r="T181" s="31"/>
    </row>
    <row r="182" spans="1:20">
      <c r="A182" s="31"/>
      <c r="B182" s="32"/>
      <c r="C182" s="33"/>
      <c r="D182" s="32" t="s">
        <v>434</v>
      </c>
      <c r="E182" s="33" t="s">
        <v>54</v>
      </c>
      <c r="F182" s="34">
        <v>1</v>
      </c>
      <c r="G182" s="35">
        <v>0</v>
      </c>
      <c r="H182" s="35">
        <v>0</v>
      </c>
      <c r="I182" s="35">
        <f>Tabla1[[#This Row],[P.U. M.N.]]*Tabla1[[#This Row],[CANTIDADES DE REFERENCIA]]</f>
        <v>0</v>
      </c>
      <c r="J182" s="35">
        <f>Tabla1[[#This Row],[P.U. USD]]*Tabla1[[#This Row],[CANTIDADES DE REFERENCIA]]</f>
        <v>0</v>
      </c>
      <c r="K182" s="36"/>
      <c r="L182" s="36"/>
      <c r="M182" s="36"/>
      <c r="N182" s="37"/>
      <c r="O182" s="37"/>
      <c r="P182" s="38"/>
      <c r="Q182" s="37" t="s">
        <v>435</v>
      </c>
      <c r="R182" s="37" t="s">
        <v>389</v>
      </c>
      <c r="S182" s="37" t="s">
        <v>390</v>
      </c>
      <c r="T182" s="31"/>
    </row>
    <row r="183" spans="1:20">
      <c r="A183" s="31"/>
      <c r="B183" s="32"/>
      <c r="C183" s="33"/>
      <c r="D183" s="32" t="s">
        <v>436</v>
      </c>
      <c r="E183" s="33" t="s">
        <v>54</v>
      </c>
      <c r="F183" s="34">
        <v>1</v>
      </c>
      <c r="G183" s="35">
        <v>0</v>
      </c>
      <c r="H183" s="35">
        <v>0</v>
      </c>
      <c r="I183" s="35">
        <f>Tabla1[[#This Row],[P.U. M.N.]]*Tabla1[[#This Row],[CANTIDADES DE REFERENCIA]]</f>
        <v>0</v>
      </c>
      <c r="J183" s="35">
        <f>Tabla1[[#This Row],[P.U. USD]]*Tabla1[[#This Row],[CANTIDADES DE REFERENCIA]]</f>
        <v>0</v>
      </c>
      <c r="K183" s="36"/>
      <c r="L183" s="36"/>
      <c r="M183" s="36"/>
      <c r="N183" s="37"/>
      <c r="O183" s="37"/>
      <c r="P183" s="38"/>
      <c r="Q183" s="37" t="s">
        <v>437</v>
      </c>
      <c r="R183" s="37" t="s">
        <v>389</v>
      </c>
      <c r="S183" s="37" t="s">
        <v>390</v>
      </c>
      <c r="T183" s="31"/>
    </row>
    <row r="184" spans="1:20">
      <c r="A184" s="31"/>
      <c r="B184" s="32"/>
      <c r="C184" s="33"/>
      <c r="D184" s="32" t="s">
        <v>438</v>
      </c>
      <c r="E184" s="33" t="s">
        <v>54</v>
      </c>
      <c r="F184" s="34">
        <v>1</v>
      </c>
      <c r="G184" s="35">
        <v>0</v>
      </c>
      <c r="H184" s="35">
        <v>0</v>
      </c>
      <c r="I184" s="35">
        <f>Tabla1[[#This Row],[P.U. M.N.]]*Tabla1[[#This Row],[CANTIDADES DE REFERENCIA]]</f>
        <v>0</v>
      </c>
      <c r="J184" s="35">
        <f>Tabla1[[#This Row],[P.U. USD]]*Tabla1[[#This Row],[CANTIDADES DE REFERENCIA]]</f>
        <v>0</v>
      </c>
      <c r="K184" s="36"/>
      <c r="L184" s="36"/>
      <c r="M184" s="36"/>
      <c r="N184" s="37"/>
      <c r="O184" s="37"/>
      <c r="P184" s="38"/>
      <c r="Q184" s="37" t="s">
        <v>439</v>
      </c>
      <c r="R184" s="37" t="s">
        <v>389</v>
      </c>
      <c r="S184" s="37" t="s">
        <v>390</v>
      </c>
      <c r="T184" s="31"/>
    </row>
    <row r="185" spans="1:20">
      <c r="A185" s="31"/>
      <c r="B185" s="32"/>
      <c r="C185" s="33"/>
      <c r="D185" s="32" t="s">
        <v>440</v>
      </c>
      <c r="E185" s="33" t="s">
        <v>116</v>
      </c>
      <c r="F185" s="34">
        <v>1</v>
      </c>
      <c r="G185" s="35">
        <v>0</v>
      </c>
      <c r="H185" s="35">
        <v>0</v>
      </c>
      <c r="I185" s="35">
        <f>Tabla1[[#This Row],[P.U. M.N.]]*Tabla1[[#This Row],[CANTIDADES DE REFERENCIA]]</f>
        <v>0</v>
      </c>
      <c r="J185" s="35">
        <f>Tabla1[[#This Row],[P.U. USD]]*Tabla1[[#This Row],[CANTIDADES DE REFERENCIA]]</f>
        <v>0</v>
      </c>
      <c r="K185" s="36"/>
      <c r="L185" s="36"/>
      <c r="M185" s="36"/>
      <c r="N185" s="37"/>
      <c r="O185" s="37"/>
      <c r="P185" s="38"/>
      <c r="Q185" s="37" t="s">
        <v>441</v>
      </c>
      <c r="R185" s="37" t="s">
        <v>389</v>
      </c>
      <c r="S185" s="37" t="s">
        <v>390</v>
      </c>
      <c r="T185" s="31"/>
    </row>
    <row r="186" spans="1:20">
      <c r="A186" s="31"/>
      <c r="B186" s="32"/>
      <c r="C186" s="33"/>
      <c r="D186" s="32" t="s">
        <v>442</v>
      </c>
      <c r="E186" s="33" t="s">
        <v>116</v>
      </c>
      <c r="F186" s="34">
        <v>1</v>
      </c>
      <c r="G186" s="35">
        <v>0</v>
      </c>
      <c r="H186" s="35">
        <v>0</v>
      </c>
      <c r="I186" s="35">
        <f>Tabla1[[#This Row],[P.U. M.N.]]*Tabla1[[#This Row],[CANTIDADES DE REFERENCIA]]</f>
        <v>0</v>
      </c>
      <c r="J186" s="35">
        <f>Tabla1[[#This Row],[P.U. USD]]*Tabla1[[#This Row],[CANTIDADES DE REFERENCIA]]</f>
        <v>0</v>
      </c>
      <c r="K186" s="36"/>
      <c r="L186" s="36"/>
      <c r="M186" s="36"/>
      <c r="N186" s="37"/>
      <c r="O186" s="37"/>
      <c r="P186" s="38"/>
      <c r="Q186" s="37" t="s">
        <v>443</v>
      </c>
      <c r="R186" s="37" t="s">
        <v>389</v>
      </c>
      <c r="S186" s="37" t="s">
        <v>390</v>
      </c>
      <c r="T186" s="31"/>
    </row>
    <row r="187" spans="1:20">
      <c r="A187" s="31"/>
      <c r="B187" s="32"/>
      <c r="C187" s="33"/>
      <c r="D187" s="32" t="s">
        <v>444</v>
      </c>
      <c r="E187" s="33" t="s">
        <v>54</v>
      </c>
      <c r="F187" s="34">
        <v>1</v>
      </c>
      <c r="G187" s="35">
        <v>0</v>
      </c>
      <c r="H187" s="35">
        <v>0</v>
      </c>
      <c r="I187" s="35">
        <f>Tabla1[[#This Row],[P.U. M.N.]]*Tabla1[[#This Row],[CANTIDADES DE REFERENCIA]]</f>
        <v>0</v>
      </c>
      <c r="J187" s="35">
        <f>Tabla1[[#This Row],[P.U. USD]]*Tabla1[[#This Row],[CANTIDADES DE REFERENCIA]]</f>
        <v>0</v>
      </c>
      <c r="K187" s="36"/>
      <c r="L187" s="36"/>
      <c r="M187" s="36"/>
      <c r="N187" s="37" t="s">
        <v>31</v>
      </c>
      <c r="O187" s="37"/>
      <c r="P187" s="38"/>
      <c r="Q187" s="37" t="s">
        <v>445</v>
      </c>
      <c r="R187" s="37" t="s">
        <v>58</v>
      </c>
      <c r="S187" s="37" t="s">
        <v>33</v>
      </c>
      <c r="T187" s="31"/>
    </row>
    <row r="188" spans="1:20">
      <c r="A188" s="31"/>
      <c r="B188" s="32"/>
      <c r="C188" s="33"/>
      <c r="D188" s="32" t="s">
        <v>446</v>
      </c>
      <c r="E188" s="33" t="s">
        <v>135</v>
      </c>
      <c r="F188" s="34">
        <v>1</v>
      </c>
      <c r="G188" s="35">
        <v>0</v>
      </c>
      <c r="H188" s="35">
        <v>0</v>
      </c>
      <c r="I188" s="35">
        <f>Tabla1[[#This Row],[P.U. M.N.]]*Tabla1[[#This Row],[CANTIDADES DE REFERENCIA]]</f>
        <v>0</v>
      </c>
      <c r="J188" s="35">
        <f>Tabla1[[#This Row],[P.U. USD]]*Tabla1[[#This Row],[CANTIDADES DE REFERENCIA]]</f>
        <v>0</v>
      </c>
      <c r="K188" s="36"/>
      <c r="L188" s="36"/>
      <c r="M188" s="36"/>
      <c r="N188" s="37"/>
      <c r="O188" s="37"/>
      <c r="P188" s="38"/>
      <c r="Q188" s="37" t="s">
        <v>447</v>
      </c>
      <c r="R188" s="37" t="s">
        <v>389</v>
      </c>
      <c r="S188" s="37" t="s">
        <v>390</v>
      </c>
      <c r="T188" s="31"/>
    </row>
    <row r="189" spans="1:20">
      <c r="A189" s="31"/>
      <c r="B189" s="32"/>
      <c r="C189" s="33"/>
      <c r="D189" s="32" t="s">
        <v>448</v>
      </c>
      <c r="E189" s="33" t="s">
        <v>116</v>
      </c>
      <c r="F189" s="34">
        <v>1</v>
      </c>
      <c r="G189" s="35">
        <v>0</v>
      </c>
      <c r="H189" s="35">
        <v>0</v>
      </c>
      <c r="I189" s="35">
        <f>Tabla1[[#This Row],[P.U. M.N.]]*Tabla1[[#This Row],[CANTIDADES DE REFERENCIA]]</f>
        <v>0</v>
      </c>
      <c r="J189" s="35">
        <f>Tabla1[[#This Row],[P.U. USD]]*Tabla1[[#This Row],[CANTIDADES DE REFERENCIA]]</f>
        <v>0</v>
      </c>
      <c r="K189" s="36"/>
      <c r="L189" s="36"/>
      <c r="M189" s="36"/>
      <c r="N189" s="37"/>
      <c r="O189" s="37"/>
      <c r="P189" s="38"/>
      <c r="Q189" s="37" t="s">
        <v>449</v>
      </c>
      <c r="R189" s="37" t="s">
        <v>389</v>
      </c>
      <c r="S189" s="37" t="s">
        <v>390</v>
      </c>
      <c r="T189" s="31"/>
    </row>
    <row r="190" spans="1:20">
      <c r="A190" s="31"/>
      <c r="B190" s="32"/>
      <c r="C190" s="33"/>
      <c r="D190" s="32" t="s">
        <v>450</v>
      </c>
      <c r="E190" s="33" t="s">
        <v>61</v>
      </c>
      <c r="F190" s="34">
        <v>1</v>
      </c>
      <c r="G190" s="35">
        <v>0</v>
      </c>
      <c r="H190" s="35">
        <v>0</v>
      </c>
      <c r="I190" s="35">
        <f>Tabla1[[#This Row],[P.U. M.N.]]*Tabla1[[#This Row],[CANTIDADES DE REFERENCIA]]</f>
        <v>0</v>
      </c>
      <c r="J190" s="35">
        <f>Tabla1[[#This Row],[P.U. USD]]*Tabla1[[#This Row],[CANTIDADES DE REFERENCIA]]</f>
        <v>0</v>
      </c>
      <c r="K190" s="36"/>
      <c r="L190" s="36"/>
      <c r="M190" s="36"/>
      <c r="N190" s="37"/>
      <c r="O190" s="37"/>
      <c r="P190" s="38"/>
      <c r="Q190" s="37" t="s">
        <v>451</v>
      </c>
      <c r="R190" s="37" t="s">
        <v>389</v>
      </c>
      <c r="S190" s="37" t="s">
        <v>390</v>
      </c>
      <c r="T190" s="31"/>
    </row>
    <row r="191" spans="1:20">
      <c r="A191" s="31"/>
      <c r="B191" s="32"/>
      <c r="C191" s="33"/>
      <c r="D191" s="32" t="s">
        <v>452</v>
      </c>
      <c r="E191" s="33" t="s">
        <v>116</v>
      </c>
      <c r="F191" s="34">
        <v>1</v>
      </c>
      <c r="G191" s="35">
        <v>0</v>
      </c>
      <c r="H191" s="35">
        <v>0</v>
      </c>
      <c r="I191" s="35">
        <f>Tabla1[[#This Row],[P.U. M.N.]]*Tabla1[[#This Row],[CANTIDADES DE REFERENCIA]]</f>
        <v>0</v>
      </c>
      <c r="J191" s="35">
        <f>Tabla1[[#This Row],[P.U. USD]]*Tabla1[[#This Row],[CANTIDADES DE REFERENCIA]]</f>
        <v>0</v>
      </c>
      <c r="K191" s="36"/>
      <c r="L191" s="36"/>
      <c r="M191" s="36"/>
      <c r="N191" s="37" t="s">
        <v>31</v>
      </c>
      <c r="O191" s="37"/>
      <c r="P191" s="38"/>
      <c r="Q191" s="37" t="s">
        <v>453</v>
      </c>
      <c r="R191" s="37" t="s">
        <v>58</v>
      </c>
      <c r="S191" s="37" t="s">
        <v>33</v>
      </c>
      <c r="T191" s="31"/>
    </row>
    <row r="192" spans="1:20">
      <c r="A192" s="31"/>
      <c r="B192" s="32"/>
      <c r="C192" s="33"/>
      <c r="D192" s="32" t="s">
        <v>454</v>
      </c>
      <c r="E192" s="33" t="s">
        <v>54</v>
      </c>
      <c r="F192" s="34">
        <v>1</v>
      </c>
      <c r="G192" s="35">
        <v>0</v>
      </c>
      <c r="H192" s="35">
        <v>0</v>
      </c>
      <c r="I192" s="35">
        <f>Tabla1[[#This Row],[P.U. M.N.]]*Tabla1[[#This Row],[CANTIDADES DE REFERENCIA]]</f>
        <v>0</v>
      </c>
      <c r="J192" s="35">
        <f>Tabla1[[#This Row],[P.U. USD]]*Tabla1[[#This Row],[CANTIDADES DE REFERENCIA]]</f>
        <v>0</v>
      </c>
      <c r="K192" s="36"/>
      <c r="L192" s="36"/>
      <c r="M192" s="36"/>
      <c r="N192" s="37" t="s">
        <v>455</v>
      </c>
      <c r="O192" s="37" t="s">
        <v>456</v>
      </c>
      <c r="P192" s="38"/>
      <c r="Q192" s="37" t="s">
        <v>457</v>
      </c>
      <c r="R192" s="37"/>
      <c r="S192" s="37" t="s">
        <v>458</v>
      </c>
      <c r="T192" s="31"/>
    </row>
    <row r="193" spans="1:20">
      <c r="A193" s="31"/>
      <c r="B193" s="32"/>
      <c r="C193" s="33"/>
      <c r="D193" s="32" t="s">
        <v>459</v>
      </c>
      <c r="E193" s="33" t="s">
        <v>54</v>
      </c>
      <c r="F193" s="34">
        <v>1</v>
      </c>
      <c r="G193" s="35">
        <v>0</v>
      </c>
      <c r="H193" s="35">
        <v>0</v>
      </c>
      <c r="I193" s="35">
        <f>Tabla1[[#This Row],[P.U. M.N.]]*Tabla1[[#This Row],[CANTIDADES DE REFERENCIA]]</f>
        <v>0</v>
      </c>
      <c r="J193" s="35">
        <f>Tabla1[[#This Row],[P.U. USD]]*Tabla1[[#This Row],[CANTIDADES DE REFERENCIA]]</f>
        <v>0</v>
      </c>
      <c r="K193" s="36"/>
      <c r="L193" s="36"/>
      <c r="M193" s="36"/>
      <c r="N193" s="37" t="s">
        <v>31</v>
      </c>
      <c r="O193" s="37"/>
      <c r="P193" s="38"/>
      <c r="Q193" s="37" t="s">
        <v>460</v>
      </c>
      <c r="R193" s="37"/>
      <c r="S193" s="37" t="s">
        <v>33</v>
      </c>
      <c r="T193" s="31"/>
    </row>
    <row r="194" spans="1:20">
      <c r="A194" s="31"/>
      <c r="B194" s="32"/>
      <c r="C194" s="33"/>
      <c r="D194" s="32" t="s">
        <v>461</v>
      </c>
      <c r="E194" s="33" t="s">
        <v>54</v>
      </c>
      <c r="F194" s="34">
        <v>1</v>
      </c>
      <c r="G194" s="35">
        <v>0</v>
      </c>
      <c r="H194" s="35">
        <v>0</v>
      </c>
      <c r="I194" s="35">
        <f>Tabla1[[#This Row],[P.U. M.N.]]*Tabla1[[#This Row],[CANTIDADES DE REFERENCIA]]</f>
        <v>0</v>
      </c>
      <c r="J194" s="35">
        <f>Tabla1[[#This Row],[P.U. USD]]*Tabla1[[#This Row],[CANTIDADES DE REFERENCIA]]</f>
        <v>0</v>
      </c>
      <c r="K194" s="36"/>
      <c r="L194" s="36"/>
      <c r="M194" s="36"/>
      <c r="N194" s="37" t="s">
        <v>31</v>
      </c>
      <c r="O194" s="37"/>
      <c r="P194" s="38"/>
      <c r="Q194" s="37" t="s">
        <v>462</v>
      </c>
      <c r="R194" s="37"/>
      <c r="S194" s="37" t="s">
        <v>33</v>
      </c>
      <c r="T194" s="31"/>
    </row>
    <row r="195" spans="1:20">
      <c r="A195" s="31"/>
      <c r="B195" s="32"/>
      <c r="C195" s="33"/>
      <c r="D195" s="32" t="s">
        <v>463</v>
      </c>
      <c r="E195" s="33" t="s">
        <v>54</v>
      </c>
      <c r="F195" s="34">
        <v>1</v>
      </c>
      <c r="G195" s="35">
        <v>0</v>
      </c>
      <c r="H195" s="35">
        <v>0</v>
      </c>
      <c r="I195" s="35">
        <f>Tabla1[[#This Row],[P.U. M.N.]]*Tabla1[[#This Row],[CANTIDADES DE REFERENCIA]]</f>
        <v>0</v>
      </c>
      <c r="J195" s="35">
        <f>Tabla1[[#This Row],[P.U. USD]]*Tabla1[[#This Row],[CANTIDADES DE REFERENCIA]]</f>
        <v>0</v>
      </c>
      <c r="K195" s="36"/>
      <c r="L195" s="36"/>
      <c r="M195" s="36"/>
      <c r="N195" s="37" t="s">
        <v>31</v>
      </c>
      <c r="O195" s="37"/>
      <c r="P195" s="38"/>
      <c r="Q195" s="37" t="s">
        <v>464</v>
      </c>
      <c r="R195" s="37"/>
      <c r="S195" s="37" t="s">
        <v>33</v>
      </c>
      <c r="T195" s="31"/>
    </row>
    <row r="196" spans="1:20">
      <c r="A196" s="31"/>
      <c r="B196" s="32"/>
      <c r="C196" s="33"/>
      <c r="D196" s="32" t="s">
        <v>465</v>
      </c>
      <c r="E196" s="33" t="s">
        <v>116</v>
      </c>
      <c r="F196" s="34">
        <v>1</v>
      </c>
      <c r="G196" s="35">
        <v>0</v>
      </c>
      <c r="H196" s="35">
        <v>0</v>
      </c>
      <c r="I196" s="35">
        <f>Tabla1[[#This Row],[P.U. M.N.]]*Tabla1[[#This Row],[CANTIDADES DE REFERENCIA]]</f>
        <v>0</v>
      </c>
      <c r="J196" s="35">
        <f>Tabla1[[#This Row],[P.U. USD]]*Tabla1[[#This Row],[CANTIDADES DE REFERENCIA]]</f>
        <v>0</v>
      </c>
      <c r="K196" s="36"/>
      <c r="L196" s="36"/>
      <c r="M196" s="36"/>
      <c r="N196" s="37" t="s">
        <v>392</v>
      </c>
      <c r="O196" s="37" t="s">
        <v>393</v>
      </c>
      <c r="P196" s="38"/>
      <c r="Q196" s="37" t="s">
        <v>466</v>
      </c>
      <c r="R196" s="37" t="s">
        <v>58</v>
      </c>
      <c r="S196" s="37" t="s">
        <v>395</v>
      </c>
      <c r="T196" s="31"/>
    </row>
    <row r="197" spans="1:20">
      <c r="A197" s="31"/>
      <c r="B197" s="32"/>
      <c r="C197" s="33"/>
      <c r="D197" s="32" t="s">
        <v>467</v>
      </c>
      <c r="E197" s="33" t="s">
        <v>116</v>
      </c>
      <c r="F197" s="34">
        <v>1</v>
      </c>
      <c r="G197" s="35">
        <v>0</v>
      </c>
      <c r="H197" s="35">
        <v>0</v>
      </c>
      <c r="I197" s="35">
        <f>Tabla1[[#This Row],[P.U. M.N.]]*Tabla1[[#This Row],[CANTIDADES DE REFERENCIA]]</f>
        <v>0</v>
      </c>
      <c r="J197" s="35">
        <f>Tabla1[[#This Row],[P.U. USD]]*Tabla1[[#This Row],[CANTIDADES DE REFERENCIA]]</f>
        <v>0</v>
      </c>
      <c r="K197" s="36"/>
      <c r="L197" s="36"/>
      <c r="M197" s="36"/>
      <c r="N197" s="37" t="s">
        <v>392</v>
      </c>
      <c r="O197" s="37" t="s">
        <v>393</v>
      </c>
      <c r="P197" s="38"/>
      <c r="Q197" s="37" t="s">
        <v>468</v>
      </c>
      <c r="R197" s="37" t="s">
        <v>58</v>
      </c>
      <c r="S197" s="37" t="s">
        <v>395</v>
      </c>
      <c r="T197" s="31"/>
    </row>
    <row r="198" spans="1:20">
      <c r="A198" s="31"/>
      <c r="B198" s="32"/>
      <c r="C198" s="33"/>
      <c r="D198" s="32" t="s">
        <v>469</v>
      </c>
      <c r="E198" s="33" t="s">
        <v>116</v>
      </c>
      <c r="F198" s="34">
        <v>1</v>
      </c>
      <c r="G198" s="35">
        <v>0</v>
      </c>
      <c r="H198" s="35">
        <v>0</v>
      </c>
      <c r="I198" s="35">
        <f>Tabla1[[#This Row],[P.U. M.N.]]*Tabla1[[#This Row],[CANTIDADES DE REFERENCIA]]</f>
        <v>0</v>
      </c>
      <c r="J198" s="35">
        <f>Tabla1[[#This Row],[P.U. USD]]*Tabla1[[#This Row],[CANTIDADES DE REFERENCIA]]</f>
        <v>0</v>
      </c>
      <c r="K198" s="36"/>
      <c r="L198" s="36"/>
      <c r="M198" s="36"/>
      <c r="N198" s="37" t="s">
        <v>31</v>
      </c>
      <c r="O198" s="37"/>
      <c r="P198" s="38"/>
      <c r="Q198" s="37" t="s">
        <v>470</v>
      </c>
      <c r="R198" s="37" t="s">
        <v>389</v>
      </c>
      <c r="S198" s="37" t="s">
        <v>33</v>
      </c>
      <c r="T198" s="31"/>
    </row>
    <row r="199" spans="1:20">
      <c r="A199" s="31"/>
      <c r="B199" s="32"/>
      <c r="C199" s="33"/>
      <c r="D199" s="32" t="s">
        <v>471</v>
      </c>
      <c r="E199" s="33" t="s">
        <v>42</v>
      </c>
      <c r="F199" s="34">
        <v>1</v>
      </c>
      <c r="G199" s="35">
        <v>0</v>
      </c>
      <c r="H199" s="35">
        <v>0</v>
      </c>
      <c r="I199" s="35">
        <f>Tabla1[[#This Row],[P.U. M.N.]]*Tabla1[[#This Row],[CANTIDADES DE REFERENCIA]]</f>
        <v>0</v>
      </c>
      <c r="J199" s="35">
        <f>Tabla1[[#This Row],[P.U. USD]]*Tabla1[[#This Row],[CANTIDADES DE REFERENCIA]]</f>
        <v>0</v>
      </c>
      <c r="K199" s="36"/>
      <c r="L199" s="36"/>
      <c r="M199" s="36"/>
      <c r="N199" s="37" t="s">
        <v>31</v>
      </c>
      <c r="O199" s="37"/>
      <c r="P199" s="38"/>
      <c r="Q199" s="37" t="s">
        <v>472</v>
      </c>
      <c r="R199" s="37" t="s">
        <v>389</v>
      </c>
      <c r="S199" s="37" t="s">
        <v>33</v>
      </c>
      <c r="T199" s="31"/>
    </row>
    <row r="200" spans="1:20">
      <c r="A200" s="31"/>
      <c r="B200" s="32"/>
      <c r="C200" s="33"/>
      <c r="D200" s="32" t="s">
        <v>473</v>
      </c>
      <c r="E200" s="33" t="s">
        <v>42</v>
      </c>
      <c r="F200" s="34">
        <v>1</v>
      </c>
      <c r="G200" s="35">
        <v>0</v>
      </c>
      <c r="H200" s="35">
        <v>0</v>
      </c>
      <c r="I200" s="35">
        <f>Tabla1[[#This Row],[P.U. M.N.]]*Tabla1[[#This Row],[CANTIDADES DE REFERENCIA]]</f>
        <v>0</v>
      </c>
      <c r="J200" s="35">
        <f>Tabla1[[#This Row],[P.U. USD]]*Tabla1[[#This Row],[CANTIDADES DE REFERENCIA]]</f>
        <v>0</v>
      </c>
      <c r="K200" s="36"/>
      <c r="L200" s="36"/>
      <c r="M200" s="36"/>
      <c r="N200" s="37" t="s">
        <v>31</v>
      </c>
      <c r="O200" s="37"/>
      <c r="P200" s="38"/>
      <c r="Q200" s="37" t="s">
        <v>474</v>
      </c>
      <c r="R200" s="37" t="s">
        <v>389</v>
      </c>
      <c r="S200" s="37" t="s">
        <v>33</v>
      </c>
      <c r="T200" s="31"/>
    </row>
    <row r="201" spans="1:20">
      <c r="A201" s="31"/>
      <c r="B201" s="32"/>
      <c r="C201" s="33"/>
      <c r="D201" s="32" t="s">
        <v>475</v>
      </c>
      <c r="E201" s="33" t="s">
        <v>42</v>
      </c>
      <c r="F201" s="34">
        <v>1</v>
      </c>
      <c r="G201" s="35">
        <v>0</v>
      </c>
      <c r="H201" s="35">
        <v>0</v>
      </c>
      <c r="I201" s="35">
        <f>Tabla1[[#This Row],[P.U. M.N.]]*Tabla1[[#This Row],[CANTIDADES DE REFERENCIA]]</f>
        <v>0</v>
      </c>
      <c r="J201" s="35">
        <f>Tabla1[[#This Row],[P.U. USD]]*Tabla1[[#This Row],[CANTIDADES DE REFERENCIA]]</f>
        <v>0</v>
      </c>
      <c r="K201" s="36"/>
      <c r="L201" s="36"/>
      <c r="M201" s="36"/>
      <c r="N201" s="37" t="s">
        <v>31</v>
      </c>
      <c r="O201" s="37"/>
      <c r="P201" s="38"/>
      <c r="Q201" s="37" t="s">
        <v>476</v>
      </c>
      <c r="R201" s="37" t="s">
        <v>389</v>
      </c>
      <c r="S201" s="37" t="s">
        <v>33</v>
      </c>
      <c r="T201" s="31"/>
    </row>
    <row r="202" spans="1:20">
      <c r="A202" s="31"/>
      <c r="B202" s="32"/>
      <c r="C202" s="33"/>
      <c r="D202" s="32" t="s">
        <v>477</v>
      </c>
      <c r="E202" s="33" t="s">
        <v>42</v>
      </c>
      <c r="F202" s="34">
        <v>1</v>
      </c>
      <c r="G202" s="35">
        <v>0</v>
      </c>
      <c r="H202" s="35">
        <v>0</v>
      </c>
      <c r="I202" s="35">
        <f>Tabla1[[#This Row],[P.U. M.N.]]*Tabla1[[#This Row],[CANTIDADES DE REFERENCIA]]</f>
        <v>0</v>
      </c>
      <c r="J202" s="35">
        <f>Tabla1[[#This Row],[P.U. USD]]*Tabla1[[#This Row],[CANTIDADES DE REFERENCIA]]</f>
        <v>0</v>
      </c>
      <c r="K202" s="36"/>
      <c r="L202" s="36"/>
      <c r="M202" s="36"/>
      <c r="N202" s="37" t="s">
        <v>31</v>
      </c>
      <c r="O202" s="37"/>
      <c r="P202" s="38"/>
      <c r="Q202" s="37" t="s">
        <v>478</v>
      </c>
      <c r="R202" s="37" t="s">
        <v>389</v>
      </c>
      <c r="S202" s="37" t="s">
        <v>33</v>
      </c>
      <c r="T202" s="31"/>
    </row>
    <row r="203" spans="1:20">
      <c r="A203" s="31"/>
      <c r="B203" s="32"/>
      <c r="C203" s="33"/>
      <c r="D203" s="32" t="s">
        <v>479</v>
      </c>
      <c r="E203" s="33" t="s">
        <v>42</v>
      </c>
      <c r="F203" s="34">
        <v>1</v>
      </c>
      <c r="G203" s="35">
        <v>0</v>
      </c>
      <c r="H203" s="35">
        <v>0</v>
      </c>
      <c r="I203" s="35">
        <f>Tabla1[[#This Row],[P.U. M.N.]]*Tabla1[[#This Row],[CANTIDADES DE REFERENCIA]]</f>
        <v>0</v>
      </c>
      <c r="J203" s="35">
        <f>Tabla1[[#This Row],[P.U. USD]]*Tabla1[[#This Row],[CANTIDADES DE REFERENCIA]]</f>
        <v>0</v>
      </c>
      <c r="K203" s="36"/>
      <c r="L203" s="36"/>
      <c r="M203" s="36"/>
      <c r="N203" s="37" t="s">
        <v>480</v>
      </c>
      <c r="O203" s="37" t="s">
        <v>481</v>
      </c>
      <c r="P203" s="38"/>
      <c r="Q203" s="37" t="s">
        <v>482</v>
      </c>
      <c r="R203" s="37"/>
      <c r="S203" s="37" t="s">
        <v>483</v>
      </c>
      <c r="T203" s="31"/>
    </row>
    <row r="204" spans="1:20">
      <c r="A204" s="31"/>
      <c r="B204" s="32"/>
      <c r="C204" s="33"/>
      <c r="D204" s="32" t="s">
        <v>484</v>
      </c>
      <c r="E204" s="33" t="s">
        <v>61</v>
      </c>
      <c r="F204" s="34">
        <v>1</v>
      </c>
      <c r="G204" s="35">
        <v>0</v>
      </c>
      <c r="H204" s="35">
        <v>0</v>
      </c>
      <c r="I204" s="35">
        <f>Tabla1[[#This Row],[P.U. M.N.]]*Tabla1[[#This Row],[CANTIDADES DE REFERENCIA]]</f>
        <v>0</v>
      </c>
      <c r="J204" s="35">
        <f>Tabla1[[#This Row],[P.U. USD]]*Tabla1[[#This Row],[CANTIDADES DE REFERENCIA]]</f>
        <v>0</v>
      </c>
      <c r="K204" s="36"/>
      <c r="L204" s="36"/>
      <c r="M204" s="36"/>
      <c r="N204" s="37" t="s">
        <v>79</v>
      </c>
      <c r="O204" s="37" t="s">
        <v>80</v>
      </c>
      <c r="P204" s="38"/>
      <c r="Q204" s="37" t="s">
        <v>485</v>
      </c>
      <c r="R204" s="37"/>
      <c r="S204" s="37"/>
      <c r="T204" s="31"/>
    </row>
    <row r="205" spans="1:20">
      <c r="A205" s="31"/>
      <c r="B205" s="32"/>
      <c r="C205" s="33"/>
      <c r="D205" s="32" t="s">
        <v>486</v>
      </c>
      <c r="E205" s="33" t="s">
        <v>61</v>
      </c>
      <c r="F205" s="34">
        <v>1</v>
      </c>
      <c r="G205" s="35">
        <v>0</v>
      </c>
      <c r="H205" s="35">
        <v>0</v>
      </c>
      <c r="I205" s="35">
        <f>Tabla1[[#This Row],[P.U. M.N.]]*Tabla1[[#This Row],[CANTIDADES DE REFERENCIA]]</f>
        <v>0</v>
      </c>
      <c r="J205" s="35">
        <f>Tabla1[[#This Row],[P.U. USD]]*Tabla1[[#This Row],[CANTIDADES DE REFERENCIA]]</f>
        <v>0</v>
      </c>
      <c r="K205" s="36"/>
      <c r="L205" s="36"/>
      <c r="M205" s="36"/>
      <c r="N205" s="37" t="s">
        <v>79</v>
      </c>
      <c r="O205" s="37" t="s">
        <v>80</v>
      </c>
      <c r="P205" s="38"/>
      <c r="Q205" s="37" t="s">
        <v>487</v>
      </c>
      <c r="R205" s="37"/>
      <c r="S205" s="37"/>
      <c r="T205" s="31"/>
    </row>
    <row r="206" spans="1:20">
      <c r="A206" s="31"/>
      <c r="B206" s="32"/>
      <c r="C206" s="33"/>
      <c r="D206" s="32" t="s">
        <v>488</v>
      </c>
      <c r="E206" s="33" t="s">
        <v>135</v>
      </c>
      <c r="F206" s="34">
        <v>1</v>
      </c>
      <c r="G206" s="35">
        <v>0</v>
      </c>
      <c r="H206" s="35">
        <v>0</v>
      </c>
      <c r="I206" s="35">
        <f>Tabla1[[#This Row],[P.U. M.N.]]*Tabla1[[#This Row],[CANTIDADES DE REFERENCIA]]</f>
        <v>0</v>
      </c>
      <c r="J206" s="35">
        <f>Tabla1[[#This Row],[P.U. USD]]*Tabla1[[#This Row],[CANTIDADES DE REFERENCIA]]</f>
        <v>0</v>
      </c>
      <c r="K206" s="36"/>
      <c r="L206" s="36"/>
      <c r="M206" s="36"/>
      <c r="N206" s="37" t="s">
        <v>392</v>
      </c>
      <c r="O206" s="37" t="s">
        <v>393</v>
      </c>
      <c r="P206" s="38"/>
      <c r="Q206" s="37" t="s">
        <v>489</v>
      </c>
      <c r="R206" s="37" t="s">
        <v>58</v>
      </c>
      <c r="S206" s="37" t="s">
        <v>395</v>
      </c>
      <c r="T206" s="31"/>
    </row>
    <row r="207" spans="1:20">
      <c r="A207" s="31"/>
      <c r="B207" s="32"/>
      <c r="C207" s="33"/>
      <c r="D207" s="32" t="s">
        <v>490</v>
      </c>
      <c r="E207" s="33" t="s">
        <v>135</v>
      </c>
      <c r="F207" s="34">
        <v>1</v>
      </c>
      <c r="G207" s="35">
        <v>0</v>
      </c>
      <c r="H207" s="35">
        <v>0</v>
      </c>
      <c r="I207" s="35">
        <f>Tabla1[[#This Row],[P.U. M.N.]]*Tabla1[[#This Row],[CANTIDADES DE REFERENCIA]]</f>
        <v>0</v>
      </c>
      <c r="J207" s="35">
        <f>Tabla1[[#This Row],[P.U. USD]]*Tabla1[[#This Row],[CANTIDADES DE REFERENCIA]]</f>
        <v>0</v>
      </c>
      <c r="K207" s="36"/>
      <c r="L207" s="36"/>
      <c r="M207" s="36"/>
      <c r="N207" s="37" t="s">
        <v>392</v>
      </c>
      <c r="O207" s="37" t="s">
        <v>393</v>
      </c>
      <c r="P207" s="38"/>
      <c r="Q207" s="37" t="s">
        <v>491</v>
      </c>
      <c r="R207" s="37" t="s">
        <v>58</v>
      </c>
      <c r="S207" s="37" t="s">
        <v>395</v>
      </c>
      <c r="T207" s="31"/>
    </row>
    <row r="208" spans="1:20">
      <c r="A208" s="31"/>
      <c r="B208" s="32"/>
      <c r="C208" s="33"/>
      <c r="D208" s="32" t="s">
        <v>492</v>
      </c>
      <c r="E208" s="33" t="s">
        <v>135</v>
      </c>
      <c r="F208" s="34">
        <v>1</v>
      </c>
      <c r="G208" s="35">
        <v>0</v>
      </c>
      <c r="H208" s="35">
        <v>0</v>
      </c>
      <c r="I208" s="35">
        <f>Tabla1[[#This Row],[P.U. M.N.]]*Tabla1[[#This Row],[CANTIDADES DE REFERENCIA]]</f>
        <v>0</v>
      </c>
      <c r="J208" s="35">
        <f>Tabla1[[#This Row],[P.U. USD]]*Tabla1[[#This Row],[CANTIDADES DE REFERENCIA]]</f>
        <v>0</v>
      </c>
      <c r="K208" s="36"/>
      <c r="L208" s="36"/>
      <c r="M208" s="36"/>
      <c r="N208" s="37" t="s">
        <v>392</v>
      </c>
      <c r="O208" s="37" t="s">
        <v>393</v>
      </c>
      <c r="P208" s="38"/>
      <c r="Q208" s="37" t="s">
        <v>493</v>
      </c>
      <c r="R208" s="37" t="s">
        <v>58</v>
      </c>
      <c r="S208" s="37" t="s">
        <v>395</v>
      </c>
      <c r="T208" s="31"/>
    </row>
    <row r="209" spans="1:20">
      <c r="A209" s="31"/>
      <c r="B209" s="32"/>
      <c r="C209" s="33"/>
      <c r="D209" s="32" t="s">
        <v>494</v>
      </c>
      <c r="E209" s="33" t="s">
        <v>135</v>
      </c>
      <c r="F209" s="34">
        <v>1</v>
      </c>
      <c r="G209" s="35">
        <v>0</v>
      </c>
      <c r="H209" s="35">
        <v>0</v>
      </c>
      <c r="I209" s="35">
        <f>Tabla1[[#This Row],[P.U. M.N.]]*Tabla1[[#This Row],[CANTIDADES DE REFERENCIA]]</f>
        <v>0</v>
      </c>
      <c r="J209" s="35">
        <f>Tabla1[[#This Row],[P.U. USD]]*Tabla1[[#This Row],[CANTIDADES DE REFERENCIA]]</f>
        <v>0</v>
      </c>
      <c r="K209" s="36"/>
      <c r="L209" s="36"/>
      <c r="M209" s="36"/>
      <c r="N209" s="37" t="s">
        <v>392</v>
      </c>
      <c r="O209" s="37" t="s">
        <v>393</v>
      </c>
      <c r="P209" s="38"/>
      <c r="Q209" s="37" t="s">
        <v>495</v>
      </c>
      <c r="R209" s="37" t="s">
        <v>58</v>
      </c>
      <c r="S209" s="37" t="s">
        <v>395</v>
      </c>
      <c r="T209" s="31"/>
    </row>
    <row r="210" spans="1:20">
      <c r="A210" s="31"/>
      <c r="B210" s="32"/>
      <c r="C210" s="33"/>
      <c r="D210" s="32" t="s">
        <v>496</v>
      </c>
      <c r="E210" s="33" t="s">
        <v>116</v>
      </c>
      <c r="F210" s="34">
        <v>1</v>
      </c>
      <c r="G210" s="35">
        <v>0</v>
      </c>
      <c r="H210" s="35">
        <v>0</v>
      </c>
      <c r="I210" s="35">
        <f>Tabla1[[#This Row],[P.U. M.N.]]*Tabla1[[#This Row],[CANTIDADES DE REFERENCIA]]</f>
        <v>0</v>
      </c>
      <c r="J210" s="35">
        <f>Tabla1[[#This Row],[P.U. USD]]*Tabla1[[#This Row],[CANTIDADES DE REFERENCIA]]</f>
        <v>0</v>
      </c>
      <c r="K210" s="36"/>
      <c r="L210" s="36"/>
      <c r="M210" s="36"/>
      <c r="N210" s="37" t="s">
        <v>392</v>
      </c>
      <c r="O210" s="37" t="s">
        <v>393</v>
      </c>
      <c r="P210" s="38"/>
      <c r="Q210" s="37" t="s">
        <v>497</v>
      </c>
      <c r="R210" s="37" t="s">
        <v>58</v>
      </c>
      <c r="S210" s="37" t="s">
        <v>498</v>
      </c>
      <c r="T210" s="31"/>
    </row>
    <row r="211" spans="1:20">
      <c r="A211" s="31"/>
      <c r="B211" s="32"/>
      <c r="C211" s="33"/>
      <c r="D211" s="32" t="s">
        <v>499</v>
      </c>
      <c r="E211" s="33" t="s">
        <v>116</v>
      </c>
      <c r="F211" s="34">
        <v>1</v>
      </c>
      <c r="G211" s="35">
        <v>0</v>
      </c>
      <c r="H211" s="35">
        <v>0</v>
      </c>
      <c r="I211" s="35">
        <f>Tabla1[[#This Row],[P.U. M.N.]]*Tabla1[[#This Row],[CANTIDADES DE REFERENCIA]]</f>
        <v>0</v>
      </c>
      <c r="J211" s="35">
        <f>Tabla1[[#This Row],[P.U. USD]]*Tabla1[[#This Row],[CANTIDADES DE REFERENCIA]]</f>
        <v>0</v>
      </c>
      <c r="K211" s="36"/>
      <c r="L211" s="36"/>
      <c r="M211" s="36"/>
      <c r="N211" s="37" t="s">
        <v>392</v>
      </c>
      <c r="O211" s="37" t="s">
        <v>393</v>
      </c>
      <c r="P211" s="38"/>
      <c r="Q211" s="37" t="s">
        <v>500</v>
      </c>
      <c r="R211" s="37" t="s">
        <v>58</v>
      </c>
      <c r="S211" s="37" t="s">
        <v>498</v>
      </c>
      <c r="T211" s="31"/>
    </row>
    <row r="212" spans="1:20">
      <c r="A212" s="31"/>
      <c r="B212" s="32"/>
      <c r="C212" s="33"/>
      <c r="D212" s="32" t="s">
        <v>501</v>
      </c>
      <c r="E212" s="33" t="s">
        <v>116</v>
      </c>
      <c r="F212" s="34">
        <v>1</v>
      </c>
      <c r="G212" s="35">
        <v>0</v>
      </c>
      <c r="H212" s="35">
        <v>0</v>
      </c>
      <c r="I212" s="35">
        <f>Tabla1[[#This Row],[P.U. M.N.]]*Tabla1[[#This Row],[CANTIDADES DE REFERENCIA]]</f>
        <v>0</v>
      </c>
      <c r="J212" s="35">
        <f>Tabla1[[#This Row],[P.U. USD]]*Tabla1[[#This Row],[CANTIDADES DE REFERENCIA]]</f>
        <v>0</v>
      </c>
      <c r="K212" s="36"/>
      <c r="L212" s="36"/>
      <c r="M212" s="36"/>
      <c r="N212" s="37" t="s">
        <v>392</v>
      </c>
      <c r="O212" s="37" t="s">
        <v>393</v>
      </c>
      <c r="P212" s="38"/>
      <c r="Q212" s="37" t="s">
        <v>502</v>
      </c>
      <c r="R212" s="37" t="s">
        <v>58</v>
      </c>
      <c r="S212" s="37" t="s">
        <v>395</v>
      </c>
      <c r="T212" s="31"/>
    </row>
    <row r="213" spans="1:20">
      <c r="A213" s="31"/>
      <c r="B213" s="32"/>
      <c r="C213" s="33"/>
      <c r="D213" s="32" t="s">
        <v>503</v>
      </c>
      <c r="E213" s="33" t="s">
        <v>116</v>
      </c>
      <c r="F213" s="34">
        <v>1</v>
      </c>
      <c r="G213" s="35">
        <v>0</v>
      </c>
      <c r="H213" s="35">
        <v>0</v>
      </c>
      <c r="I213" s="35">
        <f>Tabla1[[#This Row],[P.U. M.N.]]*Tabla1[[#This Row],[CANTIDADES DE REFERENCIA]]</f>
        <v>0</v>
      </c>
      <c r="J213" s="35">
        <f>Tabla1[[#This Row],[P.U. USD]]*Tabla1[[#This Row],[CANTIDADES DE REFERENCIA]]</f>
        <v>0</v>
      </c>
      <c r="K213" s="36"/>
      <c r="L213" s="36"/>
      <c r="M213" s="36"/>
      <c r="N213" s="37" t="s">
        <v>392</v>
      </c>
      <c r="O213" s="37" t="s">
        <v>393</v>
      </c>
      <c r="P213" s="38"/>
      <c r="Q213" s="37" t="s">
        <v>504</v>
      </c>
      <c r="R213" s="37"/>
      <c r="S213" s="37" t="s">
        <v>395</v>
      </c>
      <c r="T213" s="31"/>
    </row>
    <row r="214" spans="1:20">
      <c r="A214" s="31"/>
      <c r="B214" s="32"/>
      <c r="C214" s="33"/>
      <c r="D214" s="32" t="s">
        <v>505</v>
      </c>
      <c r="E214" s="33" t="s">
        <v>116</v>
      </c>
      <c r="F214" s="34">
        <v>1</v>
      </c>
      <c r="G214" s="35">
        <v>0</v>
      </c>
      <c r="H214" s="35">
        <v>0</v>
      </c>
      <c r="I214" s="35">
        <f>Tabla1[[#This Row],[P.U. M.N.]]*Tabla1[[#This Row],[CANTIDADES DE REFERENCIA]]</f>
        <v>0</v>
      </c>
      <c r="J214" s="35">
        <f>Tabla1[[#This Row],[P.U. USD]]*Tabla1[[#This Row],[CANTIDADES DE REFERENCIA]]</f>
        <v>0</v>
      </c>
      <c r="K214" s="36"/>
      <c r="L214" s="36"/>
      <c r="M214" s="36"/>
      <c r="N214" s="37" t="s">
        <v>392</v>
      </c>
      <c r="O214" s="37" t="s">
        <v>393</v>
      </c>
      <c r="P214" s="38"/>
      <c r="Q214" s="37" t="s">
        <v>506</v>
      </c>
      <c r="R214" s="37" t="s">
        <v>58</v>
      </c>
      <c r="S214" s="37" t="s">
        <v>395</v>
      </c>
      <c r="T214" s="31"/>
    </row>
    <row r="215" spans="1:20">
      <c r="A215" s="31"/>
      <c r="B215" s="32"/>
      <c r="C215" s="33"/>
      <c r="D215" s="32" t="s">
        <v>507</v>
      </c>
      <c r="E215" s="33" t="s">
        <v>116</v>
      </c>
      <c r="F215" s="34">
        <v>1</v>
      </c>
      <c r="G215" s="35">
        <v>0</v>
      </c>
      <c r="H215" s="35">
        <v>0</v>
      </c>
      <c r="I215" s="35">
        <f>Tabla1[[#This Row],[P.U. M.N.]]*Tabla1[[#This Row],[CANTIDADES DE REFERENCIA]]</f>
        <v>0</v>
      </c>
      <c r="J215" s="35">
        <f>Tabla1[[#This Row],[P.U. USD]]*Tabla1[[#This Row],[CANTIDADES DE REFERENCIA]]</f>
        <v>0</v>
      </c>
      <c r="K215" s="36"/>
      <c r="L215" s="36"/>
      <c r="M215" s="36"/>
      <c r="N215" s="37" t="s">
        <v>392</v>
      </c>
      <c r="O215" s="37" t="s">
        <v>393</v>
      </c>
      <c r="P215" s="38"/>
      <c r="Q215" s="37" t="s">
        <v>508</v>
      </c>
      <c r="R215" s="37" t="s">
        <v>58</v>
      </c>
      <c r="S215" s="37" t="s">
        <v>395</v>
      </c>
      <c r="T215" s="31"/>
    </row>
    <row r="216" spans="1:20">
      <c r="A216" s="31"/>
      <c r="B216" s="32"/>
      <c r="C216" s="33"/>
      <c r="D216" s="32" t="s">
        <v>509</v>
      </c>
      <c r="E216" s="33" t="s">
        <v>116</v>
      </c>
      <c r="F216" s="34">
        <v>1</v>
      </c>
      <c r="G216" s="35">
        <v>0</v>
      </c>
      <c r="H216" s="35">
        <v>0</v>
      </c>
      <c r="I216" s="35">
        <f>Tabla1[[#This Row],[P.U. M.N.]]*Tabla1[[#This Row],[CANTIDADES DE REFERENCIA]]</f>
        <v>0</v>
      </c>
      <c r="J216" s="35">
        <f>Tabla1[[#This Row],[P.U. USD]]*Tabla1[[#This Row],[CANTIDADES DE REFERENCIA]]</f>
        <v>0</v>
      </c>
      <c r="K216" s="36"/>
      <c r="L216" s="36"/>
      <c r="M216" s="36"/>
      <c r="N216" s="37" t="s">
        <v>392</v>
      </c>
      <c r="O216" s="37" t="s">
        <v>393</v>
      </c>
      <c r="P216" s="38"/>
      <c r="Q216" s="37" t="s">
        <v>510</v>
      </c>
      <c r="R216" s="37"/>
      <c r="S216" s="37" t="s">
        <v>395</v>
      </c>
      <c r="T216" s="31"/>
    </row>
    <row r="217" spans="1:20">
      <c r="A217" s="31"/>
      <c r="B217" s="32"/>
      <c r="C217" s="33"/>
      <c r="D217" s="32" t="s">
        <v>511</v>
      </c>
      <c r="E217" s="33" t="s">
        <v>116</v>
      </c>
      <c r="F217" s="34">
        <v>1</v>
      </c>
      <c r="G217" s="35">
        <v>0</v>
      </c>
      <c r="H217" s="35">
        <v>0</v>
      </c>
      <c r="I217" s="35">
        <f>Tabla1[[#This Row],[P.U. M.N.]]*Tabla1[[#This Row],[CANTIDADES DE REFERENCIA]]</f>
        <v>0</v>
      </c>
      <c r="J217" s="35">
        <f>Tabla1[[#This Row],[P.U. USD]]*Tabla1[[#This Row],[CANTIDADES DE REFERENCIA]]</f>
        <v>0</v>
      </c>
      <c r="K217" s="36"/>
      <c r="L217" s="36"/>
      <c r="M217" s="36"/>
      <c r="N217" s="37" t="s">
        <v>392</v>
      </c>
      <c r="O217" s="37" t="s">
        <v>393</v>
      </c>
      <c r="P217" s="38"/>
      <c r="Q217" s="37" t="s">
        <v>512</v>
      </c>
      <c r="R217" s="37" t="s">
        <v>58</v>
      </c>
      <c r="S217" s="37" t="s">
        <v>395</v>
      </c>
      <c r="T217" s="31"/>
    </row>
    <row r="218" spans="1:20">
      <c r="A218" s="31"/>
      <c r="B218" s="32"/>
      <c r="C218" s="33"/>
      <c r="D218" s="32" t="s">
        <v>513</v>
      </c>
      <c r="E218" s="33" t="s">
        <v>116</v>
      </c>
      <c r="F218" s="34">
        <v>1</v>
      </c>
      <c r="G218" s="35">
        <v>0</v>
      </c>
      <c r="H218" s="35">
        <v>0</v>
      </c>
      <c r="I218" s="35">
        <f>Tabla1[[#This Row],[P.U. M.N.]]*Tabla1[[#This Row],[CANTIDADES DE REFERENCIA]]</f>
        <v>0</v>
      </c>
      <c r="J218" s="35">
        <f>Tabla1[[#This Row],[P.U. USD]]*Tabla1[[#This Row],[CANTIDADES DE REFERENCIA]]</f>
        <v>0</v>
      </c>
      <c r="K218" s="36"/>
      <c r="L218" s="36"/>
      <c r="M218" s="36"/>
      <c r="N218" s="37" t="s">
        <v>392</v>
      </c>
      <c r="O218" s="37" t="s">
        <v>393</v>
      </c>
      <c r="P218" s="38"/>
      <c r="Q218" s="37" t="s">
        <v>514</v>
      </c>
      <c r="R218" s="37" t="s">
        <v>58</v>
      </c>
      <c r="S218" s="37" t="s">
        <v>395</v>
      </c>
      <c r="T218" s="31"/>
    </row>
    <row r="219" spans="1:20">
      <c r="A219" s="31"/>
      <c r="B219" s="32"/>
      <c r="C219" s="33"/>
      <c r="D219" s="32" t="s">
        <v>515</v>
      </c>
      <c r="E219" s="33" t="s">
        <v>116</v>
      </c>
      <c r="F219" s="34">
        <v>1</v>
      </c>
      <c r="G219" s="35">
        <v>0</v>
      </c>
      <c r="H219" s="35">
        <v>0</v>
      </c>
      <c r="I219" s="35">
        <f>Tabla1[[#This Row],[P.U. M.N.]]*Tabla1[[#This Row],[CANTIDADES DE REFERENCIA]]</f>
        <v>0</v>
      </c>
      <c r="J219" s="35">
        <f>Tabla1[[#This Row],[P.U. USD]]*Tabla1[[#This Row],[CANTIDADES DE REFERENCIA]]</f>
        <v>0</v>
      </c>
      <c r="K219" s="36"/>
      <c r="L219" s="36"/>
      <c r="M219" s="36"/>
      <c r="N219" s="37" t="s">
        <v>392</v>
      </c>
      <c r="O219" s="37" t="s">
        <v>393</v>
      </c>
      <c r="P219" s="38"/>
      <c r="Q219" s="37" t="s">
        <v>516</v>
      </c>
      <c r="R219" s="37" t="s">
        <v>58</v>
      </c>
      <c r="S219" s="37" t="s">
        <v>395</v>
      </c>
      <c r="T219" s="31"/>
    </row>
    <row r="220" spans="1:20">
      <c r="A220" s="31"/>
      <c r="B220" s="32"/>
      <c r="C220" s="33"/>
      <c r="D220" s="32" t="s">
        <v>517</v>
      </c>
      <c r="E220" s="33" t="s">
        <v>116</v>
      </c>
      <c r="F220" s="34">
        <v>1</v>
      </c>
      <c r="G220" s="35">
        <v>0</v>
      </c>
      <c r="H220" s="35">
        <v>0</v>
      </c>
      <c r="I220" s="35">
        <f>Tabla1[[#This Row],[P.U. M.N.]]*Tabla1[[#This Row],[CANTIDADES DE REFERENCIA]]</f>
        <v>0</v>
      </c>
      <c r="J220" s="35">
        <f>Tabla1[[#This Row],[P.U. USD]]*Tabla1[[#This Row],[CANTIDADES DE REFERENCIA]]</f>
        <v>0</v>
      </c>
      <c r="K220" s="36"/>
      <c r="L220" s="36"/>
      <c r="M220" s="36"/>
      <c r="N220" s="37" t="s">
        <v>392</v>
      </c>
      <c r="O220" s="37" t="s">
        <v>393</v>
      </c>
      <c r="P220" s="38"/>
      <c r="Q220" s="37" t="s">
        <v>518</v>
      </c>
      <c r="R220" s="37" t="s">
        <v>58</v>
      </c>
      <c r="S220" s="37" t="s">
        <v>395</v>
      </c>
      <c r="T220" s="31"/>
    </row>
    <row r="221" spans="1:20">
      <c r="A221" s="31"/>
      <c r="B221" s="32"/>
      <c r="C221" s="33"/>
      <c r="D221" s="32" t="s">
        <v>519</v>
      </c>
      <c r="E221" s="33" t="s">
        <v>116</v>
      </c>
      <c r="F221" s="34">
        <v>1</v>
      </c>
      <c r="G221" s="35">
        <v>0</v>
      </c>
      <c r="H221" s="35">
        <v>0</v>
      </c>
      <c r="I221" s="35">
        <f>Tabla1[[#This Row],[P.U. M.N.]]*Tabla1[[#This Row],[CANTIDADES DE REFERENCIA]]</f>
        <v>0</v>
      </c>
      <c r="J221" s="35">
        <f>Tabla1[[#This Row],[P.U. USD]]*Tabla1[[#This Row],[CANTIDADES DE REFERENCIA]]</f>
        <v>0</v>
      </c>
      <c r="K221" s="36"/>
      <c r="L221" s="36"/>
      <c r="M221" s="36"/>
      <c r="N221" s="37" t="s">
        <v>392</v>
      </c>
      <c r="O221" s="37" t="s">
        <v>393</v>
      </c>
      <c r="P221" s="38"/>
      <c r="Q221" s="37" t="s">
        <v>520</v>
      </c>
      <c r="R221" s="37"/>
      <c r="S221" s="37" t="s">
        <v>395</v>
      </c>
      <c r="T221" s="31"/>
    </row>
    <row r="222" spans="1:20">
      <c r="A222" s="31"/>
      <c r="B222" s="32"/>
      <c r="C222" s="33"/>
      <c r="D222" s="32" t="s">
        <v>521</v>
      </c>
      <c r="E222" s="33" t="s">
        <v>54</v>
      </c>
      <c r="F222" s="34">
        <v>1</v>
      </c>
      <c r="G222" s="35">
        <v>0</v>
      </c>
      <c r="H222" s="35">
        <v>0</v>
      </c>
      <c r="I222" s="35">
        <f>Tabla1[[#This Row],[P.U. M.N.]]*Tabla1[[#This Row],[CANTIDADES DE REFERENCIA]]</f>
        <v>0</v>
      </c>
      <c r="J222" s="35">
        <f>Tabla1[[#This Row],[P.U. USD]]*Tabla1[[#This Row],[CANTIDADES DE REFERENCIA]]</f>
        <v>0</v>
      </c>
      <c r="K222" s="36"/>
      <c r="L222" s="36"/>
      <c r="M222" s="36"/>
      <c r="N222" s="37" t="s">
        <v>392</v>
      </c>
      <c r="O222" s="37" t="s">
        <v>393</v>
      </c>
      <c r="P222" s="38"/>
      <c r="Q222" s="37" t="s">
        <v>522</v>
      </c>
      <c r="R222" s="37"/>
      <c r="S222" s="37" t="s">
        <v>395</v>
      </c>
      <c r="T222" s="31"/>
    </row>
    <row r="223" spans="1:20">
      <c r="A223" s="31"/>
      <c r="B223" s="32"/>
      <c r="C223" s="33"/>
      <c r="D223" s="32" t="s">
        <v>523</v>
      </c>
      <c r="E223" s="33" t="s">
        <v>54</v>
      </c>
      <c r="F223" s="34">
        <v>1</v>
      </c>
      <c r="G223" s="35">
        <v>0</v>
      </c>
      <c r="H223" s="35">
        <v>0</v>
      </c>
      <c r="I223" s="35">
        <f>Tabla1[[#This Row],[P.U. M.N.]]*Tabla1[[#This Row],[CANTIDADES DE REFERENCIA]]</f>
        <v>0</v>
      </c>
      <c r="J223" s="35">
        <f>Tabla1[[#This Row],[P.U. USD]]*Tabla1[[#This Row],[CANTIDADES DE REFERENCIA]]</f>
        <v>0</v>
      </c>
      <c r="K223" s="36"/>
      <c r="L223" s="36"/>
      <c r="M223" s="36"/>
      <c r="N223" s="37" t="s">
        <v>392</v>
      </c>
      <c r="O223" s="37" t="s">
        <v>393</v>
      </c>
      <c r="P223" s="38"/>
      <c r="Q223" s="37" t="s">
        <v>524</v>
      </c>
      <c r="R223" s="37"/>
      <c r="S223" s="37" t="s">
        <v>395</v>
      </c>
      <c r="T223" s="31"/>
    </row>
    <row r="224" spans="1:20">
      <c r="A224" s="31"/>
      <c r="B224" s="32"/>
      <c r="C224" s="33"/>
      <c r="D224" s="32" t="s">
        <v>525</v>
      </c>
      <c r="E224" s="33" t="s">
        <v>54</v>
      </c>
      <c r="F224" s="34">
        <v>1</v>
      </c>
      <c r="G224" s="35">
        <v>0</v>
      </c>
      <c r="H224" s="35">
        <v>0</v>
      </c>
      <c r="I224" s="35">
        <f>Tabla1[[#This Row],[P.U. M.N.]]*Tabla1[[#This Row],[CANTIDADES DE REFERENCIA]]</f>
        <v>0</v>
      </c>
      <c r="J224" s="35">
        <f>Tabla1[[#This Row],[P.U. USD]]*Tabla1[[#This Row],[CANTIDADES DE REFERENCIA]]</f>
        <v>0</v>
      </c>
      <c r="K224" s="36"/>
      <c r="L224" s="36"/>
      <c r="M224" s="36"/>
      <c r="N224" s="37" t="s">
        <v>392</v>
      </c>
      <c r="O224" s="37" t="s">
        <v>393</v>
      </c>
      <c r="P224" s="38"/>
      <c r="Q224" s="37" t="s">
        <v>526</v>
      </c>
      <c r="R224" s="37"/>
      <c r="S224" s="37" t="s">
        <v>395</v>
      </c>
      <c r="T224" s="31"/>
    </row>
    <row r="225" spans="1:20">
      <c r="A225" s="31"/>
      <c r="B225" s="32"/>
      <c r="C225" s="33"/>
      <c r="D225" s="32" t="s">
        <v>527</v>
      </c>
      <c r="E225" s="33" t="s">
        <v>54</v>
      </c>
      <c r="F225" s="34">
        <v>1</v>
      </c>
      <c r="G225" s="35">
        <v>0</v>
      </c>
      <c r="H225" s="35">
        <v>0</v>
      </c>
      <c r="I225" s="35">
        <f>Tabla1[[#This Row],[P.U. M.N.]]*Tabla1[[#This Row],[CANTIDADES DE REFERENCIA]]</f>
        <v>0</v>
      </c>
      <c r="J225" s="35">
        <f>Tabla1[[#This Row],[P.U. USD]]*Tabla1[[#This Row],[CANTIDADES DE REFERENCIA]]</f>
        <v>0</v>
      </c>
      <c r="K225" s="36"/>
      <c r="L225" s="36"/>
      <c r="M225" s="36"/>
      <c r="N225" s="37" t="s">
        <v>392</v>
      </c>
      <c r="O225" s="37" t="s">
        <v>393</v>
      </c>
      <c r="P225" s="38"/>
      <c r="Q225" s="37" t="s">
        <v>528</v>
      </c>
      <c r="R225" s="37" t="s">
        <v>58</v>
      </c>
      <c r="S225" s="37" t="s">
        <v>395</v>
      </c>
      <c r="T225" s="31"/>
    </row>
    <row r="226" spans="1:20">
      <c r="A226" s="31"/>
      <c r="B226" s="32"/>
      <c r="C226" s="33"/>
      <c r="D226" s="32" t="s">
        <v>529</v>
      </c>
      <c r="E226" s="33" t="s">
        <v>116</v>
      </c>
      <c r="F226" s="34">
        <v>1</v>
      </c>
      <c r="G226" s="35">
        <v>0</v>
      </c>
      <c r="H226" s="35">
        <v>0</v>
      </c>
      <c r="I226" s="35">
        <f>Tabla1[[#This Row],[P.U. M.N.]]*Tabla1[[#This Row],[CANTIDADES DE REFERENCIA]]</f>
        <v>0</v>
      </c>
      <c r="J226" s="35">
        <f>Tabla1[[#This Row],[P.U. USD]]*Tabla1[[#This Row],[CANTIDADES DE REFERENCIA]]</f>
        <v>0</v>
      </c>
      <c r="K226" s="36"/>
      <c r="L226" s="36"/>
      <c r="M226" s="36"/>
      <c r="N226" s="37" t="s">
        <v>392</v>
      </c>
      <c r="O226" s="37" t="s">
        <v>393</v>
      </c>
      <c r="P226" s="38"/>
      <c r="Q226" s="37" t="s">
        <v>530</v>
      </c>
      <c r="R226" s="37" t="s">
        <v>58</v>
      </c>
      <c r="S226" s="37" t="s">
        <v>395</v>
      </c>
      <c r="T226" s="31"/>
    </row>
    <row r="227" spans="1:20">
      <c r="A227" s="31"/>
      <c r="B227" s="32"/>
      <c r="C227" s="33"/>
      <c r="D227" s="32" t="s">
        <v>531</v>
      </c>
      <c r="E227" s="33" t="s">
        <v>116</v>
      </c>
      <c r="F227" s="34">
        <v>1</v>
      </c>
      <c r="G227" s="35">
        <v>0</v>
      </c>
      <c r="H227" s="35">
        <v>0</v>
      </c>
      <c r="I227" s="35">
        <f>Tabla1[[#This Row],[P.U. M.N.]]*Tabla1[[#This Row],[CANTIDADES DE REFERENCIA]]</f>
        <v>0</v>
      </c>
      <c r="J227" s="35">
        <f>Tabla1[[#This Row],[P.U. USD]]*Tabla1[[#This Row],[CANTIDADES DE REFERENCIA]]</f>
        <v>0</v>
      </c>
      <c r="K227" s="36"/>
      <c r="L227" s="36"/>
      <c r="M227" s="36"/>
      <c r="N227" s="37" t="s">
        <v>392</v>
      </c>
      <c r="O227" s="37" t="s">
        <v>393</v>
      </c>
      <c r="P227" s="38"/>
      <c r="Q227" s="37" t="s">
        <v>532</v>
      </c>
      <c r="R227" s="37"/>
      <c r="S227" s="37" t="s">
        <v>395</v>
      </c>
      <c r="T227" s="31"/>
    </row>
    <row r="228" spans="1:20">
      <c r="A228" s="31"/>
      <c r="B228" s="32"/>
      <c r="C228" s="33"/>
      <c r="D228" s="32" t="s">
        <v>533</v>
      </c>
      <c r="E228" s="33" t="s">
        <v>116</v>
      </c>
      <c r="F228" s="34">
        <v>1</v>
      </c>
      <c r="G228" s="35">
        <v>0</v>
      </c>
      <c r="H228" s="35">
        <v>0</v>
      </c>
      <c r="I228" s="35">
        <f>Tabla1[[#This Row],[P.U. M.N.]]*Tabla1[[#This Row],[CANTIDADES DE REFERENCIA]]</f>
        <v>0</v>
      </c>
      <c r="J228" s="35">
        <f>Tabla1[[#This Row],[P.U. USD]]*Tabla1[[#This Row],[CANTIDADES DE REFERENCIA]]</f>
        <v>0</v>
      </c>
      <c r="K228" s="36"/>
      <c r="L228" s="36"/>
      <c r="M228" s="36"/>
      <c r="N228" s="37" t="s">
        <v>392</v>
      </c>
      <c r="O228" s="37" t="s">
        <v>393</v>
      </c>
      <c r="P228" s="38"/>
      <c r="Q228" s="37" t="s">
        <v>534</v>
      </c>
      <c r="R228" s="37" t="s">
        <v>58</v>
      </c>
      <c r="S228" s="37" t="s">
        <v>395</v>
      </c>
      <c r="T228" s="31"/>
    </row>
    <row r="229" spans="1:20">
      <c r="A229" s="31"/>
      <c r="B229" s="32"/>
      <c r="C229" s="33"/>
      <c r="D229" s="32" t="s">
        <v>535</v>
      </c>
      <c r="E229" s="33" t="s">
        <v>116</v>
      </c>
      <c r="F229" s="34">
        <v>1</v>
      </c>
      <c r="G229" s="35">
        <v>0</v>
      </c>
      <c r="H229" s="35">
        <v>0</v>
      </c>
      <c r="I229" s="35">
        <f>Tabla1[[#This Row],[P.U. M.N.]]*Tabla1[[#This Row],[CANTIDADES DE REFERENCIA]]</f>
        <v>0</v>
      </c>
      <c r="J229" s="35">
        <f>Tabla1[[#This Row],[P.U. USD]]*Tabla1[[#This Row],[CANTIDADES DE REFERENCIA]]</f>
        <v>0</v>
      </c>
      <c r="K229" s="36"/>
      <c r="L229" s="36"/>
      <c r="M229" s="36"/>
      <c r="N229" s="37" t="s">
        <v>392</v>
      </c>
      <c r="O229" s="37" t="s">
        <v>393</v>
      </c>
      <c r="P229" s="38"/>
      <c r="Q229" s="37" t="s">
        <v>536</v>
      </c>
      <c r="R229" s="37" t="s">
        <v>58</v>
      </c>
      <c r="S229" s="37" t="s">
        <v>395</v>
      </c>
      <c r="T229" s="31"/>
    </row>
    <row r="230" spans="1:20">
      <c r="A230" s="31"/>
      <c r="B230" s="32"/>
      <c r="C230" s="33"/>
      <c r="D230" s="32" t="s">
        <v>537</v>
      </c>
      <c r="E230" s="33" t="s">
        <v>367</v>
      </c>
      <c r="F230" s="34">
        <v>1</v>
      </c>
      <c r="G230" s="35">
        <v>0</v>
      </c>
      <c r="H230" s="35">
        <v>0</v>
      </c>
      <c r="I230" s="35">
        <f>Tabla1[[#This Row],[P.U. M.N.]]*Tabla1[[#This Row],[CANTIDADES DE REFERENCIA]]</f>
        <v>0</v>
      </c>
      <c r="J230" s="35">
        <f>Tabla1[[#This Row],[P.U. USD]]*Tabla1[[#This Row],[CANTIDADES DE REFERENCIA]]</f>
        <v>0</v>
      </c>
      <c r="K230" s="36"/>
      <c r="L230" s="36"/>
      <c r="M230" s="36"/>
      <c r="N230" s="37" t="s">
        <v>392</v>
      </c>
      <c r="O230" s="37" t="s">
        <v>393</v>
      </c>
      <c r="P230" s="38"/>
      <c r="Q230" s="37" t="s">
        <v>538</v>
      </c>
      <c r="R230" s="37"/>
      <c r="S230" s="37" t="s">
        <v>395</v>
      </c>
      <c r="T230" s="31"/>
    </row>
    <row r="231" spans="1:20">
      <c r="A231" s="31"/>
      <c r="B231" s="32"/>
      <c r="C231" s="33"/>
      <c r="D231" s="32" t="s">
        <v>539</v>
      </c>
      <c r="E231" s="33" t="s">
        <v>116</v>
      </c>
      <c r="F231" s="34">
        <v>1</v>
      </c>
      <c r="G231" s="35">
        <v>0</v>
      </c>
      <c r="H231" s="35">
        <v>0</v>
      </c>
      <c r="I231" s="35">
        <f>Tabla1[[#This Row],[P.U. M.N.]]*Tabla1[[#This Row],[CANTIDADES DE REFERENCIA]]</f>
        <v>0</v>
      </c>
      <c r="J231" s="35">
        <f>Tabla1[[#This Row],[P.U. USD]]*Tabla1[[#This Row],[CANTIDADES DE REFERENCIA]]</f>
        <v>0</v>
      </c>
      <c r="K231" s="36"/>
      <c r="L231" s="36"/>
      <c r="M231" s="36"/>
      <c r="N231" s="37" t="s">
        <v>392</v>
      </c>
      <c r="O231" s="37" t="s">
        <v>393</v>
      </c>
      <c r="P231" s="38"/>
      <c r="Q231" s="37" t="s">
        <v>540</v>
      </c>
      <c r="R231" s="37" t="s">
        <v>58</v>
      </c>
      <c r="S231" s="37" t="s">
        <v>395</v>
      </c>
      <c r="T231" s="31"/>
    </row>
    <row r="232" spans="1:20">
      <c r="A232" s="31"/>
      <c r="B232" s="32"/>
      <c r="C232" s="33"/>
      <c r="D232" s="32" t="s">
        <v>541</v>
      </c>
      <c r="E232" s="33" t="s">
        <v>42</v>
      </c>
      <c r="F232" s="34">
        <v>1</v>
      </c>
      <c r="G232" s="35">
        <v>0</v>
      </c>
      <c r="H232" s="35">
        <v>0</v>
      </c>
      <c r="I232" s="35">
        <f>Tabla1[[#This Row],[P.U. M.N.]]*Tabla1[[#This Row],[CANTIDADES DE REFERENCIA]]</f>
        <v>0</v>
      </c>
      <c r="J232" s="35">
        <f>Tabla1[[#This Row],[P.U. USD]]*Tabla1[[#This Row],[CANTIDADES DE REFERENCIA]]</f>
        <v>0</v>
      </c>
      <c r="K232" s="36"/>
      <c r="L232" s="36"/>
      <c r="M232" s="36"/>
      <c r="N232" s="37" t="s">
        <v>31</v>
      </c>
      <c r="O232" s="37"/>
      <c r="P232" s="38"/>
      <c r="Q232" s="37" t="s">
        <v>542</v>
      </c>
      <c r="R232" s="37" t="s">
        <v>389</v>
      </c>
      <c r="S232" s="37" t="s">
        <v>33</v>
      </c>
      <c r="T232" s="31"/>
    </row>
    <row r="233" spans="1:20">
      <c r="A233" s="31"/>
      <c r="B233" s="32"/>
      <c r="C233" s="33"/>
      <c r="D233" s="32" t="s">
        <v>543</v>
      </c>
      <c r="E233" s="33" t="s">
        <v>42</v>
      </c>
      <c r="F233" s="34">
        <v>1</v>
      </c>
      <c r="G233" s="35">
        <v>0</v>
      </c>
      <c r="H233" s="35">
        <v>0</v>
      </c>
      <c r="I233" s="35">
        <f>Tabla1[[#This Row],[P.U. M.N.]]*Tabla1[[#This Row],[CANTIDADES DE REFERENCIA]]</f>
        <v>0</v>
      </c>
      <c r="J233" s="35">
        <f>Tabla1[[#This Row],[P.U. USD]]*Tabla1[[#This Row],[CANTIDADES DE REFERENCIA]]</f>
        <v>0</v>
      </c>
      <c r="K233" s="36"/>
      <c r="L233" s="36"/>
      <c r="M233" s="36"/>
      <c r="N233" s="37" t="s">
        <v>31</v>
      </c>
      <c r="O233" s="37"/>
      <c r="P233" s="38"/>
      <c r="Q233" s="37" t="s">
        <v>544</v>
      </c>
      <c r="R233" s="37" t="s">
        <v>389</v>
      </c>
      <c r="S233" s="37" t="s">
        <v>33</v>
      </c>
      <c r="T233" s="31"/>
    </row>
    <row r="234" spans="1:20">
      <c r="A234" s="31"/>
      <c r="B234" s="32"/>
      <c r="C234" s="33"/>
      <c r="D234" s="32" t="s">
        <v>545</v>
      </c>
      <c r="E234" s="33" t="s">
        <v>42</v>
      </c>
      <c r="F234" s="34">
        <v>1</v>
      </c>
      <c r="G234" s="35">
        <v>0</v>
      </c>
      <c r="H234" s="35">
        <v>0</v>
      </c>
      <c r="I234" s="35">
        <f>Tabla1[[#This Row],[P.U. M.N.]]*Tabla1[[#This Row],[CANTIDADES DE REFERENCIA]]</f>
        <v>0</v>
      </c>
      <c r="J234" s="35">
        <f>Tabla1[[#This Row],[P.U. USD]]*Tabla1[[#This Row],[CANTIDADES DE REFERENCIA]]</f>
        <v>0</v>
      </c>
      <c r="K234" s="36"/>
      <c r="L234" s="36"/>
      <c r="M234" s="36"/>
      <c r="N234" s="37" t="s">
        <v>31</v>
      </c>
      <c r="O234" s="37"/>
      <c r="P234" s="38"/>
      <c r="Q234" s="37" t="s">
        <v>546</v>
      </c>
      <c r="R234" s="37" t="s">
        <v>389</v>
      </c>
      <c r="S234" s="37" t="s">
        <v>33</v>
      </c>
      <c r="T234" s="31"/>
    </row>
    <row r="235" spans="1:20">
      <c r="A235" s="31"/>
      <c r="B235" s="32"/>
      <c r="C235" s="33"/>
      <c r="D235" s="32" t="s">
        <v>547</v>
      </c>
      <c r="E235" s="33" t="s">
        <v>42</v>
      </c>
      <c r="F235" s="34">
        <v>1</v>
      </c>
      <c r="G235" s="35">
        <v>0</v>
      </c>
      <c r="H235" s="35">
        <v>0</v>
      </c>
      <c r="I235" s="35">
        <f>Tabla1[[#This Row],[P.U. M.N.]]*Tabla1[[#This Row],[CANTIDADES DE REFERENCIA]]</f>
        <v>0</v>
      </c>
      <c r="J235" s="35">
        <f>Tabla1[[#This Row],[P.U. USD]]*Tabla1[[#This Row],[CANTIDADES DE REFERENCIA]]</f>
        <v>0</v>
      </c>
      <c r="K235" s="36"/>
      <c r="L235" s="36"/>
      <c r="M235" s="36"/>
      <c r="N235" s="37"/>
      <c r="O235" s="37"/>
      <c r="P235" s="38"/>
      <c r="Q235" s="37" t="s">
        <v>548</v>
      </c>
      <c r="R235" s="37" t="s">
        <v>389</v>
      </c>
      <c r="S235" s="37" t="s">
        <v>549</v>
      </c>
      <c r="T235" s="31"/>
    </row>
    <row r="236" spans="1:20">
      <c r="A236" s="31"/>
      <c r="B236" s="32"/>
      <c r="C236" s="33"/>
      <c r="D236" s="32" t="s">
        <v>550</v>
      </c>
      <c r="E236" s="33" t="s">
        <v>42</v>
      </c>
      <c r="F236" s="34">
        <v>1</v>
      </c>
      <c r="G236" s="35">
        <v>0</v>
      </c>
      <c r="H236" s="35">
        <v>0</v>
      </c>
      <c r="I236" s="35">
        <f>Tabla1[[#This Row],[P.U. M.N.]]*Tabla1[[#This Row],[CANTIDADES DE REFERENCIA]]</f>
        <v>0</v>
      </c>
      <c r="J236" s="35">
        <f>Tabla1[[#This Row],[P.U. USD]]*Tabla1[[#This Row],[CANTIDADES DE REFERENCIA]]</f>
        <v>0</v>
      </c>
      <c r="K236" s="36"/>
      <c r="L236" s="36"/>
      <c r="M236" s="36"/>
      <c r="N236" s="37"/>
      <c r="O236" s="37"/>
      <c r="P236" s="38"/>
      <c r="Q236" s="37" t="s">
        <v>551</v>
      </c>
      <c r="R236" s="37" t="s">
        <v>389</v>
      </c>
      <c r="S236" s="37" t="s">
        <v>549</v>
      </c>
      <c r="T236" s="31"/>
    </row>
    <row r="237" spans="1:20">
      <c r="A237" s="31"/>
      <c r="B237" s="32"/>
      <c r="C237" s="33"/>
      <c r="D237" s="32" t="s">
        <v>552</v>
      </c>
      <c r="E237" s="33" t="s">
        <v>42</v>
      </c>
      <c r="F237" s="34">
        <v>1</v>
      </c>
      <c r="G237" s="35">
        <v>0</v>
      </c>
      <c r="H237" s="35">
        <v>0</v>
      </c>
      <c r="I237" s="35">
        <f>Tabla1[[#This Row],[P.U. M.N.]]*Tabla1[[#This Row],[CANTIDADES DE REFERENCIA]]</f>
        <v>0</v>
      </c>
      <c r="J237" s="35">
        <f>Tabla1[[#This Row],[P.U. USD]]*Tabla1[[#This Row],[CANTIDADES DE REFERENCIA]]</f>
        <v>0</v>
      </c>
      <c r="K237" s="36"/>
      <c r="L237" s="36"/>
      <c r="M237" s="36"/>
      <c r="N237" s="37"/>
      <c r="O237" s="37"/>
      <c r="P237" s="38"/>
      <c r="Q237" s="37" t="s">
        <v>553</v>
      </c>
      <c r="R237" s="37" t="s">
        <v>389</v>
      </c>
      <c r="S237" s="37" t="s">
        <v>549</v>
      </c>
      <c r="T237" s="31"/>
    </row>
    <row r="238" spans="1:20">
      <c r="A238" s="31"/>
      <c r="B238" s="32"/>
      <c r="C238" s="33"/>
      <c r="D238" s="32" t="s">
        <v>554</v>
      </c>
      <c r="E238" s="33" t="s">
        <v>42</v>
      </c>
      <c r="F238" s="34">
        <v>1</v>
      </c>
      <c r="G238" s="35">
        <v>0</v>
      </c>
      <c r="H238" s="35">
        <v>0</v>
      </c>
      <c r="I238" s="35">
        <f>Tabla1[[#This Row],[P.U. M.N.]]*Tabla1[[#This Row],[CANTIDADES DE REFERENCIA]]</f>
        <v>0</v>
      </c>
      <c r="J238" s="35">
        <f>Tabla1[[#This Row],[P.U. USD]]*Tabla1[[#This Row],[CANTIDADES DE REFERENCIA]]</f>
        <v>0</v>
      </c>
      <c r="K238" s="36"/>
      <c r="L238" s="36"/>
      <c r="M238" s="36"/>
      <c r="N238" s="37"/>
      <c r="O238" s="37"/>
      <c r="P238" s="38"/>
      <c r="Q238" s="37" t="s">
        <v>555</v>
      </c>
      <c r="R238" s="37" t="s">
        <v>389</v>
      </c>
      <c r="S238" s="37" t="s">
        <v>556</v>
      </c>
      <c r="T238" s="31"/>
    </row>
    <row r="239" spans="1:20">
      <c r="A239" s="31"/>
      <c r="B239" s="32"/>
      <c r="C239" s="33"/>
      <c r="D239" s="32" t="s">
        <v>557</v>
      </c>
      <c r="E239" s="33" t="s">
        <v>116</v>
      </c>
      <c r="F239" s="34">
        <v>1</v>
      </c>
      <c r="G239" s="35">
        <v>0</v>
      </c>
      <c r="H239" s="35">
        <v>0</v>
      </c>
      <c r="I239" s="35">
        <f>Tabla1[[#This Row],[P.U. M.N.]]*Tabla1[[#This Row],[CANTIDADES DE REFERENCIA]]</f>
        <v>0</v>
      </c>
      <c r="J239" s="35">
        <f>Tabla1[[#This Row],[P.U. USD]]*Tabla1[[#This Row],[CANTIDADES DE REFERENCIA]]</f>
        <v>0</v>
      </c>
      <c r="K239" s="36"/>
      <c r="L239" s="36"/>
      <c r="M239" s="36"/>
      <c r="N239" s="37"/>
      <c r="O239" s="37"/>
      <c r="P239" s="38"/>
      <c r="Q239" s="37" t="s">
        <v>558</v>
      </c>
      <c r="R239" s="37" t="s">
        <v>389</v>
      </c>
      <c r="S239" s="37" t="s">
        <v>559</v>
      </c>
      <c r="T239" s="31"/>
    </row>
    <row r="240" spans="1:20">
      <c r="A240" s="31"/>
      <c r="B240" s="32"/>
      <c r="C240" s="33"/>
      <c r="D240" s="32" t="s">
        <v>560</v>
      </c>
      <c r="E240" s="33" t="s">
        <v>116</v>
      </c>
      <c r="F240" s="34">
        <v>1</v>
      </c>
      <c r="G240" s="35">
        <v>0</v>
      </c>
      <c r="H240" s="35">
        <v>0</v>
      </c>
      <c r="I240" s="35">
        <f>Tabla1[[#This Row],[P.U. M.N.]]*Tabla1[[#This Row],[CANTIDADES DE REFERENCIA]]</f>
        <v>0</v>
      </c>
      <c r="J240" s="35">
        <f>Tabla1[[#This Row],[P.U. USD]]*Tabla1[[#This Row],[CANTIDADES DE REFERENCIA]]</f>
        <v>0</v>
      </c>
      <c r="K240" s="36"/>
      <c r="L240" s="36"/>
      <c r="M240" s="36"/>
      <c r="N240" s="37"/>
      <c r="O240" s="37"/>
      <c r="P240" s="38"/>
      <c r="Q240" s="37" t="s">
        <v>561</v>
      </c>
      <c r="R240" s="37" t="s">
        <v>389</v>
      </c>
      <c r="S240" s="37" t="s">
        <v>559</v>
      </c>
      <c r="T240" s="31"/>
    </row>
    <row r="241" spans="1:20">
      <c r="A241" s="31"/>
      <c r="B241" s="32"/>
      <c r="C241" s="33"/>
      <c r="D241" s="32" t="s">
        <v>562</v>
      </c>
      <c r="E241" s="33" t="s">
        <v>135</v>
      </c>
      <c r="F241" s="34">
        <v>1</v>
      </c>
      <c r="G241" s="35">
        <v>0</v>
      </c>
      <c r="H241" s="35">
        <v>0</v>
      </c>
      <c r="I241" s="35">
        <f>Tabla1[[#This Row],[P.U. M.N.]]*Tabla1[[#This Row],[CANTIDADES DE REFERENCIA]]</f>
        <v>0</v>
      </c>
      <c r="J241" s="35">
        <f>Tabla1[[#This Row],[P.U. USD]]*Tabla1[[#This Row],[CANTIDADES DE REFERENCIA]]</f>
        <v>0</v>
      </c>
      <c r="K241" s="36"/>
      <c r="L241" s="36"/>
      <c r="M241" s="36"/>
      <c r="N241" s="37" t="s">
        <v>392</v>
      </c>
      <c r="O241" s="37" t="s">
        <v>393</v>
      </c>
      <c r="P241" s="38"/>
      <c r="Q241" s="37" t="s">
        <v>563</v>
      </c>
      <c r="R241" s="37"/>
      <c r="S241" s="37" t="s">
        <v>564</v>
      </c>
      <c r="T241" s="31"/>
    </row>
    <row r="242" spans="1:20">
      <c r="A242" s="31"/>
      <c r="B242" s="32"/>
      <c r="C242" s="33"/>
      <c r="D242" s="32" t="s">
        <v>565</v>
      </c>
      <c r="E242" s="33" t="s">
        <v>135</v>
      </c>
      <c r="F242" s="34">
        <v>1</v>
      </c>
      <c r="G242" s="35">
        <v>0</v>
      </c>
      <c r="H242" s="35">
        <v>0</v>
      </c>
      <c r="I242" s="35">
        <f>Tabla1[[#This Row],[P.U. M.N.]]*Tabla1[[#This Row],[CANTIDADES DE REFERENCIA]]</f>
        <v>0</v>
      </c>
      <c r="J242" s="35">
        <f>Tabla1[[#This Row],[P.U. USD]]*Tabla1[[#This Row],[CANTIDADES DE REFERENCIA]]</f>
        <v>0</v>
      </c>
      <c r="K242" s="36"/>
      <c r="L242" s="36"/>
      <c r="M242" s="36"/>
      <c r="N242" s="37" t="s">
        <v>392</v>
      </c>
      <c r="O242" s="37" t="s">
        <v>393</v>
      </c>
      <c r="P242" s="38"/>
      <c r="Q242" s="37" t="s">
        <v>566</v>
      </c>
      <c r="R242" s="37"/>
      <c r="S242" s="37" t="s">
        <v>564</v>
      </c>
      <c r="T242" s="31"/>
    </row>
    <row r="243" spans="1:20">
      <c r="A243" s="31"/>
      <c r="B243" s="32"/>
      <c r="C243" s="33"/>
      <c r="D243" s="32" t="s">
        <v>567</v>
      </c>
      <c r="E243" s="33" t="s">
        <v>116</v>
      </c>
      <c r="F243" s="34">
        <v>1</v>
      </c>
      <c r="G243" s="35">
        <v>0</v>
      </c>
      <c r="H243" s="35">
        <v>0</v>
      </c>
      <c r="I243" s="35">
        <f>Tabla1[[#This Row],[P.U. M.N.]]*Tabla1[[#This Row],[CANTIDADES DE REFERENCIA]]</f>
        <v>0</v>
      </c>
      <c r="J243" s="35">
        <f>Tabla1[[#This Row],[P.U. USD]]*Tabla1[[#This Row],[CANTIDADES DE REFERENCIA]]</f>
        <v>0</v>
      </c>
      <c r="K243" s="36"/>
      <c r="L243" s="36"/>
      <c r="M243" s="36"/>
      <c r="N243" s="37" t="s">
        <v>392</v>
      </c>
      <c r="O243" s="37" t="s">
        <v>393</v>
      </c>
      <c r="P243" s="38"/>
      <c r="Q243" s="37" t="s">
        <v>568</v>
      </c>
      <c r="R243" s="37"/>
      <c r="S243" s="37" t="s">
        <v>564</v>
      </c>
      <c r="T243" s="31"/>
    </row>
    <row r="244" spans="1:20">
      <c r="A244" s="31"/>
      <c r="B244" s="32"/>
      <c r="C244" s="33"/>
      <c r="D244" s="32" t="s">
        <v>569</v>
      </c>
      <c r="E244" s="33" t="s">
        <v>116</v>
      </c>
      <c r="F244" s="34">
        <v>1</v>
      </c>
      <c r="G244" s="35">
        <v>0</v>
      </c>
      <c r="H244" s="35">
        <v>0</v>
      </c>
      <c r="I244" s="35">
        <f>Tabla1[[#This Row],[P.U. M.N.]]*Tabla1[[#This Row],[CANTIDADES DE REFERENCIA]]</f>
        <v>0</v>
      </c>
      <c r="J244" s="35">
        <f>Tabla1[[#This Row],[P.U. USD]]*Tabla1[[#This Row],[CANTIDADES DE REFERENCIA]]</f>
        <v>0</v>
      </c>
      <c r="K244" s="36"/>
      <c r="L244" s="36"/>
      <c r="M244" s="36"/>
      <c r="N244" s="37" t="s">
        <v>392</v>
      </c>
      <c r="O244" s="37" t="s">
        <v>393</v>
      </c>
      <c r="P244" s="38"/>
      <c r="Q244" s="37" t="s">
        <v>570</v>
      </c>
      <c r="R244" s="37"/>
      <c r="S244" s="37" t="s">
        <v>564</v>
      </c>
      <c r="T244" s="31"/>
    </row>
    <row r="245" spans="1:20">
      <c r="A245" s="31"/>
      <c r="B245" s="32"/>
      <c r="C245" s="33"/>
      <c r="D245" s="32" t="s">
        <v>571</v>
      </c>
      <c r="E245" s="33" t="s">
        <v>116</v>
      </c>
      <c r="F245" s="34">
        <v>1</v>
      </c>
      <c r="G245" s="35">
        <v>0</v>
      </c>
      <c r="H245" s="35">
        <v>0</v>
      </c>
      <c r="I245" s="35">
        <f>Tabla1[[#This Row],[P.U. M.N.]]*Tabla1[[#This Row],[CANTIDADES DE REFERENCIA]]</f>
        <v>0</v>
      </c>
      <c r="J245" s="35">
        <f>Tabla1[[#This Row],[P.U. USD]]*Tabla1[[#This Row],[CANTIDADES DE REFERENCIA]]</f>
        <v>0</v>
      </c>
      <c r="K245" s="36"/>
      <c r="L245" s="36"/>
      <c r="M245" s="36"/>
      <c r="N245" s="37" t="s">
        <v>392</v>
      </c>
      <c r="O245" s="37" t="s">
        <v>393</v>
      </c>
      <c r="P245" s="38"/>
      <c r="Q245" s="37" t="s">
        <v>572</v>
      </c>
      <c r="R245" s="37"/>
      <c r="S245" s="37" t="s">
        <v>564</v>
      </c>
      <c r="T245" s="31"/>
    </row>
    <row r="246" spans="1:20">
      <c r="A246" s="31"/>
      <c r="B246" s="32"/>
      <c r="C246" s="33"/>
      <c r="D246" s="32" t="s">
        <v>573</v>
      </c>
      <c r="E246" s="33" t="s">
        <v>116</v>
      </c>
      <c r="F246" s="34">
        <v>1</v>
      </c>
      <c r="G246" s="35">
        <v>0</v>
      </c>
      <c r="H246" s="35">
        <v>0</v>
      </c>
      <c r="I246" s="35">
        <f>Tabla1[[#This Row],[P.U. M.N.]]*Tabla1[[#This Row],[CANTIDADES DE REFERENCIA]]</f>
        <v>0</v>
      </c>
      <c r="J246" s="35">
        <f>Tabla1[[#This Row],[P.U. USD]]*Tabla1[[#This Row],[CANTIDADES DE REFERENCIA]]</f>
        <v>0</v>
      </c>
      <c r="K246" s="36"/>
      <c r="L246" s="36"/>
      <c r="M246" s="36"/>
      <c r="N246" s="37" t="s">
        <v>392</v>
      </c>
      <c r="O246" s="37" t="s">
        <v>393</v>
      </c>
      <c r="P246" s="38"/>
      <c r="Q246" s="37" t="s">
        <v>574</v>
      </c>
      <c r="R246" s="37"/>
      <c r="S246" s="37" t="s">
        <v>564</v>
      </c>
      <c r="T246" s="31"/>
    </row>
    <row r="247" spans="1:20">
      <c r="A247" s="31"/>
      <c r="B247" s="32"/>
      <c r="C247" s="33"/>
      <c r="D247" s="32" t="s">
        <v>575</v>
      </c>
      <c r="E247" s="33" t="s">
        <v>116</v>
      </c>
      <c r="F247" s="34">
        <v>1</v>
      </c>
      <c r="G247" s="35">
        <v>0</v>
      </c>
      <c r="H247" s="35">
        <v>0</v>
      </c>
      <c r="I247" s="35">
        <f>Tabla1[[#This Row],[P.U. M.N.]]*Tabla1[[#This Row],[CANTIDADES DE REFERENCIA]]</f>
        <v>0</v>
      </c>
      <c r="J247" s="35">
        <f>Tabla1[[#This Row],[P.U. USD]]*Tabla1[[#This Row],[CANTIDADES DE REFERENCIA]]</f>
        <v>0</v>
      </c>
      <c r="K247" s="36"/>
      <c r="L247" s="36"/>
      <c r="M247" s="36"/>
      <c r="N247" s="37" t="s">
        <v>392</v>
      </c>
      <c r="O247" s="37" t="s">
        <v>393</v>
      </c>
      <c r="P247" s="38"/>
      <c r="Q247" s="37" t="s">
        <v>576</v>
      </c>
      <c r="R247" s="37"/>
      <c r="S247" s="37" t="s">
        <v>564</v>
      </c>
      <c r="T247" s="31"/>
    </row>
    <row r="248" spans="1:20">
      <c r="A248" s="31"/>
      <c r="B248" s="32"/>
      <c r="C248" s="33"/>
      <c r="D248" s="32" t="s">
        <v>577</v>
      </c>
      <c r="E248" s="33" t="s">
        <v>116</v>
      </c>
      <c r="F248" s="34">
        <v>1</v>
      </c>
      <c r="G248" s="35">
        <v>0</v>
      </c>
      <c r="H248" s="35">
        <v>0</v>
      </c>
      <c r="I248" s="35">
        <f>Tabla1[[#This Row],[P.U. M.N.]]*Tabla1[[#This Row],[CANTIDADES DE REFERENCIA]]</f>
        <v>0</v>
      </c>
      <c r="J248" s="35">
        <f>Tabla1[[#This Row],[P.U. USD]]*Tabla1[[#This Row],[CANTIDADES DE REFERENCIA]]</f>
        <v>0</v>
      </c>
      <c r="K248" s="36"/>
      <c r="L248" s="36"/>
      <c r="M248" s="36"/>
      <c r="N248" s="37" t="s">
        <v>392</v>
      </c>
      <c r="O248" s="37" t="s">
        <v>393</v>
      </c>
      <c r="P248" s="38"/>
      <c r="Q248" s="37" t="s">
        <v>578</v>
      </c>
      <c r="R248" s="37"/>
      <c r="S248" s="37" t="s">
        <v>564</v>
      </c>
      <c r="T248" s="31"/>
    </row>
    <row r="249" spans="1:20">
      <c r="A249" s="31"/>
      <c r="B249" s="32"/>
      <c r="C249" s="33"/>
      <c r="D249" s="32" t="s">
        <v>496</v>
      </c>
      <c r="E249" s="33" t="s">
        <v>116</v>
      </c>
      <c r="F249" s="34">
        <v>1</v>
      </c>
      <c r="G249" s="35">
        <v>0</v>
      </c>
      <c r="H249" s="35">
        <v>0</v>
      </c>
      <c r="I249" s="35">
        <f>Tabla1[[#This Row],[P.U. M.N.]]*Tabla1[[#This Row],[CANTIDADES DE REFERENCIA]]</f>
        <v>0</v>
      </c>
      <c r="J249" s="35">
        <f>Tabla1[[#This Row],[P.U. USD]]*Tabla1[[#This Row],[CANTIDADES DE REFERENCIA]]</f>
        <v>0</v>
      </c>
      <c r="K249" s="36"/>
      <c r="L249" s="36"/>
      <c r="M249" s="36"/>
      <c r="N249" s="37" t="s">
        <v>392</v>
      </c>
      <c r="O249" s="37" t="s">
        <v>393</v>
      </c>
      <c r="P249" s="38"/>
      <c r="Q249" s="37" t="s">
        <v>579</v>
      </c>
      <c r="R249" s="37"/>
      <c r="S249" s="37" t="s">
        <v>564</v>
      </c>
      <c r="T249" s="31"/>
    </row>
    <row r="250" spans="1:20">
      <c r="A250" s="31"/>
      <c r="B250" s="32"/>
      <c r="C250" s="33"/>
      <c r="D250" s="32" t="s">
        <v>580</v>
      </c>
      <c r="E250" s="33" t="s">
        <v>116</v>
      </c>
      <c r="F250" s="34">
        <v>1</v>
      </c>
      <c r="G250" s="35">
        <v>0</v>
      </c>
      <c r="H250" s="35">
        <v>0</v>
      </c>
      <c r="I250" s="35">
        <f>Tabla1[[#This Row],[P.U. M.N.]]*Tabla1[[#This Row],[CANTIDADES DE REFERENCIA]]</f>
        <v>0</v>
      </c>
      <c r="J250" s="35">
        <f>Tabla1[[#This Row],[P.U. USD]]*Tabla1[[#This Row],[CANTIDADES DE REFERENCIA]]</f>
        <v>0</v>
      </c>
      <c r="K250" s="36"/>
      <c r="L250" s="36"/>
      <c r="M250" s="36"/>
      <c r="N250" s="37" t="s">
        <v>392</v>
      </c>
      <c r="O250" s="37" t="s">
        <v>393</v>
      </c>
      <c r="P250" s="38"/>
      <c r="Q250" s="37" t="s">
        <v>581</v>
      </c>
      <c r="R250" s="37"/>
      <c r="S250" s="37" t="s">
        <v>564</v>
      </c>
      <c r="T250" s="31"/>
    </row>
    <row r="251" spans="1:20">
      <c r="A251" s="31"/>
      <c r="B251" s="32"/>
      <c r="C251" s="33"/>
      <c r="D251" s="32" t="s">
        <v>582</v>
      </c>
      <c r="E251" s="33" t="s">
        <v>116</v>
      </c>
      <c r="F251" s="34">
        <v>1</v>
      </c>
      <c r="G251" s="35">
        <v>0</v>
      </c>
      <c r="H251" s="35">
        <v>0</v>
      </c>
      <c r="I251" s="35">
        <f>Tabla1[[#This Row],[P.U. M.N.]]*Tabla1[[#This Row],[CANTIDADES DE REFERENCIA]]</f>
        <v>0</v>
      </c>
      <c r="J251" s="35">
        <f>Tabla1[[#This Row],[P.U. USD]]*Tabla1[[#This Row],[CANTIDADES DE REFERENCIA]]</f>
        <v>0</v>
      </c>
      <c r="K251" s="36"/>
      <c r="L251" s="36"/>
      <c r="M251" s="36"/>
      <c r="N251" s="37" t="s">
        <v>392</v>
      </c>
      <c r="O251" s="37" t="s">
        <v>393</v>
      </c>
      <c r="P251" s="38"/>
      <c r="Q251" s="37" t="s">
        <v>583</v>
      </c>
      <c r="R251" s="37"/>
      <c r="S251" s="37" t="s">
        <v>564</v>
      </c>
      <c r="T251" s="31"/>
    </row>
    <row r="252" spans="1:20">
      <c r="A252" s="31"/>
      <c r="B252" s="32"/>
      <c r="C252" s="33"/>
      <c r="D252" s="32" t="s">
        <v>584</v>
      </c>
      <c r="E252" s="33" t="s">
        <v>116</v>
      </c>
      <c r="F252" s="34">
        <v>1</v>
      </c>
      <c r="G252" s="35">
        <v>0</v>
      </c>
      <c r="H252" s="35">
        <v>0</v>
      </c>
      <c r="I252" s="35">
        <f>Tabla1[[#This Row],[P.U. M.N.]]*Tabla1[[#This Row],[CANTIDADES DE REFERENCIA]]</f>
        <v>0</v>
      </c>
      <c r="J252" s="35">
        <f>Tabla1[[#This Row],[P.U. USD]]*Tabla1[[#This Row],[CANTIDADES DE REFERENCIA]]</f>
        <v>0</v>
      </c>
      <c r="K252" s="36"/>
      <c r="L252" s="36"/>
      <c r="M252" s="36"/>
      <c r="N252" s="37" t="s">
        <v>392</v>
      </c>
      <c r="O252" s="37" t="s">
        <v>393</v>
      </c>
      <c r="P252" s="38"/>
      <c r="Q252" s="37" t="s">
        <v>585</v>
      </c>
      <c r="R252" s="37"/>
      <c r="S252" s="37" t="s">
        <v>564</v>
      </c>
      <c r="T252" s="31"/>
    </row>
    <row r="253" spans="1:20">
      <c r="A253" s="31"/>
      <c r="B253" s="32"/>
      <c r="C253" s="33"/>
      <c r="D253" s="32" t="s">
        <v>586</v>
      </c>
      <c r="E253" s="33" t="s">
        <v>116</v>
      </c>
      <c r="F253" s="34">
        <v>1</v>
      </c>
      <c r="G253" s="35">
        <v>0</v>
      </c>
      <c r="H253" s="35">
        <v>0</v>
      </c>
      <c r="I253" s="35">
        <f>Tabla1[[#This Row],[P.U. M.N.]]*Tabla1[[#This Row],[CANTIDADES DE REFERENCIA]]</f>
        <v>0</v>
      </c>
      <c r="J253" s="35">
        <f>Tabla1[[#This Row],[P.U. USD]]*Tabla1[[#This Row],[CANTIDADES DE REFERENCIA]]</f>
        <v>0</v>
      </c>
      <c r="K253" s="36"/>
      <c r="L253" s="36"/>
      <c r="M253" s="36"/>
      <c r="N253" s="37" t="s">
        <v>392</v>
      </c>
      <c r="O253" s="37" t="s">
        <v>393</v>
      </c>
      <c r="P253" s="38"/>
      <c r="Q253" s="37" t="s">
        <v>587</v>
      </c>
      <c r="R253" s="37"/>
      <c r="S253" s="37" t="s">
        <v>564</v>
      </c>
      <c r="T253" s="31"/>
    </row>
    <row r="254" spans="1:20">
      <c r="A254" s="31"/>
      <c r="B254" s="32"/>
      <c r="C254" s="33"/>
      <c r="D254" s="32" t="s">
        <v>588</v>
      </c>
      <c r="E254" s="33" t="s">
        <v>42</v>
      </c>
      <c r="F254" s="34">
        <v>1</v>
      </c>
      <c r="G254" s="35">
        <v>0</v>
      </c>
      <c r="H254" s="35">
        <v>0</v>
      </c>
      <c r="I254" s="35">
        <f>Tabla1[[#This Row],[P.U. M.N.]]*Tabla1[[#This Row],[CANTIDADES DE REFERENCIA]]</f>
        <v>0</v>
      </c>
      <c r="J254" s="35">
        <f>Tabla1[[#This Row],[P.U. USD]]*Tabla1[[#This Row],[CANTIDADES DE REFERENCIA]]</f>
        <v>0</v>
      </c>
      <c r="K254" s="36"/>
      <c r="L254" s="36"/>
      <c r="M254" s="36"/>
      <c r="N254" s="37" t="s">
        <v>589</v>
      </c>
      <c r="O254" s="37"/>
      <c r="P254" s="38"/>
      <c r="Q254" s="37" t="s">
        <v>590</v>
      </c>
      <c r="R254" s="37"/>
      <c r="S254" s="37" t="s">
        <v>591</v>
      </c>
      <c r="T254" s="31"/>
    </row>
    <row r="255" spans="1:20">
      <c r="A255" s="31"/>
      <c r="B255" s="32"/>
      <c r="C255" s="33"/>
      <c r="D255" s="32" t="s">
        <v>592</v>
      </c>
      <c r="E255" s="33" t="s">
        <v>42</v>
      </c>
      <c r="F255" s="34">
        <v>1</v>
      </c>
      <c r="G255" s="35">
        <v>0</v>
      </c>
      <c r="H255" s="35">
        <v>0</v>
      </c>
      <c r="I255" s="35">
        <f>Tabla1[[#This Row],[P.U. M.N.]]*Tabla1[[#This Row],[CANTIDADES DE REFERENCIA]]</f>
        <v>0</v>
      </c>
      <c r="J255" s="35">
        <f>Tabla1[[#This Row],[P.U. USD]]*Tabla1[[#This Row],[CANTIDADES DE REFERENCIA]]</f>
        <v>0</v>
      </c>
      <c r="K255" s="36"/>
      <c r="L255" s="36"/>
      <c r="M255" s="36"/>
      <c r="N255" s="37" t="s">
        <v>589</v>
      </c>
      <c r="O255" s="37"/>
      <c r="P255" s="38"/>
      <c r="Q255" s="37" t="s">
        <v>593</v>
      </c>
      <c r="R255" s="37"/>
      <c r="S255" s="37" t="s">
        <v>591</v>
      </c>
      <c r="T255" s="31"/>
    </row>
    <row r="256" spans="1:20">
      <c r="A256" s="31"/>
      <c r="B256" s="32"/>
      <c r="C256" s="33"/>
      <c r="D256" s="32" t="s">
        <v>594</v>
      </c>
      <c r="E256" s="33" t="s">
        <v>130</v>
      </c>
      <c r="F256" s="34">
        <v>1</v>
      </c>
      <c r="G256" s="35">
        <v>0</v>
      </c>
      <c r="H256" s="35">
        <v>0</v>
      </c>
      <c r="I256" s="35">
        <f>Tabla1[[#This Row],[P.U. M.N.]]*Tabla1[[#This Row],[CANTIDADES DE REFERENCIA]]</f>
        <v>0</v>
      </c>
      <c r="J256" s="35">
        <f>Tabla1[[#This Row],[P.U. USD]]*Tabla1[[#This Row],[CANTIDADES DE REFERENCIA]]</f>
        <v>0</v>
      </c>
      <c r="K256" s="36"/>
      <c r="L256" s="36"/>
      <c r="M256" s="36"/>
      <c r="N256" s="37" t="s">
        <v>589</v>
      </c>
      <c r="O256" s="37"/>
      <c r="P256" s="38"/>
      <c r="Q256" s="37" t="s">
        <v>595</v>
      </c>
      <c r="R256" s="37"/>
      <c r="S256" s="37" t="s">
        <v>591</v>
      </c>
      <c r="T256" s="31"/>
    </row>
    <row r="257" spans="1:20">
      <c r="A257" s="31"/>
      <c r="B257" s="32"/>
      <c r="C257" s="33"/>
      <c r="D257" s="32" t="s">
        <v>596</v>
      </c>
      <c r="E257" s="33" t="s">
        <v>42</v>
      </c>
      <c r="F257" s="34">
        <v>1</v>
      </c>
      <c r="G257" s="35">
        <v>0</v>
      </c>
      <c r="H257" s="35">
        <v>0</v>
      </c>
      <c r="I257" s="35">
        <f>Tabla1[[#This Row],[P.U. M.N.]]*Tabla1[[#This Row],[CANTIDADES DE REFERENCIA]]</f>
        <v>0</v>
      </c>
      <c r="J257" s="35">
        <f>Tabla1[[#This Row],[P.U. USD]]*Tabla1[[#This Row],[CANTIDADES DE REFERENCIA]]</f>
        <v>0</v>
      </c>
      <c r="K257" s="36"/>
      <c r="L257" s="36"/>
      <c r="M257" s="36"/>
      <c r="N257" s="37" t="s">
        <v>589</v>
      </c>
      <c r="O257" s="37"/>
      <c r="P257" s="38"/>
      <c r="Q257" s="37" t="s">
        <v>597</v>
      </c>
      <c r="R257" s="37"/>
      <c r="S257" s="37" t="s">
        <v>591</v>
      </c>
      <c r="T257" s="31"/>
    </row>
    <row r="258" spans="1:20">
      <c r="A258" s="31"/>
      <c r="B258" s="32"/>
      <c r="C258" s="33"/>
      <c r="D258" s="32" t="s">
        <v>598</v>
      </c>
      <c r="E258" s="33" t="s">
        <v>42</v>
      </c>
      <c r="F258" s="34">
        <v>1</v>
      </c>
      <c r="G258" s="35">
        <v>0</v>
      </c>
      <c r="H258" s="35">
        <v>0</v>
      </c>
      <c r="I258" s="35">
        <f>Tabla1[[#This Row],[P.U. M.N.]]*Tabla1[[#This Row],[CANTIDADES DE REFERENCIA]]</f>
        <v>0</v>
      </c>
      <c r="J258" s="35">
        <f>Tabla1[[#This Row],[P.U. USD]]*Tabla1[[#This Row],[CANTIDADES DE REFERENCIA]]</f>
        <v>0</v>
      </c>
      <c r="K258" s="36"/>
      <c r="L258" s="36"/>
      <c r="M258" s="36"/>
      <c r="N258" s="37" t="s">
        <v>599</v>
      </c>
      <c r="O258" s="37" t="s">
        <v>600</v>
      </c>
      <c r="P258" s="38"/>
      <c r="Q258" s="37" t="s">
        <v>601</v>
      </c>
      <c r="R258" s="37" t="s">
        <v>58</v>
      </c>
      <c r="S258" s="37" t="s">
        <v>602</v>
      </c>
      <c r="T258" s="31"/>
    </row>
    <row r="259" spans="1:20">
      <c r="A259" s="31"/>
      <c r="B259" s="32"/>
      <c r="C259" s="33"/>
      <c r="D259" s="32" t="s">
        <v>603</v>
      </c>
      <c r="E259" s="33" t="s">
        <v>54</v>
      </c>
      <c r="F259" s="34">
        <v>1</v>
      </c>
      <c r="G259" s="35">
        <v>0</v>
      </c>
      <c r="H259" s="35">
        <v>0</v>
      </c>
      <c r="I259" s="35">
        <f>Tabla1[[#This Row],[P.U. M.N.]]*Tabla1[[#This Row],[CANTIDADES DE REFERENCIA]]</f>
        <v>0</v>
      </c>
      <c r="J259" s="35">
        <f>Tabla1[[#This Row],[P.U. USD]]*Tabla1[[#This Row],[CANTIDADES DE REFERENCIA]]</f>
        <v>0</v>
      </c>
      <c r="K259" s="36"/>
      <c r="L259" s="36"/>
      <c r="M259" s="36"/>
      <c r="N259" s="37" t="s">
        <v>392</v>
      </c>
      <c r="O259" s="37" t="s">
        <v>393</v>
      </c>
      <c r="P259" s="38"/>
      <c r="Q259" s="37" t="s">
        <v>604</v>
      </c>
      <c r="R259" s="37"/>
      <c r="S259" s="37" t="s">
        <v>395</v>
      </c>
      <c r="T259" s="31"/>
    </row>
    <row r="260" spans="1:20">
      <c r="A260" s="31"/>
      <c r="B260" s="32"/>
      <c r="C260" s="33"/>
      <c r="D260" s="32" t="s">
        <v>605</v>
      </c>
      <c r="E260" s="33" t="s">
        <v>135</v>
      </c>
      <c r="F260" s="34">
        <v>1</v>
      </c>
      <c r="G260" s="35">
        <v>0</v>
      </c>
      <c r="H260" s="35">
        <v>0</v>
      </c>
      <c r="I260" s="35">
        <f>Tabla1[[#This Row],[P.U. M.N.]]*Tabla1[[#This Row],[CANTIDADES DE REFERENCIA]]</f>
        <v>0</v>
      </c>
      <c r="J260" s="35">
        <f>Tabla1[[#This Row],[P.U. USD]]*Tabla1[[#This Row],[CANTIDADES DE REFERENCIA]]</f>
        <v>0</v>
      </c>
      <c r="K260" s="36"/>
      <c r="L260" s="36"/>
      <c r="M260" s="36"/>
      <c r="N260" s="37" t="s">
        <v>392</v>
      </c>
      <c r="O260" s="37" t="s">
        <v>393</v>
      </c>
      <c r="P260" s="38"/>
      <c r="Q260" s="37" t="s">
        <v>606</v>
      </c>
      <c r="R260" s="37"/>
      <c r="S260" s="37" t="s">
        <v>395</v>
      </c>
      <c r="T260" s="31"/>
    </row>
    <row r="261" spans="1:20">
      <c r="A261" s="31"/>
      <c r="B261" s="32"/>
      <c r="C261" s="33"/>
      <c r="D261" s="32" t="s">
        <v>607</v>
      </c>
      <c r="E261" s="33" t="s">
        <v>116</v>
      </c>
      <c r="F261" s="34">
        <v>1</v>
      </c>
      <c r="G261" s="35">
        <v>0</v>
      </c>
      <c r="H261" s="35">
        <v>0</v>
      </c>
      <c r="I261" s="35">
        <f>Tabla1[[#This Row],[P.U. M.N.]]*Tabla1[[#This Row],[CANTIDADES DE REFERENCIA]]</f>
        <v>0</v>
      </c>
      <c r="J261" s="35">
        <f>Tabla1[[#This Row],[P.U. USD]]*Tabla1[[#This Row],[CANTIDADES DE REFERENCIA]]</f>
        <v>0</v>
      </c>
      <c r="K261" s="36"/>
      <c r="L261" s="36"/>
      <c r="M261" s="36"/>
      <c r="N261" s="37" t="s">
        <v>392</v>
      </c>
      <c r="O261" s="37" t="s">
        <v>393</v>
      </c>
      <c r="P261" s="38"/>
      <c r="Q261" s="37" t="s">
        <v>608</v>
      </c>
      <c r="R261" s="37"/>
      <c r="S261" s="37" t="s">
        <v>395</v>
      </c>
      <c r="T261" s="31"/>
    </row>
    <row r="262" spans="1:20">
      <c r="A262" s="31"/>
      <c r="B262" s="32"/>
      <c r="C262" s="33"/>
      <c r="D262" s="32" t="s">
        <v>609</v>
      </c>
      <c r="E262" s="33" t="s">
        <v>116</v>
      </c>
      <c r="F262" s="34">
        <v>1</v>
      </c>
      <c r="G262" s="35">
        <v>0</v>
      </c>
      <c r="H262" s="35">
        <v>0</v>
      </c>
      <c r="I262" s="35">
        <f>Tabla1[[#This Row],[P.U. M.N.]]*Tabla1[[#This Row],[CANTIDADES DE REFERENCIA]]</f>
        <v>0</v>
      </c>
      <c r="J262" s="35">
        <f>Tabla1[[#This Row],[P.U. USD]]*Tabla1[[#This Row],[CANTIDADES DE REFERENCIA]]</f>
        <v>0</v>
      </c>
      <c r="K262" s="36"/>
      <c r="L262" s="36"/>
      <c r="M262" s="36"/>
      <c r="N262" s="37" t="s">
        <v>392</v>
      </c>
      <c r="O262" s="37" t="s">
        <v>393</v>
      </c>
      <c r="P262" s="38"/>
      <c r="Q262" s="37" t="s">
        <v>610</v>
      </c>
      <c r="R262" s="37"/>
      <c r="S262" s="37" t="s">
        <v>395</v>
      </c>
      <c r="T262" s="31"/>
    </row>
    <row r="263" spans="1:20">
      <c r="A263" s="31"/>
      <c r="B263" s="32"/>
      <c r="C263" s="33"/>
      <c r="D263" s="32" t="s">
        <v>611</v>
      </c>
      <c r="E263" s="33" t="s">
        <v>116</v>
      </c>
      <c r="F263" s="34">
        <v>1</v>
      </c>
      <c r="G263" s="35">
        <v>0</v>
      </c>
      <c r="H263" s="35">
        <v>0</v>
      </c>
      <c r="I263" s="35">
        <f>Tabla1[[#This Row],[P.U. M.N.]]*Tabla1[[#This Row],[CANTIDADES DE REFERENCIA]]</f>
        <v>0</v>
      </c>
      <c r="J263" s="35">
        <f>Tabla1[[#This Row],[P.U. USD]]*Tabla1[[#This Row],[CANTIDADES DE REFERENCIA]]</f>
        <v>0</v>
      </c>
      <c r="K263" s="36"/>
      <c r="L263" s="36"/>
      <c r="M263" s="36"/>
      <c r="N263" s="37" t="s">
        <v>392</v>
      </c>
      <c r="O263" s="37" t="s">
        <v>393</v>
      </c>
      <c r="P263" s="38"/>
      <c r="Q263" s="37" t="s">
        <v>612</v>
      </c>
      <c r="R263" s="37" t="s">
        <v>58</v>
      </c>
      <c r="S263" s="37" t="s">
        <v>395</v>
      </c>
      <c r="T263" s="31"/>
    </row>
    <row r="264" spans="1:20">
      <c r="A264" s="31"/>
      <c r="B264" s="32"/>
      <c r="C264" s="33"/>
      <c r="D264" s="32" t="s">
        <v>613</v>
      </c>
      <c r="E264" s="33" t="s">
        <v>116</v>
      </c>
      <c r="F264" s="34">
        <v>1</v>
      </c>
      <c r="G264" s="35">
        <v>0</v>
      </c>
      <c r="H264" s="35">
        <v>0</v>
      </c>
      <c r="I264" s="35">
        <f>Tabla1[[#This Row],[P.U. M.N.]]*Tabla1[[#This Row],[CANTIDADES DE REFERENCIA]]</f>
        <v>0</v>
      </c>
      <c r="J264" s="35">
        <f>Tabla1[[#This Row],[P.U. USD]]*Tabla1[[#This Row],[CANTIDADES DE REFERENCIA]]</f>
        <v>0</v>
      </c>
      <c r="K264" s="36"/>
      <c r="L264" s="36"/>
      <c r="M264" s="36"/>
      <c r="N264" s="37" t="s">
        <v>392</v>
      </c>
      <c r="O264" s="37" t="s">
        <v>393</v>
      </c>
      <c r="P264" s="38"/>
      <c r="Q264" s="37" t="s">
        <v>614</v>
      </c>
      <c r="R264" s="37"/>
      <c r="S264" s="37" t="s">
        <v>395</v>
      </c>
      <c r="T264" s="31"/>
    </row>
    <row r="265" spans="1:20">
      <c r="A265" s="31"/>
      <c r="B265" s="32"/>
      <c r="C265" s="33"/>
      <c r="D265" s="32" t="s">
        <v>615</v>
      </c>
      <c r="E265" s="33" t="s">
        <v>116</v>
      </c>
      <c r="F265" s="34">
        <v>1</v>
      </c>
      <c r="G265" s="35">
        <v>0</v>
      </c>
      <c r="H265" s="35">
        <v>0</v>
      </c>
      <c r="I265" s="35">
        <f>Tabla1[[#This Row],[P.U. M.N.]]*Tabla1[[#This Row],[CANTIDADES DE REFERENCIA]]</f>
        <v>0</v>
      </c>
      <c r="J265" s="35">
        <f>Tabla1[[#This Row],[P.U. USD]]*Tabla1[[#This Row],[CANTIDADES DE REFERENCIA]]</f>
        <v>0</v>
      </c>
      <c r="K265" s="36"/>
      <c r="L265" s="36"/>
      <c r="M265" s="36"/>
      <c r="N265" s="37" t="s">
        <v>392</v>
      </c>
      <c r="O265" s="37" t="s">
        <v>393</v>
      </c>
      <c r="P265" s="38"/>
      <c r="Q265" s="37" t="s">
        <v>616</v>
      </c>
      <c r="R265" s="37"/>
      <c r="S265" s="37" t="s">
        <v>395</v>
      </c>
      <c r="T265" s="31"/>
    </row>
    <row r="266" spans="1:20">
      <c r="A266" s="31"/>
      <c r="B266" s="32"/>
      <c r="C266" s="33"/>
      <c r="D266" s="32" t="s">
        <v>617</v>
      </c>
      <c r="E266" s="33" t="s">
        <v>116</v>
      </c>
      <c r="F266" s="34">
        <v>1</v>
      </c>
      <c r="G266" s="35">
        <v>0</v>
      </c>
      <c r="H266" s="35">
        <v>0</v>
      </c>
      <c r="I266" s="35">
        <f>Tabla1[[#This Row],[P.U. M.N.]]*Tabla1[[#This Row],[CANTIDADES DE REFERENCIA]]</f>
        <v>0</v>
      </c>
      <c r="J266" s="35">
        <f>Tabla1[[#This Row],[P.U. USD]]*Tabla1[[#This Row],[CANTIDADES DE REFERENCIA]]</f>
        <v>0</v>
      </c>
      <c r="K266" s="36"/>
      <c r="L266" s="36"/>
      <c r="M266" s="36"/>
      <c r="N266" s="37" t="s">
        <v>392</v>
      </c>
      <c r="O266" s="37" t="s">
        <v>393</v>
      </c>
      <c r="P266" s="38"/>
      <c r="Q266" s="37" t="s">
        <v>618</v>
      </c>
      <c r="R266" s="37"/>
      <c r="S266" s="37" t="s">
        <v>395</v>
      </c>
      <c r="T266" s="31"/>
    </row>
    <row r="267" spans="1:20">
      <c r="A267" s="31"/>
      <c r="B267" s="32"/>
      <c r="C267" s="33"/>
      <c r="D267" s="32" t="s">
        <v>619</v>
      </c>
      <c r="E267" s="33" t="s">
        <v>116</v>
      </c>
      <c r="F267" s="34">
        <v>1</v>
      </c>
      <c r="G267" s="35">
        <v>0</v>
      </c>
      <c r="H267" s="35">
        <v>0</v>
      </c>
      <c r="I267" s="35">
        <f>Tabla1[[#This Row],[P.U. M.N.]]*Tabla1[[#This Row],[CANTIDADES DE REFERENCIA]]</f>
        <v>0</v>
      </c>
      <c r="J267" s="35">
        <f>Tabla1[[#This Row],[P.U. USD]]*Tabla1[[#This Row],[CANTIDADES DE REFERENCIA]]</f>
        <v>0</v>
      </c>
      <c r="K267" s="36"/>
      <c r="L267" s="36"/>
      <c r="M267" s="36"/>
      <c r="N267" s="37" t="s">
        <v>392</v>
      </c>
      <c r="O267" s="37" t="s">
        <v>393</v>
      </c>
      <c r="P267" s="38"/>
      <c r="Q267" s="37" t="s">
        <v>620</v>
      </c>
      <c r="R267" s="37"/>
      <c r="S267" s="37" t="s">
        <v>395</v>
      </c>
      <c r="T267" s="31"/>
    </row>
    <row r="268" spans="1:20">
      <c r="A268" s="31"/>
      <c r="B268" s="32"/>
      <c r="C268" s="33"/>
      <c r="D268" s="32" t="s">
        <v>621</v>
      </c>
      <c r="E268" s="33" t="s">
        <v>61</v>
      </c>
      <c r="F268" s="34">
        <v>1</v>
      </c>
      <c r="G268" s="35">
        <v>0</v>
      </c>
      <c r="H268" s="35">
        <v>0</v>
      </c>
      <c r="I268" s="35">
        <f>Tabla1[[#This Row],[P.U. M.N.]]*Tabla1[[#This Row],[CANTIDADES DE REFERENCIA]]</f>
        <v>0</v>
      </c>
      <c r="J268" s="35">
        <f>Tabla1[[#This Row],[P.U. USD]]*Tabla1[[#This Row],[CANTIDADES DE REFERENCIA]]</f>
        <v>0</v>
      </c>
      <c r="K268" s="36"/>
      <c r="L268" s="36"/>
      <c r="M268" s="36"/>
      <c r="N268" s="37" t="s">
        <v>589</v>
      </c>
      <c r="O268" s="37"/>
      <c r="P268" s="38"/>
      <c r="Q268" s="37" t="s">
        <v>622</v>
      </c>
      <c r="R268" s="37"/>
      <c r="S268" s="37" t="s">
        <v>591</v>
      </c>
      <c r="T268" s="31"/>
    </row>
    <row r="269" spans="1:20">
      <c r="A269" s="31"/>
      <c r="B269" s="32"/>
      <c r="C269" s="33"/>
      <c r="D269" s="32" t="s">
        <v>623</v>
      </c>
      <c r="E269" s="33" t="s">
        <v>42</v>
      </c>
      <c r="F269" s="34">
        <v>1</v>
      </c>
      <c r="G269" s="35">
        <v>0</v>
      </c>
      <c r="H269" s="35">
        <v>0</v>
      </c>
      <c r="I269" s="35">
        <f>Tabla1[[#This Row],[P.U. M.N.]]*Tabla1[[#This Row],[CANTIDADES DE REFERENCIA]]</f>
        <v>0</v>
      </c>
      <c r="J269" s="35">
        <f>Tabla1[[#This Row],[P.U. USD]]*Tabla1[[#This Row],[CANTIDADES DE REFERENCIA]]</f>
        <v>0</v>
      </c>
      <c r="K269" s="36"/>
      <c r="L269" s="36"/>
      <c r="M269" s="36"/>
      <c r="N269" s="37" t="s">
        <v>589</v>
      </c>
      <c r="O269" s="37"/>
      <c r="P269" s="38"/>
      <c r="Q269" s="37" t="s">
        <v>624</v>
      </c>
      <c r="R269" s="37"/>
      <c r="S269" s="37" t="s">
        <v>591</v>
      </c>
      <c r="T269" s="31"/>
    </row>
    <row r="270" spans="1:20">
      <c r="A270" s="31"/>
      <c r="B270" s="32"/>
      <c r="C270" s="33"/>
      <c r="D270" s="32" t="s">
        <v>625</v>
      </c>
      <c r="E270" s="33" t="s">
        <v>23</v>
      </c>
      <c r="F270" s="34">
        <v>1</v>
      </c>
      <c r="G270" s="35">
        <v>0</v>
      </c>
      <c r="H270" s="35">
        <v>0</v>
      </c>
      <c r="I270" s="35">
        <f>Tabla1[[#This Row],[P.U. M.N.]]*Tabla1[[#This Row],[CANTIDADES DE REFERENCIA]]</f>
        <v>0</v>
      </c>
      <c r="J270" s="35">
        <f>Tabla1[[#This Row],[P.U. USD]]*Tabla1[[#This Row],[CANTIDADES DE REFERENCIA]]</f>
        <v>0</v>
      </c>
      <c r="K270" s="36"/>
      <c r="L270" s="36"/>
      <c r="M270" s="36"/>
      <c r="N270" s="37" t="s">
        <v>589</v>
      </c>
      <c r="O270" s="37"/>
      <c r="P270" s="38"/>
      <c r="Q270" s="37" t="s">
        <v>626</v>
      </c>
      <c r="R270" s="37"/>
      <c r="S270" s="37" t="s">
        <v>591</v>
      </c>
      <c r="T270" s="31"/>
    </row>
    <row r="271" spans="1:20">
      <c r="A271" s="31"/>
      <c r="B271" s="32"/>
      <c r="C271" s="33"/>
      <c r="D271" s="32" t="s">
        <v>627</v>
      </c>
      <c r="E271" s="33" t="s">
        <v>42</v>
      </c>
      <c r="F271" s="34">
        <v>1</v>
      </c>
      <c r="G271" s="35">
        <v>0</v>
      </c>
      <c r="H271" s="35">
        <v>0</v>
      </c>
      <c r="I271" s="35">
        <f>Tabla1[[#This Row],[P.U. M.N.]]*Tabla1[[#This Row],[CANTIDADES DE REFERENCIA]]</f>
        <v>0</v>
      </c>
      <c r="J271" s="35">
        <f>Tabla1[[#This Row],[P.U. USD]]*Tabla1[[#This Row],[CANTIDADES DE REFERENCIA]]</f>
        <v>0</v>
      </c>
      <c r="K271" s="36"/>
      <c r="L271" s="36"/>
      <c r="M271" s="36"/>
      <c r="N271" s="37" t="s">
        <v>628</v>
      </c>
      <c r="O271" s="37" t="s">
        <v>629</v>
      </c>
      <c r="P271" s="38"/>
      <c r="Q271" s="37" t="s">
        <v>630</v>
      </c>
      <c r="R271" s="37" t="s">
        <v>58</v>
      </c>
      <c r="S271" s="37" t="s">
        <v>631</v>
      </c>
      <c r="T271" s="31"/>
    </row>
    <row r="272" spans="1:20">
      <c r="A272" s="31"/>
      <c r="B272" s="32"/>
      <c r="C272" s="33"/>
      <c r="D272" s="32" t="s">
        <v>632</v>
      </c>
      <c r="E272" s="33" t="s">
        <v>633</v>
      </c>
      <c r="F272" s="34">
        <v>1</v>
      </c>
      <c r="G272" s="35">
        <v>0</v>
      </c>
      <c r="H272" s="35">
        <v>0</v>
      </c>
      <c r="I272" s="35">
        <f>Tabla1[[#This Row],[P.U. M.N.]]*Tabla1[[#This Row],[CANTIDADES DE REFERENCIA]]</f>
        <v>0</v>
      </c>
      <c r="J272" s="35">
        <f>Tabla1[[#This Row],[P.U. USD]]*Tabla1[[#This Row],[CANTIDADES DE REFERENCIA]]</f>
        <v>0</v>
      </c>
      <c r="K272" s="36"/>
      <c r="L272" s="36"/>
      <c r="M272" s="36"/>
      <c r="N272" s="37"/>
      <c r="O272" s="37"/>
      <c r="P272" s="38"/>
      <c r="Q272" s="37" t="s">
        <v>634</v>
      </c>
      <c r="R272" s="37"/>
      <c r="S272" s="37" t="s">
        <v>635</v>
      </c>
      <c r="T272" s="31"/>
    </row>
    <row r="273" spans="1:20">
      <c r="A273" s="31"/>
      <c r="B273" s="32"/>
      <c r="C273" s="33"/>
      <c r="D273" s="32" t="s">
        <v>636</v>
      </c>
      <c r="E273" s="33" t="s">
        <v>633</v>
      </c>
      <c r="F273" s="34">
        <v>1</v>
      </c>
      <c r="G273" s="35">
        <v>0</v>
      </c>
      <c r="H273" s="35">
        <v>0</v>
      </c>
      <c r="I273" s="35">
        <f>Tabla1[[#This Row],[P.U. M.N.]]*Tabla1[[#This Row],[CANTIDADES DE REFERENCIA]]</f>
        <v>0</v>
      </c>
      <c r="J273" s="35">
        <f>Tabla1[[#This Row],[P.U. USD]]*Tabla1[[#This Row],[CANTIDADES DE REFERENCIA]]</f>
        <v>0</v>
      </c>
      <c r="K273" s="36"/>
      <c r="L273" s="36"/>
      <c r="M273" s="36"/>
      <c r="N273" s="37"/>
      <c r="O273" s="37"/>
      <c r="P273" s="38"/>
      <c r="Q273" s="37" t="s">
        <v>637</v>
      </c>
      <c r="R273" s="37"/>
      <c r="S273" s="37" t="s">
        <v>635</v>
      </c>
      <c r="T273" s="31"/>
    </row>
    <row r="274" spans="1:20">
      <c r="A274" s="31"/>
      <c r="B274" s="32"/>
      <c r="C274" s="33"/>
      <c r="D274" s="32" t="s">
        <v>638</v>
      </c>
      <c r="E274" s="33" t="s">
        <v>633</v>
      </c>
      <c r="F274" s="34">
        <v>1</v>
      </c>
      <c r="G274" s="35">
        <v>0</v>
      </c>
      <c r="H274" s="35">
        <v>0</v>
      </c>
      <c r="I274" s="35">
        <f>Tabla1[[#This Row],[P.U. M.N.]]*Tabla1[[#This Row],[CANTIDADES DE REFERENCIA]]</f>
        <v>0</v>
      </c>
      <c r="J274" s="35">
        <f>Tabla1[[#This Row],[P.U. USD]]*Tabla1[[#This Row],[CANTIDADES DE REFERENCIA]]</f>
        <v>0</v>
      </c>
      <c r="K274" s="36"/>
      <c r="L274" s="36"/>
      <c r="M274" s="36"/>
      <c r="N274" s="37"/>
      <c r="O274" s="37"/>
      <c r="P274" s="38"/>
      <c r="Q274" s="37" t="s">
        <v>639</v>
      </c>
      <c r="R274" s="37"/>
      <c r="S274" s="37" t="s">
        <v>635</v>
      </c>
      <c r="T274" s="31"/>
    </row>
    <row r="275" spans="1:20">
      <c r="A275" s="31"/>
      <c r="B275" s="32"/>
      <c r="C275" s="33"/>
      <c r="D275" s="32" t="s">
        <v>640</v>
      </c>
      <c r="E275" s="33" t="s">
        <v>633</v>
      </c>
      <c r="F275" s="34">
        <v>1</v>
      </c>
      <c r="G275" s="35">
        <v>0</v>
      </c>
      <c r="H275" s="35">
        <v>0</v>
      </c>
      <c r="I275" s="35">
        <f>Tabla1[[#This Row],[P.U. M.N.]]*Tabla1[[#This Row],[CANTIDADES DE REFERENCIA]]</f>
        <v>0</v>
      </c>
      <c r="J275" s="35">
        <f>Tabla1[[#This Row],[P.U. USD]]*Tabla1[[#This Row],[CANTIDADES DE REFERENCIA]]</f>
        <v>0</v>
      </c>
      <c r="K275" s="36"/>
      <c r="L275" s="36"/>
      <c r="M275" s="36"/>
      <c r="N275" s="37"/>
      <c r="O275" s="37"/>
      <c r="P275" s="38"/>
      <c r="Q275" s="37" t="s">
        <v>641</v>
      </c>
      <c r="R275" s="37"/>
      <c r="S275" s="37" t="s">
        <v>635</v>
      </c>
      <c r="T275" s="31"/>
    </row>
    <row r="276" spans="1:20">
      <c r="A276" s="31"/>
      <c r="B276" s="32"/>
      <c r="C276" s="33"/>
      <c r="D276" s="32" t="s">
        <v>642</v>
      </c>
      <c r="E276" s="33" t="s">
        <v>633</v>
      </c>
      <c r="F276" s="34">
        <v>1</v>
      </c>
      <c r="G276" s="35">
        <v>0</v>
      </c>
      <c r="H276" s="35">
        <v>0</v>
      </c>
      <c r="I276" s="35">
        <f>Tabla1[[#This Row],[P.U. M.N.]]*Tabla1[[#This Row],[CANTIDADES DE REFERENCIA]]</f>
        <v>0</v>
      </c>
      <c r="J276" s="35">
        <f>Tabla1[[#This Row],[P.U. USD]]*Tabla1[[#This Row],[CANTIDADES DE REFERENCIA]]</f>
        <v>0</v>
      </c>
      <c r="K276" s="36"/>
      <c r="L276" s="36"/>
      <c r="M276" s="36"/>
      <c r="N276" s="37"/>
      <c r="O276" s="37"/>
      <c r="P276" s="38"/>
      <c r="Q276" s="37" t="s">
        <v>643</v>
      </c>
      <c r="R276" s="37"/>
      <c r="S276" s="37" t="s">
        <v>635</v>
      </c>
      <c r="T276" s="31"/>
    </row>
    <row r="277" spans="1:20">
      <c r="A277" s="31"/>
      <c r="B277" s="32"/>
      <c r="C277" s="33"/>
      <c r="D277" s="32" t="s">
        <v>644</v>
      </c>
      <c r="E277" s="33" t="s">
        <v>633</v>
      </c>
      <c r="F277" s="34">
        <v>1</v>
      </c>
      <c r="G277" s="35">
        <v>0</v>
      </c>
      <c r="H277" s="35">
        <v>0</v>
      </c>
      <c r="I277" s="35">
        <f>Tabla1[[#This Row],[P.U. M.N.]]*Tabla1[[#This Row],[CANTIDADES DE REFERENCIA]]</f>
        <v>0</v>
      </c>
      <c r="J277" s="35">
        <f>Tabla1[[#This Row],[P.U. USD]]*Tabla1[[#This Row],[CANTIDADES DE REFERENCIA]]</f>
        <v>0</v>
      </c>
      <c r="K277" s="36"/>
      <c r="L277" s="36"/>
      <c r="M277" s="36"/>
      <c r="N277" s="37"/>
      <c r="O277" s="37"/>
      <c r="P277" s="38"/>
      <c r="Q277" s="37" t="s">
        <v>645</v>
      </c>
      <c r="R277" s="37"/>
      <c r="S277" s="37" t="s">
        <v>635</v>
      </c>
      <c r="T277" s="31"/>
    </row>
    <row r="278" spans="1:20">
      <c r="A278" s="31"/>
      <c r="B278" s="32"/>
      <c r="C278" s="33"/>
      <c r="D278" s="32" t="s">
        <v>646</v>
      </c>
      <c r="E278" s="33" t="s">
        <v>633</v>
      </c>
      <c r="F278" s="34">
        <v>1</v>
      </c>
      <c r="G278" s="35">
        <v>0</v>
      </c>
      <c r="H278" s="35">
        <v>0</v>
      </c>
      <c r="I278" s="35">
        <f>Tabla1[[#This Row],[P.U. M.N.]]*Tabla1[[#This Row],[CANTIDADES DE REFERENCIA]]</f>
        <v>0</v>
      </c>
      <c r="J278" s="35">
        <f>Tabla1[[#This Row],[P.U. USD]]*Tabla1[[#This Row],[CANTIDADES DE REFERENCIA]]</f>
        <v>0</v>
      </c>
      <c r="K278" s="36"/>
      <c r="L278" s="36"/>
      <c r="M278" s="36"/>
      <c r="N278" s="37"/>
      <c r="O278" s="37"/>
      <c r="P278" s="38"/>
      <c r="Q278" s="37" t="s">
        <v>647</v>
      </c>
      <c r="R278" s="37"/>
      <c r="S278" s="37" t="s">
        <v>635</v>
      </c>
      <c r="T278" s="31"/>
    </row>
    <row r="279" spans="1:20">
      <c r="A279" s="31"/>
      <c r="B279" s="32"/>
      <c r="C279" s="33"/>
      <c r="D279" s="32" t="s">
        <v>648</v>
      </c>
      <c r="E279" s="33" t="s">
        <v>633</v>
      </c>
      <c r="F279" s="34">
        <v>1</v>
      </c>
      <c r="G279" s="35">
        <v>0</v>
      </c>
      <c r="H279" s="35">
        <v>0</v>
      </c>
      <c r="I279" s="35">
        <f>Tabla1[[#This Row],[P.U. M.N.]]*Tabla1[[#This Row],[CANTIDADES DE REFERENCIA]]</f>
        <v>0</v>
      </c>
      <c r="J279" s="35">
        <f>Tabla1[[#This Row],[P.U. USD]]*Tabla1[[#This Row],[CANTIDADES DE REFERENCIA]]</f>
        <v>0</v>
      </c>
      <c r="K279" s="36"/>
      <c r="L279" s="36"/>
      <c r="M279" s="36"/>
      <c r="N279" s="37"/>
      <c r="O279" s="37"/>
      <c r="P279" s="38"/>
      <c r="Q279" s="37" t="s">
        <v>649</v>
      </c>
      <c r="R279" s="37"/>
      <c r="S279" s="37" t="s">
        <v>635</v>
      </c>
      <c r="T279" s="31"/>
    </row>
    <row r="280" spans="1:20">
      <c r="A280" s="31"/>
      <c r="B280" s="32"/>
      <c r="C280" s="33"/>
      <c r="D280" s="32" t="s">
        <v>650</v>
      </c>
      <c r="E280" s="33" t="s">
        <v>633</v>
      </c>
      <c r="F280" s="34">
        <v>1</v>
      </c>
      <c r="G280" s="35">
        <v>0</v>
      </c>
      <c r="H280" s="35">
        <v>0</v>
      </c>
      <c r="I280" s="35">
        <f>Tabla1[[#This Row],[P.U. M.N.]]*Tabla1[[#This Row],[CANTIDADES DE REFERENCIA]]</f>
        <v>0</v>
      </c>
      <c r="J280" s="35">
        <f>Tabla1[[#This Row],[P.U. USD]]*Tabla1[[#This Row],[CANTIDADES DE REFERENCIA]]</f>
        <v>0</v>
      </c>
      <c r="K280" s="36"/>
      <c r="L280" s="36"/>
      <c r="M280" s="36"/>
      <c r="N280" s="37"/>
      <c r="O280" s="37"/>
      <c r="P280" s="38"/>
      <c r="Q280" s="37" t="s">
        <v>651</v>
      </c>
      <c r="R280" s="37"/>
      <c r="S280" s="37" t="s">
        <v>635</v>
      </c>
      <c r="T280" s="31"/>
    </row>
    <row r="281" spans="1:20">
      <c r="A281" s="31"/>
      <c r="B281" s="32"/>
      <c r="C281" s="33"/>
      <c r="D281" s="32" t="s">
        <v>652</v>
      </c>
      <c r="E281" s="33" t="s">
        <v>633</v>
      </c>
      <c r="F281" s="34">
        <v>1</v>
      </c>
      <c r="G281" s="35">
        <v>0</v>
      </c>
      <c r="H281" s="35">
        <v>0</v>
      </c>
      <c r="I281" s="35">
        <f>Tabla1[[#This Row],[P.U. M.N.]]*Tabla1[[#This Row],[CANTIDADES DE REFERENCIA]]</f>
        <v>0</v>
      </c>
      <c r="J281" s="35">
        <f>Tabla1[[#This Row],[P.U. USD]]*Tabla1[[#This Row],[CANTIDADES DE REFERENCIA]]</f>
        <v>0</v>
      </c>
      <c r="K281" s="36"/>
      <c r="L281" s="36"/>
      <c r="M281" s="36"/>
      <c r="N281" s="37"/>
      <c r="O281" s="37"/>
      <c r="P281" s="38"/>
      <c r="Q281" s="37" t="s">
        <v>653</v>
      </c>
      <c r="R281" s="37"/>
      <c r="S281" s="37" t="s">
        <v>635</v>
      </c>
      <c r="T281" s="31"/>
    </row>
    <row r="282" spans="1:20">
      <c r="A282" s="31"/>
      <c r="B282" s="32"/>
      <c r="C282" s="33"/>
      <c r="D282" s="32" t="s">
        <v>654</v>
      </c>
      <c r="E282" s="33" t="s">
        <v>633</v>
      </c>
      <c r="F282" s="34">
        <v>1</v>
      </c>
      <c r="G282" s="35">
        <v>0</v>
      </c>
      <c r="H282" s="35">
        <v>0</v>
      </c>
      <c r="I282" s="35">
        <f>Tabla1[[#This Row],[P.U. M.N.]]*Tabla1[[#This Row],[CANTIDADES DE REFERENCIA]]</f>
        <v>0</v>
      </c>
      <c r="J282" s="35">
        <f>Tabla1[[#This Row],[P.U. USD]]*Tabla1[[#This Row],[CANTIDADES DE REFERENCIA]]</f>
        <v>0</v>
      </c>
      <c r="K282" s="36"/>
      <c r="L282" s="36"/>
      <c r="M282" s="36"/>
      <c r="N282" s="37"/>
      <c r="O282" s="37"/>
      <c r="P282" s="38"/>
      <c r="Q282" s="37" t="s">
        <v>655</v>
      </c>
      <c r="R282" s="37"/>
      <c r="S282" s="37" t="s">
        <v>635</v>
      </c>
      <c r="T282" s="31"/>
    </row>
    <row r="283" spans="1:20">
      <c r="A283" s="31"/>
      <c r="B283" s="32"/>
      <c r="C283" s="33"/>
      <c r="D283" s="32" t="s">
        <v>656</v>
      </c>
      <c r="E283" s="33" t="s">
        <v>633</v>
      </c>
      <c r="F283" s="34">
        <v>1</v>
      </c>
      <c r="G283" s="35">
        <v>0</v>
      </c>
      <c r="H283" s="35">
        <v>0</v>
      </c>
      <c r="I283" s="35">
        <f>Tabla1[[#This Row],[P.U. M.N.]]*Tabla1[[#This Row],[CANTIDADES DE REFERENCIA]]</f>
        <v>0</v>
      </c>
      <c r="J283" s="35">
        <f>Tabla1[[#This Row],[P.U. USD]]*Tabla1[[#This Row],[CANTIDADES DE REFERENCIA]]</f>
        <v>0</v>
      </c>
      <c r="K283" s="36"/>
      <c r="L283" s="36"/>
      <c r="M283" s="36"/>
      <c r="N283" s="37"/>
      <c r="O283" s="37"/>
      <c r="P283" s="38"/>
      <c r="Q283" s="37" t="s">
        <v>657</v>
      </c>
      <c r="R283" s="37"/>
      <c r="S283" s="37" t="s">
        <v>635</v>
      </c>
      <c r="T283" s="31"/>
    </row>
    <row r="284" spans="1:20">
      <c r="A284" s="31"/>
      <c r="B284" s="32"/>
      <c r="C284" s="33"/>
      <c r="D284" s="32" t="s">
        <v>658</v>
      </c>
      <c r="E284" s="33" t="s">
        <v>633</v>
      </c>
      <c r="F284" s="34">
        <v>1</v>
      </c>
      <c r="G284" s="35">
        <v>0</v>
      </c>
      <c r="H284" s="35">
        <v>0</v>
      </c>
      <c r="I284" s="35">
        <f>Tabla1[[#This Row],[P.U. M.N.]]*Tabla1[[#This Row],[CANTIDADES DE REFERENCIA]]</f>
        <v>0</v>
      </c>
      <c r="J284" s="35">
        <f>Tabla1[[#This Row],[P.U. USD]]*Tabla1[[#This Row],[CANTIDADES DE REFERENCIA]]</f>
        <v>0</v>
      </c>
      <c r="K284" s="36"/>
      <c r="L284" s="36"/>
      <c r="M284" s="36"/>
      <c r="N284" s="37"/>
      <c r="O284" s="37"/>
      <c r="P284" s="38"/>
      <c r="Q284" s="37" t="s">
        <v>659</v>
      </c>
      <c r="R284" s="37"/>
      <c r="S284" s="37" t="s">
        <v>635</v>
      </c>
      <c r="T284" s="31"/>
    </row>
    <row r="285" spans="1:20">
      <c r="A285" s="31"/>
      <c r="B285" s="32"/>
      <c r="C285" s="33"/>
      <c r="D285" s="32" t="s">
        <v>660</v>
      </c>
      <c r="E285" s="33" t="s">
        <v>633</v>
      </c>
      <c r="F285" s="34">
        <v>1</v>
      </c>
      <c r="G285" s="35">
        <v>0</v>
      </c>
      <c r="H285" s="35">
        <v>0</v>
      </c>
      <c r="I285" s="35">
        <f>Tabla1[[#This Row],[P.U. M.N.]]*Tabla1[[#This Row],[CANTIDADES DE REFERENCIA]]</f>
        <v>0</v>
      </c>
      <c r="J285" s="35">
        <f>Tabla1[[#This Row],[P.U. USD]]*Tabla1[[#This Row],[CANTIDADES DE REFERENCIA]]</f>
        <v>0</v>
      </c>
      <c r="K285" s="36"/>
      <c r="L285" s="36"/>
      <c r="M285" s="36"/>
      <c r="N285" s="37"/>
      <c r="O285" s="37"/>
      <c r="P285" s="38"/>
      <c r="Q285" s="37" t="s">
        <v>661</v>
      </c>
      <c r="R285" s="37"/>
      <c r="S285" s="37" t="s">
        <v>635</v>
      </c>
      <c r="T285" s="31"/>
    </row>
    <row r="286" spans="1:20">
      <c r="A286" s="31"/>
      <c r="B286" s="32"/>
      <c r="C286" s="33"/>
      <c r="D286" s="32" t="s">
        <v>662</v>
      </c>
      <c r="E286" s="33" t="s">
        <v>633</v>
      </c>
      <c r="F286" s="34">
        <v>1</v>
      </c>
      <c r="G286" s="35">
        <v>0</v>
      </c>
      <c r="H286" s="35">
        <v>0</v>
      </c>
      <c r="I286" s="35">
        <f>Tabla1[[#This Row],[P.U. M.N.]]*Tabla1[[#This Row],[CANTIDADES DE REFERENCIA]]</f>
        <v>0</v>
      </c>
      <c r="J286" s="35">
        <f>Tabla1[[#This Row],[P.U. USD]]*Tabla1[[#This Row],[CANTIDADES DE REFERENCIA]]</f>
        <v>0</v>
      </c>
      <c r="K286" s="36"/>
      <c r="L286" s="36"/>
      <c r="M286" s="36"/>
      <c r="N286" s="37"/>
      <c r="O286" s="37"/>
      <c r="P286" s="38"/>
      <c r="Q286" s="37" t="s">
        <v>663</v>
      </c>
      <c r="R286" s="37"/>
      <c r="S286" s="37" t="s">
        <v>635</v>
      </c>
      <c r="T286" s="31"/>
    </row>
    <row r="287" spans="1:20">
      <c r="A287" s="31"/>
      <c r="B287" s="32"/>
      <c r="C287" s="33"/>
      <c r="D287" s="32" t="s">
        <v>664</v>
      </c>
      <c r="E287" s="33" t="s">
        <v>633</v>
      </c>
      <c r="F287" s="34">
        <v>1</v>
      </c>
      <c r="G287" s="35">
        <v>0</v>
      </c>
      <c r="H287" s="35">
        <v>0</v>
      </c>
      <c r="I287" s="35">
        <f>Tabla1[[#This Row],[P.U. M.N.]]*Tabla1[[#This Row],[CANTIDADES DE REFERENCIA]]</f>
        <v>0</v>
      </c>
      <c r="J287" s="35">
        <f>Tabla1[[#This Row],[P.U. USD]]*Tabla1[[#This Row],[CANTIDADES DE REFERENCIA]]</f>
        <v>0</v>
      </c>
      <c r="K287" s="36"/>
      <c r="L287" s="36"/>
      <c r="M287" s="36"/>
      <c r="N287" s="37"/>
      <c r="O287" s="37"/>
      <c r="P287" s="38"/>
      <c r="Q287" s="37" t="s">
        <v>665</v>
      </c>
      <c r="R287" s="37"/>
      <c r="S287" s="37" t="s">
        <v>635</v>
      </c>
      <c r="T287" s="31"/>
    </row>
    <row r="288" spans="1:20">
      <c r="A288" s="31"/>
      <c r="B288" s="32"/>
      <c r="C288" s="33"/>
      <c r="D288" s="32" t="s">
        <v>666</v>
      </c>
      <c r="E288" s="33" t="s">
        <v>633</v>
      </c>
      <c r="F288" s="34">
        <v>1</v>
      </c>
      <c r="G288" s="35">
        <v>0</v>
      </c>
      <c r="H288" s="35">
        <v>0</v>
      </c>
      <c r="I288" s="35">
        <f>Tabla1[[#This Row],[P.U. M.N.]]*Tabla1[[#This Row],[CANTIDADES DE REFERENCIA]]</f>
        <v>0</v>
      </c>
      <c r="J288" s="35">
        <f>Tabla1[[#This Row],[P.U. USD]]*Tabla1[[#This Row],[CANTIDADES DE REFERENCIA]]</f>
        <v>0</v>
      </c>
      <c r="K288" s="36"/>
      <c r="L288" s="36"/>
      <c r="M288" s="36"/>
      <c r="N288" s="37"/>
      <c r="O288" s="37"/>
      <c r="P288" s="38"/>
      <c r="Q288" s="37" t="s">
        <v>667</v>
      </c>
      <c r="R288" s="37"/>
      <c r="S288" s="37" t="s">
        <v>635</v>
      </c>
      <c r="T288" s="31"/>
    </row>
    <row r="289" spans="1:20">
      <c r="A289" s="31"/>
      <c r="B289" s="32"/>
      <c r="C289" s="33"/>
      <c r="D289" s="32" t="s">
        <v>668</v>
      </c>
      <c r="E289" s="33" t="s">
        <v>633</v>
      </c>
      <c r="F289" s="34">
        <v>1</v>
      </c>
      <c r="G289" s="35">
        <v>0</v>
      </c>
      <c r="H289" s="35">
        <v>0</v>
      </c>
      <c r="I289" s="35">
        <f>Tabla1[[#This Row],[P.U. M.N.]]*Tabla1[[#This Row],[CANTIDADES DE REFERENCIA]]</f>
        <v>0</v>
      </c>
      <c r="J289" s="35">
        <f>Tabla1[[#This Row],[P.U. USD]]*Tabla1[[#This Row],[CANTIDADES DE REFERENCIA]]</f>
        <v>0</v>
      </c>
      <c r="K289" s="36"/>
      <c r="L289" s="36"/>
      <c r="M289" s="36"/>
      <c r="N289" s="37"/>
      <c r="O289" s="37"/>
      <c r="P289" s="38"/>
      <c r="Q289" s="37" t="s">
        <v>669</v>
      </c>
      <c r="R289" s="37"/>
      <c r="S289" s="37" t="s">
        <v>635</v>
      </c>
      <c r="T289" s="31"/>
    </row>
    <row r="290" spans="1:20">
      <c r="A290" s="31"/>
      <c r="B290" s="32"/>
      <c r="C290" s="33"/>
      <c r="D290" s="32" t="s">
        <v>670</v>
      </c>
      <c r="E290" s="33" t="s">
        <v>633</v>
      </c>
      <c r="F290" s="34">
        <v>1</v>
      </c>
      <c r="G290" s="35">
        <v>0</v>
      </c>
      <c r="H290" s="35">
        <v>0</v>
      </c>
      <c r="I290" s="35">
        <f>Tabla1[[#This Row],[P.U. M.N.]]*Tabla1[[#This Row],[CANTIDADES DE REFERENCIA]]</f>
        <v>0</v>
      </c>
      <c r="J290" s="35">
        <f>Tabla1[[#This Row],[P.U. USD]]*Tabla1[[#This Row],[CANTIDADES DE REFERENCIA]]</f>
        <v>0</v>
      </c>
      <c r="K290" s="36"/>
      <c r="L290" s="36"/>
      <c r="M290" s="36"/>
      <c r="N290" s="37"/>
      <c r="O290" s="37"/>
      <c r="P290" s="38"/>
      <c r="Q290" s="37" t="s">
        <v>671</v>
      </c>
      <c r="R290" s="37"/>
      <c r="S290" s="37" t="s">
        <v>635</v>
      </c>
      <c r="T290" s="31"/>
    </row>
    <row r="291" spans="1:20">
      <c r="A291" s="31"/>
      <c r="B291" s="32"/>
      <c r="C291" s="33"/>
      <c r="D291" s="32" t="s">
        <v>672</v>
      </c>
      <c r="E291" s="33" t="s">
        <v>135</v>
      </c>
      <c r="F291" s="34">
        <v>1</v>
      </c>
      <c r="G291" s="35">
        <v>0</v>
      </c>
      <c r="H291" s="35">
        <v>0</v>
      </c>
      <c r="I291" s="35">
        <f>Tabla1[[#This Row],[P.U. M.N.]]*Tabla1[[#This Row],[CANTIDADES DE REFERENCIA]]</f>
        <v>0</v>
      </c>
      <c r="J291" s="35">
        <f>Tabla1[[#This Row],[P.U. USD]]*Tabla1[[#This Row],[CANTIDADES DE REFERENCIA]]</f>
        <v>0</v>
      </c>
      <c r="K291" s="36"/>
      <c r="L291" s="36"/>
      <c r="M291" s="36"/>
      <c r="N291" s="37" t="s">
        <v>392</v>
      </c>
      <c r="O291" s="37" t="s">
        <v>393</v>
      </c>
      <c r="P291" s="38"/>
      <c r="Q291" s="37" t="s">
        <v>673</v>
      </c>
      <c r="R291" s="37"/>
      <c r="S291" s="37" t="s">
        <v>395</v>
      </c>
      <c r="T291" s="31"/>
    </row>
    <row r="292" spans="1:20">
      <c r="A292" s="31"/>
      <c r="B292" s="32"/>
      <c r="C292" s="33"/>
      <c r="D292" s="32" t="s">
        <v>674</v>
      </c>
      <c r="E292" s="33" t="s">
        <v>675</v>
      </c>
      <c r="F292" s="34">
        <v>1</v>
      </c>
      <c r="G292" s="35">
        <v>0</v>
      </c>
      <c r="H292" s="35">
        <v>0</v>
      </c>
      <c r="I292" s="35">
        <f>Tabla1[[#This Row],[P.U. M.N.]]*Tabla1[[#This Row],[CANTIDADES DE REFERENCIA]]</f>
        <v>0</v>
      </c>
      <c r="J292" s="35">
        <f>Tabla1[[#This Row],[P.U. USD]]*Tabla1[[#This Row],[CANTIDADES DE REFERENCIA]]</f>
        <v>0</v>
      </c>
      <c r="K292" s="36"/>
      <c r="L292" s="36"/>
      <c r="M292" s="36"/>
      <c r="N292" s="37" t="s">
        <v>589</v>
      </c>
      <c r="O292" s="37"/>
      <c r="P292" s="38"/>
      <c r="Q292" s="37" t="s">
        <v>676</v>
      </c>
      <c r="R292" s="37"/>
      <c r="S292" s="37" t="s">
        <v>591</v>
      </c>
      <c r="T292" s="31"/>
    </row>
    <row r="293" spans="1:20">
      <c r="A293" s="31"/>
      <c r="B293" s="32"/>
      <c r="C293" s="33"/>
      <c r="D293" s="32" t="s">
        <v>677</v>
      </c>
      <c r="E293" s="33" t="s">
        <v>116</v>
      </c>
      <c r="F293" s="34">
        <v>1</v>
      </c>
      <c r="G293" s="35">
        <v>0</v>
      </c>
      <c r="H293" s="35">
        <v>0</v>
      </c>
      <c r="I293" s="35">
        <f>Tabla1[[#This Row],[P.U. M.N.]]*Tabla1[[#This Row],[CANTIDADES DE REFERENCIA]]</f>
        <v>0</v>
      </c>
      <c r="J293" s="35">
        <f>Tabla1[[#This Row],[P.U. USD]]*Tabla1[[#This Row],[CANTIDADES DE REFERENCIA]]</f>
        <v>0</v>
      </c>
      <c r="K293" s="36"/>
      <c r="L293" s="36"/>
      <c r="M293" s="36"/>
      <c r="N293" s="37" t="s">
        <v>392</v>
      </c>
      <c r="O293" s="37" t="s">
        <v>393</v>
      </c>
      <c r="P293" s="38"/>
      <c r="Q293" s="37" t="s">
        <v>678</v>
      </c>
      <c r="R293" s="37"/>
      <c r="S293" s="37" t="s">
        <v>395</v>
      </c>
      <c r="T293" s="31"/>
    </row>
    <row r="294" spans="1:20">
      <c r="A294" s="31"/>
      <c r="B294" s="32"/>
      <c r="C294" s="33"/>
      <c r="D294" s="32" t="s">
        <v>679</v>
      </c>
      <c r="E294" s="33" t="s">
        <v>135</v>
      </c>
      <c r="F294" s="34">
        <v>1</v>
      </c>
      <c r="G294" s="35">
        <v>0</v>
      </c>
      <c r="H294" s="35">
        <v>0</v>
      </c>
      <c r="I294" s="35">
        <f>Tabla1[[#This Row],[P.U. M.N.]]*Tabla1[[#This Row],[CANTIDADES DE REFERENCIA]]</f>
        <v>0</v>
      </c>
      <c r="J294" s="35">
        <f>Tabla1[[#This Row],[P.U. USD]]*Tabla1[[#This Row],[CANTIDADES DE REFERENCIA]]</f>
        <v>0</v>
      </c>
      <c r="K294" s="36"/>
      <c r="L294" s="36"/>
      <c r="M294" s="36"/>
      <c r="N294" s="37"/>
      <c r="O294" s="37"/>
      <c r="P294" s="38"/>
      <c r="Q294" s="37" t="s">
        <v>680</v>
      </c>
      <c r="R294" s="37"/>
      <c r="S294" s="37" t="s">
        <v>681</v>
      </c>
      <c r="T294" s="31"/>
    </row>
    <row r="295" spans="1:20">
      <c r="A295" s="31"/>
      <c r="B295" s="32"/>
      <c r="C295" s="33"/>
      <c r="D295" s="32" t="s">
        <v>682</v>
      </c>
      <c r="E295" s="33" t="s">
        <v>116</v>
      </c>
      <c r="F295" s="34">
        <v>1</v>
      </c>
      <c r="G295" s="35">
        <v>0</v>
      </c>
      <c r="H295" s="35">
        <v>0</v>
      </c>
      <c r="I295" s="35">
        <f>Tabla1[[#This Row],[P.U. M.N.]]*Tabla1[[#This Row],[CANTIDADES DE REFERENCIA]]</f>
        <v>0</v>
      </c>
      <c r="J295" s="35">
        <f>Tabla1[[#This Row],[P.U. USD]]*Tabla1[[#This Row],[CANTIDADES DE REFERENCIA]]</f>
        <v>0</v>
      </c>
      <c r="K295" s="36"/>
      <c r="L295" s="36"/>
      <c r="M295" s="36"/>
      <c r="N295" s="37"/>
      <c r="O295" s="37"/>
      <c r="P295" s="38"/>
      <c r="Q295" s="37" t="s">
        <v>683</v>
      </c>
      <c r="R295" s="37"/>
      <c r="S295" s="37" t="s">
        <v>681</v>
      </c>
      <c r="T295" s="31"/>
    </row>
    <row r="296" spans="1:20">
      <c r="A296" s="31"/>
      <c r="B296" s="32"/>
      <c r="C296" s="33"/>
      <c r="D296" s="32" t="s">
        <v>684</v>
      </c>
      <c r="E296" s="33" t="s">
        <v>116</v>
      </c>
      <c r="F296" s="34">
        <v>1</v>
      </c>
      <c r="G296" s="35">
        <v>0</v>
      </c>
      <c r="H296" s="35">
        <v>0</v>
      </c>
      <c r="I296" s="35">
        <f>Tabla1[[#This Row],[P.U. M.N.]]*Tabla1[[#This Row],[CANTIDADES DE REFERENCIA]]</f>
        <v>0</v>
      </c>
      <c r="J296" s="35">
        <f>Tabla1[[#This Row],[P.U. USD]]*Tabla1[[#This Row],[CANTIDADES DE REFERENCIA]]</f>
        <v>0</v>
      </c>
      <c r="K296" s="36"/>
      <c r="L296" s="36"/>
      <c r="M296" s="36"/>
      <c r="N296" s="37"/>
      <c r="O296" s="37"/>
      <c r="P296" s="38"/>
      <c r="Q296" s="37" t="s">
        <v>685</v>
      </c>
      <c r="R296" s="37"/>
      <c r="S296" s="37" t="s">
        <v>681</v>
      </c>
      <c r="T296" s="31"/>
    </row>
    <row r="297" spans="1:20">
      <c r="A297" s="31"/>
      <c r="B297" s="32"/>
      <c r="C297" s="33"/>
      <c r="D297" s="32" t="s">
        <v>686</v>
      </c>
      <c r="E297" s="33" t="s">
        <v>116</v>
      </c>
      <c r="F297" s="34">
        <v>1</v>
      </c>
      <c r="G297" s="35">
        <v>0</v>
      </c>
      <c r="H297" s="35">
        <v>0</v>
      </c>
      <c r="I297" s="35">
        <f>Tabla1[[#This Row],[P.U. M.N.]]*Tabla1[[#This Row],[CANTIDADES DE REFERENCIA]]</f>
        <v>0</v>
      </c>
      <c r="J297" s="35">
        <f>Tabla1[[#This Row],[P.U. USD]]*Tabla1[[#This Row],[CANTIDADES DE REFERENCIA]]</f>
        <v>0</v>
      </c>
      <c r="K297" s="36"/>
      <c r="L297" s="36"/>
      <c r="M297" s="36"/>
      <c r="N297" s="37"/>
      <c r="O297" s="37"/>
      <c r="P297" s="38"/>
      <c r="Q297" s="37" t="s">
        <v>687</v>
      </c>
      <c r="R297" s="37"/>
      <c r="S297" s="37" t="s">
        <v>681</v>
      </c>
      <c r="T297" s="31"/>
    </row>
    <row r="298" spans="1:20">
      <c r="A298" s="31"/>
      <c r="B298" s="32"/>
      <c r="C298" s="33"/>
      <c r="D298" s="32" t="s">
        <v>688</v>
      </c>
      <c r="E298" s="33" t="s">
        <v>116</v>
      </c>
      <c r="F298" s="34">
        <v>1</v>
      </c>
      <c r="G298" s="35">
        <v>0</v>
      </c>
      <c r="H298" s="35">
        <v>0</v>
      </c>
      <c r="I298" s="35">
        <f>Tabla1[[#This Row],[P.U. M.N.]]*Tabla1[[#This Row],[CANTIDADES DE REFERENCIA]]</f>
        <v>0</v>
      </c>
      <c r="J298" s="35">
        <f>Tabla1[[#This Row],[P.U. USD]]*Tabla1[[#This Row],[CANTIDADES DE REFERENCIA]]</f>
        <v>0</v>
      </c>
      <c r="K298" s="36"/>
      <c r="L298" s="36"/>
      <c r="M298" s="36"/>
      <c r="N298" s="37"/>
      <c r="O298" s="37"/>
      <c r="P298" s="38"/>
      <c r="Q298" s="37" t="s">
        <v>689</v>
      </c>
      <c r="R298" s="37"/>
      <c r="S298" s="37" t="s">
        <v>681</v>
      </c>
      <c r="T298" s="31"/>
    </row>
    <row r="299" spans="1:20">
      <c r="A299" s="31"/>
      <c r="B299" s="32"/>
      <c r="C299" s="33"/>
      <c r="D299" s="32" t="s">
        <v>690</v>
      </c>
      <c r="E299" s="33" t="s">
        <v>116</v>
      </c>
      <c r="F299" s="34">
        <v>1</v>
      </c>
      <c r="G299" s="35">
        <v>0</v>
      </c>
      <c r="H299" s="35">
        <v>0</v>
      </c>
      <c r="I299" s="35">
        <f>Tabla1[[#This Row],[P.U. M.N.]]*Tabla1[[#This Row],[CANTIDADES DE REFERENCIA]]</f>
        <v>0</v>
      </c>
      <c r="J299" s="35">
        <f>Tabla1[[#This Row],[P.U. USD]]*Tabla1[[#This Row],[CANTIDADES DE REFERENCIA]]</f>
        <v>0</v>
      </c>
      <c r="K299" s="36"/>
      <c r="L299" s="36"/>
      <c r="M299" s="36"/>
      <c r="N299" s="37"/>
      <c r="O299" s="37"/>
      <c r="P299" s="38"/>
      <c r="Q299" s="37" t="s">
        <v>691</v>
      </c>
      <c r="R299" s="37"/>
      <c r="S299" s="37" t="s">
        <v>681</v>
      </c>
      <c r="T299" s="31"/>
    </row>
    <row r="300" spans="1:20">
      <c r="A300" s="31"/>
      <c r="B300" s="32"/>
      <c r="C300" s="33"/>
      <c r="D300" s="32" t="s">
        <v>692</v>
      </c>
      <c r="E300" s="33" t="s">
        <v>116</v>
      </c>
      <c r="F300" s="34">
        <v>1</v>
      </c>
      <c r="G300" s="35">
        <v>0</v>
      </c>
      <c r="H300" s="35">
        <v>0</v>
      </c>
      <c r="I300" s="35">
        <f>Tabla1[[#This Row],[P.U. M.N.]]*Tabla1[[#This Row],[CANTIDADES DE REFERENCIA]]</f>
        <v>0</v>
      </c>
      <c r="J300" s="35">
        <f>Tabla1[[#This Row],[P.U. USD]]*Tabla1[[#This Row],[CANTIDADES DE REFERENCIA]]</f>
        <v>0</v>
      </c>
      <c r="K300" s="36"/>
      <c r="L300" s="36"/>
      <c r="M300" s="36"/>
      <c r="N300" s="37"/>
      <c r="O300" s="37"/>
      <c r="P300" s="38"/>
      <c r="Q300" s="37" t="s">
        <v>693</v>
      </c>
      <c r="R300" s="37"/>
      <c r="S300" s="37" t="s">
        <v>681</v>
      </c>
      <c r="T300" s="31"/>
    </row>
    <row r="301" spans="1:20">
      <c r="A301" s="31"/>
      <c r="B301" s="32"/>
      <c r="C301" s="33"/>
      <c r="D301" s="32" t="s">
        <v>694</v>
      </c>
      <c r="E301" s="33" t="s">
        <v>116</v>
      </c>
      <c r="F301" s="34">
        <v>1</v>
      </c>
      <c r="G301" s="35">
        <v>0</v>
      </c>
      <c r="H301" s="35">
        <v>0</v>
      </c>
      <c r="I301" s="35">
        <f>Tabla1[[#This Row],[P.U. M.N.]]*Tabla1[[#This Row],[CANTIDADES DE REFERENCIA]]</f>
        <v>0</v>
      </c>
      <c r="J301" s="35">
        <f>Tabla1[[#This Row],[P.U. USD]]*Tabla1[[#This Row],[CANTIDADES DE REFERENCIA]]</f>
        <v>0</v>
      </c>
      <c r="K301" s="36"/>
      <c r="L301" s="36"/>
      <c r="M301" s="36"/>
      <c r="N301" s="37"/>
      <c r="O301" s="37"/>
      <c r="P301" s="38"/>
      <c r="Q301" s="37" t="s">
        <v>695</v>
      </c>
      <c r="R301" s="37"/>
      <c r="S301" s="37" t="s">
        <v>681</v>
      </c>
      <c r="T301" s="31"/>
    </row>
    <row r="302" spans="1:20">
      <c r="A302" s="31"/>
      <c r="B302" s="32"/>
      <c r="C302" s="33"/>
      <c r="D302" s="32" t="s">
        <v>696</v>
      </c>
      <c r="E302" s="33" t="s">
        <v>116</v>
      </c>
      <c r="F302" s="34">
        <v>1</v>
      </c>
      <c r="G302" s="35">
        <v>0</v>
      </c>
      <c r="H302" s="35">
        <v>0</v>
      </c>
      <c r="I302" s="35">
        <f>Tabla1[[#This Row],[P.U. M.N.]]*Tabla1[[#This Row],[CANTIDADES DE REFERENCIA]]</f>
        <v>0</v>
      </c>
      <c r="J302" s="35">
        <f>Tabla1[[#This Row],[P.U. USD]]*Tabla1[[#This Row],[CANTIDADES DE REFERENCIA]]</f>
        <v>0</v>
      </c>
      <c r="K302" s="36"/>
      <c r="L302" s="36"/>
      <c r="M302" s="36"/>
      <c r="N302" s="37"/>
      <c r="O302" s="37"/>
      <c r="P302" s="38"/>
      <c r="Q302" s="37" t="s">
        <v>697</v>
      </c>
      <c r="R302" s="37"/>
      <c r="S302" s="37" t="s">
        <v>681</v>
      </c>
      <c r="T302" s="31"/>
    </row>
    <row r="303" spans="1:20">
      <c r="A303" s="31"/>
      <c r="B303" s="32"/>
      <c r="C303" s="33"/>
      <c r="D303" s="32" t="s">
        <v>698</v>
      </c>
      <c r="E303" s="33" t="s">
        <v>116</v>
      </c>
      <c r="F303" s="34">
        <v>1</v>
      </c>
      <c r="G303" s="35">
        <v>0</v>
      </c>
      <c r="H303" s="35">
        <v>0</v>
      </c>
      <c r="I303" s="35">
        <f>Tabla1[[#This Row],[P.U. M.N.]]*Tabla1[[#This Row],[CANTIDADES DE REFERENCIA]]</f>
        <v>0</v>
      </c>
      <c r="J303" s="35">
        <f>Tabla1[[#This Row],[P.U. USD]]*Tabla1[[#This Row],[CANTIDADES DE REFERENCIA]]</f>
        <v>0</v>
      </c>
      <c r="K303" s="36"/>
      <c r="L303" s="36"/>
      <c r="M303" s="36"/>
      <c r="N303" s="37"/>
      <c r="O303" s="37"/>
      <c r="P303" s="38"/>
      <c r="Q303" s="37" t="s">
        <v>699</v>
      </c>
      <c r="R303" s="37"/>
      <c r="S303" s="37" t="s">
        <v>681</v>
      </c>
      <c r="T303" s="31"/>
    </row>
    <row r="304" spans="1:20">
      <c r="A304" s="31"/>
      <c r="B304" s="32"/>
      <c r="C304" s="33"/>
      <c r="D304" s="32" t="s">
        <v>700</v>
      </c>
      <c r="E304" s="33" t="s">
        <v>116</v>
      </c>
      <c r="F304" s="34">
        <v>1</v>
      </c>
      <c r="G304" s="35">
        <v>0</v>
      </c>
      <c r="H304" s="35">
        <v>0</v>
      </c>
      <c r="I304" s="35">
        <f>Tabla1[[#This Row],[P.U. M.N.]]*Tabla1[[#This Row],[CANTIDADES DE REFERENCIA]]</f>
        <v>0</v>
      </c>
      <c r="J304" s="35">
        <f>Tabla1[[#This Row],[P.U. USD]]*Tabla1[[#This Row],[CANTIDADES DE REFERENCIA]]</f>
        <v>0</v>
      </c>
      <c r="K304" s="36"/>
      <c r="L304" s="36"/>
      <c r="M304" s="36"/>
      <c r="N304" s="37"/>
      <c r="O304" s="37"/>
      <c r="P304" s="38"/>
      <c r="Q304" s="37" t="s">
        <v>701</v>
      </c>
      <c r="R304" s="37"/>
      <c r="S304" s="37" t="s">
        <v>681</v>
      </c>
      <c r="T304" s="31"/>
    </row>
    <row r="305" spans="1:20">
      <c r="A305" s="31"/>
      <c r="B305" s="32"/>
      <c r="C305" s="33"/>
      <c r="D305" s="32" t="s">
        <v>702</v>
      </c>
      <c r="E305" s="33" t="s">
        <v>54</v>
      </c>
      <c r="F305" s="34">
        <v>1</v>
      </c>
      <c r="G305" s="35">
        <v>0</v>
      </c>
      <c r="H305" s="35">
        <v>0</v>
      </c>
      <c r="I305" s="35">
        <f>Tabla1[[#This Row],[P.U. M.N.]]*Tabla1[[#This Row],[CANTIDADES DE REFERENCIA]]</f>
        <v>0</v>
      </c>
      <c r="J305" s="35">
        <f>Tabla1[[#This Row],[P.U. USD]]*Tabla1[[#This Row],[CANTIDADES DE REFERENCIA]]</f>
        <v>0</v>
      </c>
      <c r="K305" s="36"/>
      <c r="L305" s="36"/>
      <c r="M305" s="36"/>
      <c r="N305" s="37"/>
      <c r="O305" s="37"/>
      <c r="P305" s="38"/>
      <c r="Q305" s="37" t="s">
        <v>703</v>
      </c>
      <c r="R305" s="37"/>
      <c r="S305" s="37" t="s">
        <v>681</v>
      </c>
      <c r="T305" s="31"/>
    </row>
    <row r="306" spans="1:20">
      <c r="A306" s="31"/>
      <c r="B306" s="32"/>
      <c r="C306" s="33"/>
      <c r="D306" s="32" t="s">
        <v>704</v>
      </c>
      <c r="E306" s="33" t="s">
        <v>54</v>
      </c>
      <c r="F306" s="34">
        <v>1</v>
      </c>
      <c r="G306" s="35">
        <v>0</v>
      </c>
      <c r="H306" s="35">
        <v>0</v>
      </c>
      <c r="I306" s="35">
        <f>Tabla1[[#This Row],[P.U. M.N.]]*Tabla1[[#This Row],[CANTIDADES DE REFERENCIA]]</f>
        <v>0</v>
      </c>
      <c r="J306" s="35">
        <f>Tabla1[[#This Row],[P.U. USD]]*Tabla1[[#This Row],[CANTIDADES DE REFERENCIA]]</f>
        <v>0</v>
      </c>
      <c r="K306" s="36"/>
      <c r="L306" s="36"/>
      <c r="M306" s="36"/>
      <c r="N306" s="37"/>
      <c r="O306" s="37"/>
      <c r="P306" s="38"/>
      <c r="Q306" s="37" t="s">
        <v>705</v>
      </c>
      <c r="R306" s="37"/>
      <c r="S306" s="37" t="s">
        <v>681</v>
      </c>
      <c r="T306" s="31"/>
    </row>
    <row r="307" spans="1:20">
      <c r="A307" s="31"/>
      <c r="B307" s="32"/>
      <c r="C307" s="33"/>
      <c r="D307" s="32" t="s">
        <v>706</v>
      </c>
      <c r="E307" s="33" t="s">
        <v>54</v>
      </c>
      <c r="F307" s="34">
        <v>1</v>
      </c>
      <c r="G307" s="35">
        <v>0</v>
      </c>
      <c r="H307" s="35">
        <v>0</v>
      </c>
      <c r="I307" s="35">
        <f>Tabla1[[#This Row],[P.U. M.N.]]*Tabla1[[#This Row],[CANTIDADES DE REFERENCIA]]</f>
        <v>0</v>
      </c>
      <c r="J307" s="35">
        <f>Tabla1[[#This Row],[P.U. USD]]*Tabla1[[#This Row],[CANTIDADES DE REFERENCIA]]</f>
        <v>0</v>
      </c>
      <c r="K307" s="36"/>
      <c r="L307" s="36"/>
      <c r="M307" s="36"/>
      <c r="N307" s="37"/>
      <c r="O307" s="37"/>
      <c r="P307" s="38"/>
      <c r="Q307" s="37" t="s">
        <v>707</v>
      </c>
      <c r="R307" s="37"/>
      <c r="S307" s="37" t="s">
        <v>681</v>
      </c>
      <c r="T307" s="31"/>
    </row>
    <row r="308" spans="1:20">
      <c r="A308" s="31"/>
      <c r="B308" s="32"/>
      <c r="C308" s="33"/>
      <c r="D308" s="32" t="s">
        <v>708</v>
      </c>
      <c r="E308" s="33" t="s">
        <v>54</v>
      </c>
      <c r="F308" s="34">
        <v>1</v>
      </c>
      <c r="G308" s="35">
        <v>0</v>
      </c>
      <c r="H308" s="35">
        <v>0</v>
      </c>
      <c r="I308" s="35">
        <f>Tabla1[[#This Row],[P.U. M.N.]]*Tabla1[[#This Row],[CANTIDADES DE REFERENCIA]]</f>
        <v>0</v>
      </c>
      <c r="J308" s="35">
        <f>Tabla1[[#This Row],[P.U. USD]]*Tabla1[[#This Row],[CANTIDADES DE REFERENCIA]]</f>
        <v>0</v>
      </c>
      <c r="K308" s="36"/>
      <c r="L308" s="36"/>
      <c r="M308" s="36"/>
      <c r="N308" s="37"/>
      <c r="O308" s="37"/>
      <c r="P308" s="38"/>
      <c r="Q308" s="37" t="s">
        <v>709</v>
      </c>
      <c r="R308" s="37"/>
      <c r="S308" s="37" t="s">
        <v>681</v>
      </c>
      <c r="T308" s="31"/>
    </row>
    <row r="309" spans="1:20">
      <c r="A309" s="31"/>
      <c r="B309" s="32"/>
      <c r="C309" s="33"/>
      <c r="D309" s="32" t="s">
        <v>710</v>
      </c>
      <c r="E309" s="33" t="s">
        <v>54</v>
      </c>
      <c r="F309" s="34">
        <v>1</v>
      </c>
      <c r="G309" s="35">
        <v>0</v>
      </c>
      <c r="H309" s="35">
        <v>0</v>
      </c>
      <c r="I309" s="35">
        <f>Tabla1[[#This Row],[P.U. M.N.]]*Tabla1[[#This Row],[CANTIDADES DE REFERENCIA]]</f>
        <v>0</v>
      </c>
      <c r="J309" s="35">
        <f>Tabla1[[#This Row],[P.U. USD]]*Tabla1[[#This Row],[CANTIDADES DE REFERENCIA]]</f>
        <v>0</v>
      </c>
      <c r="K309" s="36"/>
      <c r="L309" s="36"/>
      <c r="M309" s="36"/>
      <c r="N309" s="37"/>
      <c r="O309" s="37"/>
      <c r="P309" s="38"/>
      <c r="Q309" s="37" t="s">
        <v>711</v>
      </c>
      <c r="R309" s="37" t="s">
        <v>58</v>
      </c>
      <c r="S309" s="37" t="s">
        <v>681</v>
      </c>
      <c r="T309" s="31"/>
    </row>
    <row r="310" spans="1:20">
      <c r="A310" s="31"/>
      <c r="B310" s="32"/>
      <c r="C310" s="33"/>
      <c r="D310" s="32" t="s">
        <v>712</v>
      </c>
      <c r="E310" s="33" t="s">
        <v>54</v>
      </c>
      <c r="F310" s="34">
        <v>1</v>
      </c>
      <c r="G310" s="35">
        <v>0</v>
      </c>
      <c r="H310" s="35">
        <v>0</v>
      </c>
      <c r="I310" s="35">
        <f>Tabla1[[#This Row],[P.U. M.N.]]*Tabla1[[#This Row],[CANTIDADES DE REFERENCIA]]</f>
        <v>0</v>
      </c>
      <c r="J310" s="35">
        <f>Tabla1[[#This Row],[P.U. USD]]*Tabla1[[#This Row],[CANTIDADES DE REFERENCIA]]</f>
        <v>0</v>
      </c>
      <c r="K310" s="36"/>
      <c r="L310" s="36"/>
      <c r="M310" s="36"/>
      <c r="N310" s="37"/>
      <c r="O310" s="37"/>
      <c r="P310" s="38"/>
      <c r="Q310" s="37" t="s">
        <v>713</v>
      </c>
      <c r="R310" s="37"/>
      <c r="S310" s="37" t="s">
        <v>681</v>
      </c>
      <c r="T310" s="31"/>
    </row>
    <row r="311" spans="1:20">
      <c r="A311" s="31"/>
      <c r="B311" s="32"/>
      <c r="C311" s="33"/>
      <c r="D311" s="32" t="s">
        <v>714</v>
      </c>
      <c r="E311" s="33" t="s">
        <v>54</v>
      </c>
      <c r="F311" s="34">
        <v>1</v>
      </c>
      <c r="G311" s="35">
        <v>0</v>
      </c>
      <c r="H311" s="35">
        <v>0</v>
      </c>
      <c r="I311" s="35">
        <f>Tabla1[[#This Row],[P.U. M.N.]]*Tabla1[[#This Row],[CANTIDADES DE REFERENCIA]]</f>
        <v>0</v>
      </c>
      <c r="J311" s="35">
        <f>Tabla1[[#This Row],[P.U. USD]]*Tabla1[[#This Row],[CANTIDADES DE REFERENCIA]]</f>
        <v>0</v>
      </c>
      <c r="K311" s="36"/>
      <c r="L311" s="36"/>
      <c r="M311" s="36"/>
      <c r="N311" s="37"/>
      <c r="O311" s="37"/>
      <c r="P311" s="38"/>
      <c r="Q311" s="37" t="s">
        <v>715</v>
      </c>
      <c r="R311" s="37"/>
      <c r="S311" s="37" t="s">
        <v>681</v>
      </c>
      <c r="T311" s="31"/>
    </row>
    <row r="312" spans="1:20">
      <c r="A312" s="31"/>
      <c r="B312" s="32"/>
      <c r="C312" s="33"/>
      <c r="D312" s="32" t="s">
        <v>716</v>
      </c>
      <c r="E312" s="33" t="s">
        <v>54</v>
      </c>
      <c r="F312" s="34">
        <v>1</v>
      </c>
      <c r="G312" s="35">
        <v>0</v>
      </c>
      <c r="H312" s="35">
        <v>0</v>
      </c>
      <c r="I312" s="35">
        <f>Tabla1[[#This Row],[P.U. M.N.]]*Tabla1[[#This Row],[CANTIDADES DE REFERENCIA]]</f>
        <v>0</v>
      </c>
      <c r="J312" s="35">
        <f>Tabla1[[#This Row],[P.U. USD]]*Tabla1[[#This Row],[CANTIDADES DE REFERENCIA]]</f>
        <v>0</v>
      </c>
      <c r="K312" s="36"/>
      <c r="L312" s="36"/>
      <c r="M312" s="36"/>
      <c r="N312" s="37" t="s">
        <v>589</v>
      </c>
      <c r="O312" s="37"/>
      <c r="P312" s="38"/>
      <c r="Q312" s="37" t="s">
        <v>717</v>
      </c>
      <c r="R312" s="37"/>
      <c r="S312" s="37" t="s">
        <v>591</v>
      </c>
      <c r="T312" s="31"/>
    </row>
    <row r="313" spans="1:20">
      <c r="A313" s="31"/>
      <c r="B313" s="32"/>
      <c r="C313" s="33"/>
      <c r="D313" s="32" t="s">
        <v>718</v>
      </c>
      <c r="E313" s="33" t="s">
        <v>54</v>
      </c>
      <c r="F313" s="34">
        <v>1</v>
      </c>
      <c r="G313" s="35">
        <v>0</v>
      </c>
      <c r="H313" s="35">
        <v>0</v>
      </c>
      <c r="I313" s="35">
        <f>Tabla1[[#This Row],[P.U. M.N.]]*Tabla1[[#This Row],[CANTIDADES DE REFERENCIA]]</f>
        <v>0</v>
      </c>
      <c r="J313" s="35">
        <f>Tabla1[[#This Row],[P.U. USD]]*Tabla1[[#This Row],[CANTIDADES DE REFERENCIA]]</f>
        <v>0</v>
      </c>
      <c r="K313" s="36"/>
      <c r="L313" s="36"/>
      <c r="M313" s="36"/>
      <c r="N313" s="37" t="s">
        <v>589</v>
      </c>
      <c r="O313" s="37"/>
      <c r="P313" s="38"/>
      <c r="Q313" s="37" t="s">
        <v>719</v>
      </c>
      <c r="R313" s="37"/>
      <c r="S313" s="37" t="s">
        <v>591</v>
      </c>
      <c r="T313" s="31"/>
    </row>
    <row r="314" spans="1:20">
      <c r="A314" s="31"/>
      <c r="B314" s="32"/>
      <c r="C314" s="33"/>
      <c r="D314" s="32" t="s">
        <v>720</v>
      </c>
      <c r="E314" s="33" t="s">
        <v>54</v>
      </c>
      <c r="F314" s="34">
        <v>1</v>
      </c>
      <c r="G314" s="35">
        <v>0</v>
      </c>
      <c r="H314" s="35">
        <v>0</v>
      </c>
      <c r="I314" s="35">
        <f>Tabla1[[#This Row],[P.U. M.N.]]*Tabla1[[#This Row],[CANTIDADES DE REFERENCIA]]</f>
        <v>0</v>
      </c>
      <c r="J314" s="35">
        <f>Tabla1[[#This Row],[P.U. USD]]*Tabla1[[#This Row],[CANTIDADES DE REFERENCIA]]</f>
        <v>0</v>
      </c>
      <c r="K314" s="36"/>
      <c r="L314" s="36"/>
      <c r="M314" s="36"/>
      <c r="N314" s="37" t="s">
        <v>589</v>
      </c>
      <c r="O314" s="37"/>
      <c r="P314" s="38"/>
      <c r="Q314" s="37" t="s">
        <v>721</v>
      </c>
      <c r="R314" s="37"/>
      <c r="S314" s="37" t="s">
        <v>591</v>
      </c>
      <c r="T314" s="31"/>
    </row>
    <row r="315" spans="1:20">
      <c r="A315" s="31"/>
      <c r="B315" s="32"/>
      <c r="C315" s="33"/>
      <c r="D315" s="32" t="s">
        <v>722</v>
      </c>
      <c r="E315" s="33" t="s">
        <v>54</v>
      </c>
      <c r="F315" s="34">
        <v>1</v>
      </c>
      <c r="G315" s="35">
        <v>0</v>
      </c>
      <c r="H315" s="35">
        <v>0</v>
      </c>
      <c r="I315" s="35">
        <f>Tabla1[[#This Row],[P.U. M.N.]]*Tabla1[[#This Row],[CANTIDADES DE REFERENCIA]]</f>
        <v>0</v>
      </c>
      <c r="J315" s="35">
        <f>Tabla1[[#This Row],[P.U. USD]]*Tabla1[[#This Row],[CANTIDADES DE REFERENCIA]]</f>
        <v>0</v>
      </c>
      <c r="K315" s="36"/>
      <c r="L315" s="36"/>
      <c r="M315" s="36"/>
      <c r="N315" s="37" t="s">
        <v>589</v>
      </c>
      <c r="O315" s="37"/>
      <c r="P315" s="38"/>
      <c r="Q315" s="37" t="s">
        <v>723</v>
      </c>
      <c r="R315" s="37"/>
      <c r="S315" s="37" t="s">
        <v>591</v>
      </c>
      <c r="T315" s="31"/>
    </row>
    <row r="316" spans="1:20">
      <c r="A316" s="31"/>
      <c r="B316" s="32"/>
      <c r="C316" s="33"/>
      <c r="D316" s="32" t="s">
        <v>724</v>
      </c>
      <c r="E316" s="33" t="s">
        <v>54</v>
      </c>
      <c r="F316" s="34">
        <v>1</v>
      </c>
      <c r="G316" s="35">
        <v>0</v>
      </c>
      <c r="H316" s="35">
        <v>0</v>
      </c>
      <c r="I316" s="35">
        <f>Tabla1[[#This Row],[P.U. M.N.]]*Tabla1[[#This Row],[CANTIDADES DE REFERENCIA]]</f>
        <v>0</v>
      </c>
      <c r="J316" s="35">
        <f>Tabla1[[#This Row],[P.U. USD]]*Tabla1[[#This Row],[CANTIDADES DE REFERENCIA]]</f>
        <v>0</v>
      </c>
      <c r="K316" s="36"/>
      <c r="L316" s="36"/>
      <c r="M316" s="36"/>
      <c r="N316" s="37" t="s">
        <v>589</v>
      </c>
      <c r="O316" s="37"/>
      <c r="P316" s="38"/>
      <c r="Q316" s="37" t="s">
        <v>725</v>
      </c>
      <c r="R316" s="37"/>
      <c r="S316" s="37" t="s">
        <v>591</v>
      </c>
      <c r="T316" s="31"/>
    </row>
    <row r="317" spans="1:20">
      <c r="A317" s="31"/>
      <c r="B317" s="32"/>
      <c r="C317" s="33"/>
      <c r="D317" s="32" t="s">
        <v>726</v>
      </c>
      <c r="E317" s="33" t="s">
        <v>54</v>
      </c>
      <c r="F317" s="34">
        <v>1</v>
      </c>
      <c r="G317" s="35">
        <v>0</v>
      </c>
      <c r="H317" s="35">
        <v>0</v>
      </c>
      <c r="I317" s="35">
        <f>Tabla1[[#This Row],[P.U. M.N.]]*Tabla1[[#This Row],[CANTIDADES DE REFERENCIA]]</f>
        <v>0</v>
      </c>
      <c r="J317" s="35">
        <f>Tabla1[[#This Row],[P.U. USD]]*Tabla1[[#This Row],[CANTIDADES DE REFERENCIA]]</f>
        <v>0</v>
      </c>
      <c r="K317" s="36"/>
      <c r="L317" s="36"/>
      <c r="M317" s="36"/>
      <c r="N317" s="37" t="s">
        <v>589</v>
      </c>
      <c r="O317" s="37"/>
      <c r="P317" s="38"/>
      <c r="Q317" s="37" t="s">
        <v>727</v>
      </c>
      <c r="R317" s="37"/>
      <c r="S317" s="37" t="s">
        <v>591</v>
      </c>
      <c r="T317" s="31"/>
    </row>
    <row r="318" spans="1:20">
      <c r="A318" s="31"/>
      <c r="B318" s="32"/>
      <c r="C318" s="33"/>
      <c r="D318" s="32" t="s">
        <v>728</v>
      </c>
      <c r="E318" s="33" t="s">
        <v>54</v>
      </c>
      <c r="F318" s="34">
        <v>1</v>
      </c>
      <c r="G318" s="35">
        <v>0</v>
      </c>
      <c r="H318" s="35">
        <v>0</v>
      </c>
      <c r="I318" s="35">
        <f>Tabla1[[#This Row],[P.U. M.N.]]*Tabla1[[#This Row],[CANTIDADES DE REFERENCIA]]</f>
        <v>0</v>
      </c>
      <c r="J318" s="35">
        <f>Tabla1[[#This Row],[P.U. USD]]*Tabla1[[#This Row],[CANTIDADES DE REFERENCIA]]</f>
        <v>0</v>
      </c>
      <c r="K318" s="36"/>
      <c r="L318" s="36"/>
      <c r="M318" s="36"/>
      <c r="N318" s="37" t="s">
        <v>589</v>
      </c>
      <c r="O318" s="37"/>
      <c r="P318" s="38"/>
      <c r="Q318" s="37" t="s">
        <v>729</v>
      </c>
      <c r="R318" s="37"/>
      <c r="S318" s="37" t="s">
        <v>591</v>
      </c>
      <c r="T318" s="31"/>
    </row>
    <row r="319" spans="1:20">
      <c r="A319" s="31"/>
      <c r="B319" s="32"/>
      <c r="C319" s="33"/>
      <c r="D319" s="32" t="s">
        <v>730</v>
      </c>
      <c r="E319" s="33" t="s">
        <v>54</v>
      </c>
      <c r="F319" s="34">
        <v>1</v>
      </c>
      <c r="G319" s="35">
        <v>0</v>
      </c>
      <c r="H319" s="35">
        <v>0</v>
      </c>
      <c r="I319" s="35">
        <f>Tabla1[[#This Row],[P.U. M.N.]]*Tabla1[[#This Row],[CANTIDADES DE REFERENCIA]]</f>
        <v>0</v>
      </c>
      <c r="J319" s="35">
        <f>Tabla1[[#This Row],[P.U. USD]]*Tabla1[[#This Row],[CANTIDADES DE REFERENCIA]]</f>
        <v>0</v>
      </c>
      <c r="K319" s="36"/>
      <c r="L319" s="36"/>
      <c r="M319" s="36"/>
      <c r="N319" s="37" t="s">
        <v>589</v>
      </c>
      <c r="O319" s="37"/>
      <c r="P319" s="38"/>
      <c r="Q319" s="37" t="s">
        <v>731</v>
      </c>
      <c r="R319" s="37"/>
      <c r="S319" s="37" t="s">
        <v>591</v>
      </c>
      <c r="T319" s="31"/>
    </row>
    <row r="320" spans="1:20">
      <c r="A320" s="31"/>
      <c r="B320" s="32"/>
      <c r="C320" s="33"/>
      <c r="D320" s="32" t="s">
        <v>732</v>
      </c>
      <c r="E320" s="33" t="s">
        <v>54</v>
      </c>
      <c r="F320" s="34">
        <v>1</v>
      </c>
      <c r="G320" s="35">
        <v>0</v>
      </c>
      <c r="H320" s="35">
        <v>0</v>
      </c>
      <c r="I320" s="35">
        <f>Tabla1[[#This Row],[P.U. M.N.]]*Tabla1[[#This Row],[CANTIDADES DE REFERENCIA]]</f>
        <v>0</v>
      </c>
      <c r="J320" s="35">
        <f>Tabla1[[#This Row],[P.U. USD]]*Tabla1[[#This Row],[CANTIDADES DE REFERENCIA]]</f>
        <v>0</v>
      </c>
      <c r="K320" s="36"/>
      <c r="L320" s="36"/>
      <c r="M320" s="36"/>
      <c r="N320" s="37" t="s">
        <v>589</v>
      </c>
      <c r="O320" s="37"/>
      <c r="P320" s="38"/>
      <c r="Q320" s="37" t="s">
        <v>733</v>
      </c>
      <c r="R320" s="37"/>
      <c r="S320" s="37" t="s">
        <v>591</v>
      </c>
      <c r="T320" s="31"/>
    </row>
    <row r="321" spans="1:20">
      <c r="A321" s="31"/>
      <c r="B321" s="32"/>
      <c r="C321" s="33"/>
      <c r="D321" s="32" t="s">
        <v>734</v>
      </c>
      <c r="E321" s="33" t="s">
        <v>54</v>
      </c>
      <c r="F321" s="34">
        <v>1</v>
      </c>
      <c r="G321" s="35">
        <v>0</v>
      </c>
      <c r="H321" s="35">
        <v>0</v>
      </c>
      <c r="I321" s="35">
        <f>Tabla1[[#This Row],[P.U. M.N.]]*Tabla1[[#This Row],[CANTIDADES DE REFERENCIA]]</f>
        <v>0</v>
      </c>
      <c r="J321" s="35">
        <f>Tabla1[[#This Row],[P.U. USD]]*Tabla1[[#This Row],[CANTIDADES DE REFERENCIA]]</f>
        <v>0</v>
      </c>
      <c r="K321" s="36"/>
      <c r="L321" s="36"/>
      <c r="M321" s="36"/>
      <c r="N321" s="37" t="s">
        <v>589</v>
      </c>
      <c r="O321" s="37"/>
      <c r="P321" s="38"/>
      <c r="Q321" s="37" t="s">
        <v>735</v>
      </c>
      <c r="R321" s="37"/>
      <c r="S321" s="37" t="s">
        <v>591</v>
      </c>
      <c r="T321" s="31"/>
    </row>
    <row r="322" spans="1:20">
      <c r="A322" s="31"/>
      <c r="B322" s="32"/>
      <c r="C322" s="33"/>
      <c r="D322" s="32" t="s">
        <v>736</v>
      </c>
      <c r="E322" s="33" t="s">
        <v>54</v>
      </c>
      <c r="F322" s="34">
        <v>1</v>
      </c>
      <c r="G322" s="35">
        <v>0</v>
      </c>
      <c r="H322" s="35">
        <v>0</v>
      </c>
      <c r="I322" s="35">
        <f>Tabla1[[#This Row],[P.U. M.N.]]*Tabla1[[#This Row],[CANTIDADES DE REFERENCIA]]</f>
        <v>0</v>
      </c>
      <c r="J322" s="35">
        <f>Tabla1[[#This Row],[P.U. USD]]*Tabla1[[#This Row],[CANTIDADES DE REFERENCIA]]</f>
        <v>0</v>
      </c>
      <c r="K322" s="36"/>
      <c r="L322" s="36"/>
      <c r="M322" s="36"/>
      <c r="N322" s="37" t="s">
        <v>589</v>
      </c>
      <c r="O322" s="37"/>
      <c r="P322" s="38"/>
      <c r="Q322" s="37" t="s">
        <v>737</v>
      </c>
      <c r="R322" s="37"/>
      <c r="S322" s="37" t="s">
        <v>591</v>
      </c>
      <c r="T322" s="31"/>
    </row>
    <row r="323" spans="1:20">
      <c r="A323" s="31"/>
      <c r="B323" s="32"/>
      <c r="C323" s="33"/>
      <c r="D323" s="32" t="s">
        <v>738</v>
      </c>
      <c r="E323" s="33" t="s">
        <v>54</v>
      </c>
      <c r="F323" s="34">
        <v>1</v>
      </c>
      <c r="G323" s="35">
        <v>0</v>
      </c>
      <c r="H323" s="35">
        <v>0</v>
      </c>
      <c r="I323" s="35">
        <f>Tabla1[[#This Row],[P.U. M.N.]]*Tabla1[[#This Row],[CANTIDADES DE REFERENCIA]]</f>
        <v>0</v>
      </c>
      <c r="J323" s="35">
        <f>Tabla1[[#This Row],[P.U. USD]]*Tabla1[[#This Row],[CANTIDADES DE REFERENCIA]]</f>
        <v>0</v>
      </c>
      <c r="K323" s="36"/>
      <c r="L323" s="36"/>
      <c r="M323" s="36"/>
      <c r="N323" s="37" t="s">
        <v>589</v>
      </c>
      <c r="O323" s="37"/>
      <c r="P323" s="38"/>
      <c r="Q323" s="37" t="s">
        <v>739</v>
      </c>
      <c r="R323" s="37"/>
      <c r="S323" s="37" t="s">
        <v>591</v>
      </c>
      <c r="T323" s="31"/>
    </row>
    <row r="324" spans="1:20">
      <c r="A324" s="31"/>
      <c r="B324" s="32"/>
      <c r="C324" s="33"/>
      <c r="D324" s="32" t="s">
        <v>740</v>
      </c>
      <c r="E324" s="33" t="s">
        <v>54</v>
      </c>
      <c r="F324" s="34">
        <v>1</v>
      </c>
      <c r="G324" s="35">
        <v>0</v>
      </c>
      <c r="H324" s="35">
        <v>0</v>
      </c>
      <c r="I324" s="35">
        <f>Tabla1[[#This Row],[P.U. M.N.]]*Tabla1[[#This Row],[CANTIDADES DE REFERENCIA]]</f>
        <v>0</v>
      </c>
      <c r="J324" s="35">
        <f>Tabla1[[#This Row],[P.U. USD]]*Tabla1[[#This Row],[CANTIDADES DE REFERENCIA]]</f>
        <v>0</v>
      </c>
      <c r="K324" s="36"/>
      <c r="L324" s="36"/>
      <c r="M324" s="36"/>
      <c r="N324" s="37" t="s">
        <v>589</v>
      </c>
      <c r="O324" s="37"/>
      <c r="P324" s="38"/>
      <c r="Q324" s="37" t="s">
        <v>741</v>
      </c>
      <c r="R324" s="37"/>
      <c r="S324" s="37" t="s">
        <v>591</v>
      </c>
      <c r="T324" s="31"/>
    </row>
    <row r="325" spans="1:20">
      <c r="A325" s="31"/>
      <c r="B325" s="32"/>
      <c r="C325" s="33"/>
      <c r="D325" s="32" t="s">
        <v>742</v>
      </c>
      <c r="E325" s="33" t="s">
        <v>54</v>
      </c>
      <c r="F325" s="34">
        <v>1</v>
      </c>
      <c r="G325" s="35">
        <v>0</v>
      </c>
      <c r="H325" s="35">
        <v>0</v>
      </c>
      <c r="I325" s="35">
        <f>Tabla1[[#This Row],[P.U. M.N.]]*Tabla1[[#This Row],[CANTIDADES DE REFERENCIA]]</f>
        <v>0</v>
      </c>
      <c r="J325" s="35">
        <f>Tabla1[[#This Row],[P.U. USD]]*Tabla1[[#This Row],[CANTIDADES DE REFERENCIA]]</f>
        <v>0</v>
      </c>
      <c r="K325" s="36"/>
      <c r="L325" s="36"/>
      <c r="M325" s="36"/>
      <c r="N325" s="37" t="s">
        <v>589</v>
      </c>
      <c r="O325" s="37"/>
      <c r="P325" s="38"/>
      <c r="Q325" s="37" t="s">
        <v>743</v>
      </c>
      <c r="R325" s="37"/>
      <c r="S325" s="37" t="s">
        <v>591</v>
      </c>
      <c r="T325" s="31"/>
    </row>
    <row r="326" spans="1:20">
      <c r="A326" s="31"/>
      <c r="B326" s="32"/>
      <c r="C326" s="33"/>
      <c r="D326" s="32" t="s">
        <v>744</v>
      </c>
      <c r="E326" s="33" t="s">
        <v>54</v>
      </c>
      <c r="F326" s="34">
        <v>1</v>
      </c>
      <c r="G326" s="35">
        <v>0</v>
      </c>
      <c r="H326" s="35">
        <v>0</v>
      </c>
      <c r="I326" s="35">
        <f>Tabla1[[#This Row],[P.U. M.N.]]*Tabla1[[#This Row],[CANTIDADES DE REFERENCIA]]</f>
        <v>0</v>
      </c>
      <c r="J326" s="35">
        <f>Tabla1[[#This Row],[P.U. USD]]*Tabla1[[#This Row],[CANTIDADES DE REFERENCIA]]</f>
        <v>0</v>
      </c>
      <c r="K326" s="36"/>
      <c r="L326" s="36"/>
      <c r="M326" s="36"/>
      <c r="N326" s="37" t="s">
        <v>589</v>
      </c>
      <c r="O326" s="37"/>
      <c r="P326" s="38"/>
      <c r="Q326" s="37" t="s">
        <v>745</v>
      </c>
      <c r="R326" s="37"/>
      <c r="S326" s="37" t="s">
        <v>591</v>
      </c>
      <c r="T326" s="31"/>
    </row>
    <row r="327" spans="1:20">
      <c r="A327" s="31"/>
      <c r="B327" s="32"/>
      <c r="C327" s="33"/>
      <c r="D327" s="32" t="s">
        <v>746</v>
      </c>
      <c r="E327" s="33" t="s">
        <v>54</v>
      </c>
      <c r="F327" s="34">
        <v>1</v>
      </c>
      <c r="G327" s="35">
        <v>0</v>
      </c>
      <c r="H327" s="35">
        <v>0</v>
      </c>
      <c r="I327" s="35">
        <f>Tabla1[[#This Row],[P.U. M.N.]]*Tabla1[[#This Row],[CANTIDADES DE REFERENCIA]]</f>
        <v>0</v>
      </c>
      <c r="J327" s="35">
        <f>Tabla1[[#This Row],[P.U. USD]]*Tabla1[[#This Row],[CANTIDADES DE REFERENCIA]]</f>
        <v>0</v>
      </c>
      <c r="K327" s="36"/>
      <c r="L327" s="36"/>
      <c r="M327" s="36"/>
      <c r="N327" s="37" t="s">
        <v>589</v>
      </c>
      <c r="O327" s="37"/>
      <c r="P327" s="38"/>
      <c r="Q327" s="37" t="s">
        <v>747</v>
      </c>
      <c r="R327" s="37"/>
      <c r="S327" s="37" t="s">
        <v>591</v>
      </c>
      <c r="T327" s="31"/>
    </row>
    <row r="328" spans="1:20">
      <c r="A328" s="31"/>
      <c r="B328" s="32"/>
      <c r="C328" s="33"/>
      <c r="D328" s="32" t="s">
        <v>748</v>
      </c>
      <c r="E328" s="33" t="s">
        <v>54</v>
      </c>
      <c r="F328" s="34">
        <v>1</v>
      </c>
      <c r="G328" s="35">
        <v>0</v>
      </c>
      <c r="H328" s="35">
        <v>0</v>
      </c>
      <c r="I328" s="35">
        <f>Tabla1[[#This Row],[P.U. M.N.]]*Tabla1[[#This Row],[CANTIDADES DE REFERENCIA]]</f>
        <v>0</v>
      </c>
      <c r="J328" s="35">
        <f>Tabla1[[#This Row],[P.U. USD]]*Tabla1[[#This Row],[CANTIDADES DE REFERENCIA]]</f>
        <v>0</v>
      </c>
      <c r="K328" s="36"/>
      <c r="L328" s="36"/>
      <c r="M328" s="36"/>
      <c r="N328" s="37" t="s">
        <v>589</v>
      </c>
      <c r="O328" s="37"/>
      <c r="P328" s="38"/>
      <c r="Q328" s="37" t="s">
        <v>749</v>
      </c>
      <c r="R328" s="37"/>
      <c r="S328" s="37" t="s">
        <v>591</v>
      </c>
      <c r="T328" s="31"/>
    </row>
    <row r="329" spans="1:20">
      <c r="A329" s="31"/>
      <c r="B329" s="32"/>
      <c r="C329" s="33"/>
      <c r="D329" s="32" t="s">
        <v>750</v>
      </c>
      <c r="E329" s="33" t="s">
        <v>54</v>
      </c>
      <c r="F329" s="34">
        <v>1</v>
      </c>
      <c r="G329" s="35">
        <v>0</v>
      </c>
      <c r="H329" s="35">
        <v>0</v>
      </c>
      <c r="I329" s="35">
        <f>Tabla1[[#This Row],[P.U. M.N.]]*Tabla1[[#This Row],[CANTIDADES DE REFERENCIA]]</f>
        <v>0</v>
      </c>
      <c r="J329" s="35">
        <f>Tabla1[[#This Row],[P.U. USD]]*Tabla1[[#This Row],[CANTIDADES DE REFERENCIA]]</f>
        <v>0</v>
      </c>
      <c r="K329" s="36"/>
      <c r="L329" s="36"/>
      <c r="M329" s="36"/>
      <c r="N329" s="37" t="s">
        <v>589</v>
      </c>
      <c r="O329" s="37"/>
      <c r="P329" s="38"/>
      <c r="Q329" s="37" t="s">
        <v>751</v>
      </c>
      <c r="R329" s="37"/>
      <c r="S329" s="37" t="s">
        <v>591</v>
      </c>
      <c r="T329" s="31"/>
    </row>
    <row r="330" spans="1:20">
      <c r="A330" s="31"/>
      <c r="B330" s="32"/>
      <c r="C330" s="33"/>
      <c r="D330" s="32" t="s">
        <v>752</v>
      </c>
      <c r="E330" s="33" t="s">
        <v>61</v>
      </c>
      <c r="F330" s="34">
        <v>1</v>
      </c>
      <c r="G330" s="35">
        <v>0</v>
      </c>
      <c r="H330" s="35">
        <v>0</v>
      </c>
      <c r="I330" s="35">
        <f>Tabla1[[#This Row],[P.U. M.N.]]*Tabla1[[#This Row],[CANTIDADES DE REFERENCIA]]</f>
        <v>0</v>
      </c>
      <c r="J330" s="35">
        <f>Tabla1[[#This Row],[P.U. USD]]*Tabla1[[#This Row],[CANTIDADES DE REFERENCIA]]</f>
        <v>0</v>
      </c>
      <c r="K330" s="36"/>
      <c r="L330" s="36"/>
      <c r="M330" s="36"/>
      <c r="N330" s="37" t="s">
        <v>589</v>
      </c>
      <c r="O330" s="37"/>
      <c r="P330" s="38"/>
      <c r="Q330" s="37" t="s">
        <v>753</v>
      </c>
      <c r="R330" s="37"/>
      <c r="S330" s="37" t="s">
        <v>591</v>
      </c>
      <c r="T330" s="31"/>
    </row>
    <row r="331" spans="1:20">
      <c r="A331" s="31"/>
      <c r="B331" s="32"/>
      <c r="C331" s="33"/>
      <c r="D331" s="32" t="s">
        <v>754</v>
      </c>
      <c r="E331" s="33" t="s">
        <v>116</v>
      </c>
      <c r="F331" s="34">
        <v>1</v>
      </c>
      <c r="G331" s="35">
        <v>0</v>
      </c>
      <c r="H331" s="35">
        <v>0</v>
      </c>
      <c r="I331" s="35">
        <f>Tabla1[[#This Row],[P.U. M.N.]]*Tabla1[[#This Row],[CANTIDADES DE REFERENCIA]]</f>
        <v>0</v>
      </c>
      <c r="J331" s="35">
        <f>Tabla1[[#This Row],[P.U. USD]]*Tabla1[[#This Row],[CANTIDADES DE REFERENCIA]]</f>
        <v>0</v>
      </c>
      <c r="K331" s="36"/>
      <c r="L331" s="36"/>
      <c r="M331" s="36"/>
      <c r="N331" s="37" t="s">
        <v>589</v>
      </c>
      <c r="O331" s="37"/>
      <c r="P331" s="38"/>
      <c r="Q331" s="37" t="s">
        <v>755</v>
      </c>
      <c r="R331" s="37"/>
      <c r="S331" s="37" t="s">
        <v>591</v>
      </c>
      <c r="T331" s="31"/>
    </row>
    <row r="332" spans="1:20">
      <c r="A332" s="31"/>
      <c r="B332" s="32"/>
      <c r="C332" s="33"/>
      <c r="D332" s="32" t="s">
        <v>756</v>
      </c>
      <c r="E332" s="33" t="s">
        <v>130</v>
      </c>
      <c r="F332" s="34">
        <v>1</v>
      </c>
      <c r="G332" s="35">
        <v>0</v>
      </c>
      <c r="H332" s="35">
        <v>0</v>
      </c>
      <c r="I332" s="35">
        <f>Tabla1[[#This Row],[P.U. M.N.]]*Tabla1[[#This Row],[CANTIDADES DE REFERENCIA]]</f>
        <v>0</v>
      </c>
      <c r="J332" s="35">
        <f>Tabla1[[#This Row],[P.U. USD]]*Tabla1[[#This Row],[CANTIDADES DE REFERENCIA]]</f>
        <v>0</v>
      </c>
      <c r="K332" s="36"/>
      <c r="L332" s="36"/>
      <c r="M332" s="36"/>
      <c r="N332" s="37" t="s">
        <v>589</v>
      </c>
      <c r="O332" s="37"/>
      <c r="P332" s="38"/>
      <c r="Q332" s="37" t="s">
        <v>757</v>
      </c>
      <c r="R332" s="37"/>
      <c r="S332" s="37" t="s">
        <v>591</v>
      </c>
      <c r="T332" s="31"/>
    </row>
    <row r="333" spans="1:20">
      <c r="A333" s="31"/>
      <c r="B333" s="32"/>
      <c r="C333" s="33"/>
      <c r="D333" s="32" t="s">
        <v>758</v>
      </c>
      <c r="E333" s="33" t="s">
        <v>61</v>
      </c>
      <c r="F333" s="34">
        <v>1</v>
      </c>
      <c r="G333" s="35">
        <v>0</v>
      </c>
      <c r="H333" s="35">
        <v>0</v>
      </c>
      <c r="I333" s="35">
        <f>Tabla1[[#This Row],[P.U. M.N.]]*Tabla1[[#This Row],[CANTIDADES DE REFERENCIA]]</f>
        <v>0</v>
      </c>
      <c r="J333" s="35">
        <f>Tabla1[[#This Row],[P.U. USD]]*Tabla1[[#This Row],[CANTIDADES DE REFERENCIA]]</f>
        <v>0</v>
      </c>
      <c r="K333" s="36"/>
      <c r="L333" s="36"/>
      <c r="M333" s="36"/>
      <c r="N333" s="37" t="s">
        <v>589</v>
      </c>
      <c r="O333" s="37"/>
      <c r="P333" s="38"/>
      <c r="Q333" s="37" t="s">
        <v>759</v>
      </c>
      <c r="R333" s="37"/>
      <c r="S333" s="37" t="s">
        <v>591</v>
      </c>
      <c r="T333" s="31"/>
    </row>
    <row r="334" spans="1:20">
      <c r="A334" s="31"/>
      <c r="B334" s="32"/>
      <c r="C334" s="33"/>
      <c r="D334" s="32" t="s">
        <v>760</v>
      </c>
      <c r="E334" s="33" t="s">
        <v>61</v>
      </c>
      <c r="F334" s="34">
        <v>1</v>
      </c>
      <c r="G334" s="35">
        <v>0</v>
      </c>
      <c r="H334" s="35">
        <v>0</v>
      </c>
      <c r="I334" s="35">
        <f>Tabla1[[#This Row],[P.U. M.N.]]*Tabla1[[#This Row],[CANTIDADES DE REFERENCIA]]</f>
        <v>0</v>
      </c>
      <c r="J334" s="35">
        <f>Tabla1[[#This Row],[P.U. USD]]*Tabla1[[#This Row],[CANTIDADES DE REFERENCIA]]</f>
        <v>0</v>
      </c>
      <c r="K334" s="36"/>
      <c r="L334" s="36"/>
      <c r="M334" s="36"/>
      <c r="N334" s="37" t="s">
        <v>589</v>
      </c>
      <c r="O334" s="37"/>
      <c r="P334" s="38"/>
      <c r="Q334" s="37" t="s">
        <v>761</v>
      </c>
      <c r="R334" s="37"/>
      <c r="S334" s="37" t="s">
        <v>591</v>
      </c>
      <c r="T334" s="31"/>
    </row>
    <row r="335" spans="1:20">
      <c r="A335" s="31"/>
      <c r="B335" s="32"/>
      <c r="C335" s="33"/>
      <c r="D335" s="32" t="s">
        <v>762</v>
      </c>
      <c r="E335" s="33" t="s">
        <v>42</v>
      </c>
      <c r="F335" s="34">
        <v>1</v>
      </c>
      <c r="G335" s="35">
        <v>0</v>
      </c>
      <c r="H335" s="35">
        <v>0</v>
      </c>
      <c r="I335" s="35">
        <f>Tabla1[[#This Row],[P.U. M.N.]]*Tabla1[[#This Row],[CANTIDADES DE REFERENCIA]]</f>
        <v>0</v>
      </c>
      <c r="J335" s="35">
        <f>Tabla1[[#This Row],[P.U. USD]]*Tabla1[[#This Row],[CANTIDADES DE REFERENCIA]]</f>
        <v>0</v>
      </c>
      <c r="K335" s="36"/>
      <c r="L335" s="36"/>
      <c r="M335" s="36"/>
      <c r="N335" s="37" t="s">
        <v>589</v>
      </c>
      <c r="O335" s="37"/>
      <c r="P335" s="38"/>
      <c r="Q335" s="37" t="s">
        <v>763</v>
      </c>
      <c r="R335" s="37"/>
      <c r="S335" s="37" t="s">
        <v>591</v>
      </c>
      <c r="T335" s="31"/>
    </row>
    <row r="336" spans="1:20">
      <c r="A336" s="31"/>
      <c r="B336" s="32"/>
      <c r="C336" s="33"/>
      <c r="D336" s="32" t="s">
        <v>764</v>
      </c>
      <c r="E336" s="33" t="s">
        <v>42</v>
      </c>
      <c r="F336" s="34">
        <v>1</v>
      </c>
      <c r="G336" s="35">
        <v>0</v>
      </c>
      <c r="H336" s="35">
        <v>0</v>
      </c>
      <c r="I336" s="35">
        <f>Tabla1[[#This Row],[P.U. M.N.]]*Tabla1[[#This Row],[CANTIDADES DE REFERENCIA]]</f>
        <v>0</v>
      </c>
      <c r="J336" s="35">
        <f>Tabla1[[#This Row],[P.U. USD]]*Tabla1[[#This Row],[CANTIDADES DE REFERENCIA]]</f>
        <v>0</v>
      </c>
      <c r="K336" s="36"/>
      <c r="L336" s="36"/>
      <c r="M336" s="36"/>
      <c r="N336" s="37" t="s">
        <v>589</v>
      </c>
      <c r="O336" s="37"/>
      <c r="P336" s="38"/>
      <c r="Q336" s="37" t="s">
        <v>765</v>
      </c>
      <c r="R336" s="37"/>
      <c r="S336" s="37" t="s">
        <v>591</v>
      </c>
      <c r="T336" s="31"/>
    </row>
    <row r="337" spans="1:20">
      <c r="A337" s="31"/>
      <c r="B337" s="32"/>
      <c r="C337" s="33"/>
      <c r="D337" s="32" t="s">
        <v>766</v>
      </c>
      <c r="E337" s="33" t="s">
        <v>42</v>
      </c>
      <c r="F337" s="34">
        <v>1</v>
      </c>
      <c r="G337" s="35">
        <v>0</v>
      </c>
      <c r="H337" s="35">
        <v>0</v>
      </c>
      <c r="I337" s="35">
        <f>Tabla1[[#This Row],[P.U. M.N.]]*Tabla1[[#This Row],[CANTIDADES DE REFERENCIA]]</f>
        <v>0</v>
      </c>
      <c r="J337" s="35">
        <f>Tabla1[[#This Row],[P.U. USD]]*Tabla1[[#This Row],[CANTIDADES DE REFERENCIA]]</f>
        <v>0</v>
      </c>
      <c r="K337" s="36"/>
      <c r="L337" s="36"/>
      <c r="M337" s="36"/>
      <c r="N337" s="37" t="s">
        <v>589</v>
      </c>
      <c r="O337" s="37"/>
      <c r="P337" s="38"/>
      <c r="Q337" s="37" t="s">
        <v>767</v>
      </c>
      <c r="R337" s="37"/>
      <c r="S337" s="37" t="s">
        <v>591</v>
      </c>
      <c r="T337" s="31"/>
    </row>
    <row r="338" spans="1:20">
      <c r="A338" s="31"/>
      <c r="B338" s="32"/>
      <c r="C338" s="33"/>
      <c r="D338" s="32" t="s">
        <v>768</v>
      </c>
      <c r="E338" s="33" t="s">
        <v>42</v>
      </c>
      <c r="F338" s="34">
        <v>1</v>
      </c>
      <c r="G338" s="35">
        <v>0</v>
      </c>
      <c r="H338" s="35">
        <v>0</v>
      </c>
      <c r="I338" s="35">
        <f>Tabla1[[#This Row],[P.U. M.N.]]*Tabla1[[#This Row],[CANTIDADES DE REFERENCIA]]</f>
        <v>0</v>
      </c>
      <c r="J338" s="35">
        <f>Tabla1[[#This Row],[P.U. USD]]*Tabla1[[#This Row],[CANTIDADES DE REFERENCIA]]</f>
        <v>0</v>
      </c>
      <c r="K338" s="36"/>
      <c r="L338" s="36"/>
      <c r="M338" s="36"/>
      <c r="N338" s="37" t="s">
        <v>589</v>
      </c>
      <c r="O338" s="37"/>
      <c r="P338" s="38"/>
      <c r="Q338" s="37" t="s">
        <v>769</v>
      </c>
      <c r="R338" s="37"/>
      <c r="S338" s="37" t="s">
        <v>591</v>
      </c>
      <c r="T338" s="31"/>
    </row>
    <row r="339" spans="1:20">
      <c r="A339" s="31"/>
      <c r="B339" s="32"/>
      <c r="C339" s="33"/>
      <c r="D339" s="32" t="s">
        <v>770</v>
      </c>
      <c r="E339" s="33" t="s">
        <v>42</v>
      </c>
      <c r="F339" s="34">
        <v>1</v>
      </c>
      <c r="G339" s="35">
        <v>0</v>
      </c>
      <c r="H339" s="35">
        <v>0</v>
      </c>
      <c r="I339" s="35">
        <f>Tabla1[[#This Row],[P.U. M.N.]]*Tabla1[[#This Row],[CANTIDADES DE REFERENCIA]]</f>
        <v>0</v>
      </c>
      <c r="J339" s="35">
        <f>Tabla1[[#This Row],[P.U. USD]]*Tabla1[[#This Row],[CANTIDADES DE REFERENCIA]]</f>
        <v>0</v>
      </c>
      <c r="K339" s="36"/>
      <c r="L339" s="36"/>
      <c r="M339" s="36"/>
      <c r="N339" s="37" t="s">
        <v>589</v>
      </c>
      <c r="O339" s="37"/>
      <c r="P339" s="38"/>
      <c r="Q339" s="37" t="s">
        <v>771</v>
      </c>
      <c r="R339" s="37"/>
      <c r="S339" s="37" t="s">
        <v>591</v>
      </c>
      <c r="T339" s="31"/>
    </row>
    <row r="340" spans="1:20">
      <c r="A340" s="31"/>
      <c r="B340" s="32"/>
      <c r="C340" s="33"/>
      <c r="D340" s="32" t="s">
        <v>772</v>
      </c>
      <c r="E340" s="33" t="s">
        <v>42</v>
      </c>
      <c r="F340" s="34">
        <v>1</v>
      </c>
      <c r="G340" s="35">
        <v>0</v>
      </c>
      <c r="H340" s="35">
        <v>0</v>
      </c>
      <c r="I340" s="35">
        <f>Tabla1[[#This Row],[P.U. M.N.]]*Tabla1[[#This Row],[CANTIDADES DE REFERENCIA]]</f>
        <v>0</v>
      </c>
      <c r="J340" s="35">
        <f>Tabla1[[#This Row],[P.U. USD]]*Tabla1[[#This Row],[CANTIDADES DE REFERENCIA]]</f>
        <v>0</v>
      </c>
      <c r="K340" s="36"/>
      <c r="L340" s="36"/>
      <c r="M340" s="36"/>
      <c r="N340" s="37" t="s">
        <v>589</v>
      </c>
      <c r="O340" s="37"/>
      <c r="P340" s="38"/>
      <c r="Q340" s="37" t="s">
        <v>773</v>
      </c>
      <c r="R340" s="37"/>
      <c r="S340" s="37" t="s">
        <v>591</v>
      </c>
      <c r="T340" s="31"/>
    </row>
    <row r="341" spans="1:20">
      <c r="A341" s="31"/>
      <c r="B341" s="32"/>
      <c r="C341" s="33"/>
      <c r="D341" s="32" t="s">
        <v>774</v>
      </c>
      <c r="E341" s="33" t="s">
        <v>42</v>
      </c>
      <c r="F341" s="34">
        <v>1</v>
      </c>
      <c r="G341" s="35">
        <v>0</v>
      </c>
      <c r="H341" s="35">
        <v>0</v>
      </c>
      <c r="I341" s="35">
        <f>Tabla1[[#This Row],[P.U. M.N.]]*Tabla1[[#This Row],[CANTIDADES DE REFERENCIA]]</f>
        <v>0</v>
      </c>
      <c r="J341" s="35">
        <f>Tabla1[[#This Row],[P.U. USD]]*Tabla1[[#This Row],[CANTIDADES DE REFERENCIA]]</f>
        <v>0</v>
      </c>
      <c r="K341" s="36"/>
      <c r="L341" s="36"/>
      <c r="M341" s="36"/>
      <c r="N341" s="37" t="s">
        <v>589</v>
      </c>
      <c r="O341" s="37"/>
      <c r="P341" s="38"/>
      <c r="Q341" s="37" t="s">
        <v>775</v>
      </c>
      <c r="R341" s="37"/>
      <c r="S341" s="37" t="s">
        <v>591</v>
      </c>
      <c r="T341" s="31"/>
    </row>
    <row r="342" spans="1:20">
      <c r="A342" s="31"/>
      <c r="B342" s="32"/>
      <c r="C342" s="33"/>
      <c r="D342" s="32" t="s">
        <v>776</v>
      </c>
      <c r="E342" s="33" t="s">
        <v>42</v>
      </c>
      <c r="F342" s="34">
        <v>1</v>
      </c>
      <c r="G342" s="35">
        <v>0</v>
      </c>
      <c r="H342" s="35">
        <v>0</v>
      </c>
      <c r="I342" s="35">
        <f>Tabla1[[#This Row],[P.U. M.N.]]*Tabla1[[#This Row],[CANTIDADES DE REFERENCIA]]</f>
        <v>0</v>
      </c>
      <c r="J342" s="35">
        <f>Tabla1[[#This Row],[P.U. USD]]*Tabla1[[#This Row],[CANTIDADES DE REFERENCIA]]</f>
        <v>0</v>
      </c>
      <c r="K342" s="36"/>
      <c r="L342" s="36"/>
      <c r="M342" s="36"/>
      <c r="N342" s="37" t="s">
        <v>589</v>
      </c>
      <c r="O342" s="37"/>
      <c r="P342" s="38"/>
      <c r="Q342" s="37" t="s">
        <v>777</v>
      </c>
      <c r="R342" s="37"/>
      <c r="S342" s="37" t="s">
        <v>591</v>
      </c>
      <c r="T342" s="31"/>
    </row>
    <row r="343" spans="1:20">
      <c r="A343" s="31"/>
      <c r="B343" s="32"/>
      <c r="C343" s="33"/>
      <c r="D343" s="32" t="s">
        <v>778</v>
      </c>
      <c r="E343" s="33" t="s">
        <v>42</v>
      </c>
      <c r="F343" s="34">
        <v>1</v>
      </c>
      <c r="G343" s="35">
        <v>0</v>
      </c>
      <c r="H343" s="35">
        <v>0</v>
      </c>
      <c r="I343" s="35">
        <f>Tabla1[[#This Row],[P.U. M.N.]]*Tabla1[[#This Row],[CANTIDADES DE REFERENCIA]]</f>
        <v>0</v>
      </c>
      <c r="J343" s="35">
        <f>Tabla1[[#This Row],[P.U. USD]]*Tabla1[[#This Row],[CANTIDADES DE REFERENCIA]]</f>
        <v>0</v>
      </c>
      <c r="K343" s="36"/>
      <c r="L343" s="36"/>
      <c r="M343" s="36"/>
      <c r="N343" s="37" t="s">
        <v>589</v>
      </c>
      <c r="O343" s="37"/>
      <c r="P343" s="38"/>
      <c r="Q343" s="37" t="s">
        <v>779</v>
      </c>
      <c r="R343" s="37"/>
      <c r="S343" s="37" t="s">
        <v>591</v>
      </c>
      <c r="T343" s="31"/>
    </row>
    <row r="344" spans="1:20">
      <c r="A344" s="31"/>
      <c r="B344" s="32"/>
      <c r="C344" s="33"/>
      <c r="D344" s="32" t="s">
        <v>780</v>
      </c>
      <c r="E344" s="33" t="s">
        <v>367</v>
      </c>
      <c r="F344" s="34">
        <v>1</v>
      </c>
      <c r="G344" s="35">
        <v>0</v>
      </c>
      <c r="H344" s="35">
        <v>0</v>
      </c>
      <c r="I344" s="35">
        <f>Tabla1[[#This Row],[P.U. M.N.]]*Tabla1[[#This Row],[CANTIDADES DE REFERENCIA]]</f>
        <v>0</v>
      </c>
      <c r="J344" s="35">
        <f>Tabla1[[#This Row],[P.U. USD]]*Tabla1[[#This Row],[CANTIDADES DE REFERENCIA]]</f>
        <v>0</v>
      </c>
      <c r="K344" s="36"/>
      <c r="L344" s="36"/>
      <c r="M344" s="36"/>
      <c r="N344" s="37" t="s">
        <v>589</v>
      </c>
      <c r="O344" s="37"/>
      <c r="P344" s="38"/>
      <c r="Q344" s="37" t="s">
        <v>781</v>
      </c>
      <c r="R344" s="37"/>
      <c r="S344" s="37" t="s">
        <v>591</v>
      </c>
      <c r="T344" s="31"/>
    </row>
    <row r="345" spans="1:20">
      <c r="A345" s="31"/>
      <c r="B345" s="32"/>
      <c r="C345" s="33"/>
      <c r="D345" s="32" t="s">
        <v>782</v>
      </c>
      <c r="E345" s="33" t="s">
        <v>367</v>
      </c>
      <c r="F345" s="34">
        <v>1</v>
      </c>
      <c r="G345" s="35">
        <v>0</v>
      </c>
      <c r="H345" s="35">
        <v>0</v>
      </c>
      <c r="I345" s="35">
        <f>Tabla1[[#This Row],[P.U. M.N.]]*Tabla1[[#This Row],[CANTIDADES DE REFERENCIA]]</f>
        <v>0</v>
      </c>
      <c r="J345" s="35">
        <f>Tabla1[[#This Row],[P.U. USD]]*Tabla1[[#This Row],[CANTIDADES DE REFERENCIA]]</f>
        <v>0</v>
      </c>
      <c r="K345" s="36"/>
      <c r="L345" s="36"/>
      <c r="M345" s="36"/>
      <c r="N345" s="37" t="s">
        <v>589</v>
      </c>
      <c r="O345" s="37"/>
      <c r="P345" s="38"/>
      <c r="Q345" s="37" t="s">
        <v>783</v>
      </c>
      <c r="R345" s="37"/>
      <c r="S345" s="37" t="s">
        <v>591</v>
      </c>
      <c r="T345" s="31"/>
    </row>
    <row r="346" spans="1:20">
      <c r="A346" s="31"/>
      <c r="B346" s="32"/>
      <c r="C346" s="33"/>
      <c r="D346" s="32" t="s">
        <v>784</v>
      </c>
      <c r="E346" s="33" t="s">
        <v>367</v>
      </c>
      <c r="F346" s="34">
        <v>1</v>
      </c>
      <c r="G346" s="35">
        <v>0</v>
      </c>
      <c r="H346" s="35">
        <v>0</v>
      </c>
      <c r="I346" s="35">
        <f>Tabla1[[#This Row],[P.U. M.N.]]*Tabla1[[#This Row],[CANTIDADES DE REFERENCIA]]</f>
        <v>0</v>
      </c>
      <c r="J346" s="35">
        <f>Tabla1[[#This Row],[P.U. USD]]*Tabla1[[#This Row],[CANTIDADES DE REFERENCIA]]</f>
        <v>0</v>
      </c>
      <c r="K346" s="36"/>
      <c r="L346" s="36"/>
      <c r="M346" s="36"/>
      <c r="N346" s="37" t="s">
        <v>589</v>
      </c>
      <c r="O346" s="37"/>
      <c r="P346" s="38"/>
      <c r="Q346" s="37" t="s">
        <v>785</v>
      </c>
      <c r="R346" s="37"/>
      <c r="S346" s="37" t="s">
        <v>591</v>
      </c>
      <c r="T346" s="31"/>
    </row>
    <row r="347" spans="1:20">
      <c r="A347" s="31"/>
      <c r="B347" s="32"/>
      <c r="C347" s="33"/>
      <c r="D347" s="32" t="s">
        <v>786</v>
      </c>
      <c r="E347" s="33" t="s">
        <v>367</v>
      </c>
      <c r="F347" s="34">
        <v>1</v>
      </c>
      <c r="G347" s="35">
        <v>0</v>
      </c>
      <c r="H347" s="35">
        <v>0</v>
      </c>
      <c r="I347" s="35">
        <f>Tabla1[[#This Row],[P.U. M.N.]]*Tabla1[[#This Row],[CANTIDADES DE REFERENCIA]]</f>
        <v>0</v>
      </c>
      <c r="J347" s="35">
        <f>Tabla1[[#This Row],[P.U. USD]]*Tabla1[[#This Row],[CANTIDADES DE REFERENCIA]]</f>
        <v>0</v>
      </c>
      <c r="K347" s="36"/>
      <c r="L347" s="36"/>
      <c r="M347" s="36"/>
      <c r="N347" s="37" t="s">
        <v>589</v>
      </c>
      <c r="O347" s="37"/>
      <c r="P347" s="38"/>
      <c r="Q347" s="37" t="s">
        <v>787</v>
      </c>
      <c r="R347" s="37"/>
      <c r="S347" s="37" t="s">
        <v>591</v>
      </c>
      <c r="T347" s="31"/>
    </row>
    <row r="348" spans="1:20">
      <c r="A348" s="31"/>
      <c r="B348" s="32"/>
      <c r="C348" s="33"/>
      <c r="D348" s="32" t="s">
        <v>788</v>
      </c>
      <c r="E348" s="33" t="s">
        <v>367</v>
      </c>
      <c r="F348" s="34">
        <v>1</v>
      </c>
      <c r="G348" s="35">
        <v>0</v>
      </c>
      <c r="H348" s="35">
        <v>0</v>
      </c>
      <c r="I348" s="35">
        <f>Tabla1[[#This Row],[P.U. M.N.]]*Tabla1[[#This Row],[CANTIDADES DE REFERENCIA]]</f>
        <v>0</v>
      </c>
      <c r="J348" s="35">
        <f>Tabla1[[#This Row],[P.U. USD]]*Tabla1[[#This Row],[CANTIDADES DE REFERENCIA]]</f>
        <v>0</v>
      </c>
      <c r="K348" s="36"/>
      <c r="L348" s="36"/>
      <c r="M348" s="36"/>
      <c r="N348" s="37" t="s">
        <v>589</v>
      </c>
      <c r="O348" s="37"/>
      <c r="P348" s="38"/>
      <c r="Q348" s="37" t="s">
        <v>789</v>
      </c>
      <c r="R348" s="37"/>
      <c r="S348" s="37" t="s">
        <v>591</v>
      </c>
      <c r="T348" s="31"/>
    </row>
    <row r="349" spans="1:20">
      <c r="A349" s="31"/>
      <c r="B349" s="32"/>
      <c r="C349" s="33"/>
      <c r="D349" s="32" t="s">
        <v>790</v>
      </c>
      <c r="E349" s="33" t="s">
        <v>367</v>
      </c>
      <c r="F349" s="34">
        <v>1</v>
      </c>
      <c r="G349" s="35">
        <v>0</v>
      </c>
      <c r="H349" s="35">
        <v>0</v>
      </c>
      <c r="I349" s="35">
        <f>Tabla1[[#This Row],[P.U. M.N.]]*Tabla1[[#This Row],[CANTIDADES DE REFERENCIA]]</f>
        <v>0</v>
      </c>
      <c r="J349" s="35">
        <f>Tabla1[[#This Row],[P.U. USD]]*Tabla1[[#This Row],[CANTIDADES DE REFERENCIA]]</f>
        <v>0</v>
      </c>
      <c r="K349" s="36"/>
      <c r="L349" s="36"/>
      <c r="M349" s="36"/>
      <c r="N349" s="37" t="s">
        <v>589</v>
      </c>
      <c r="O349" s="37"/>
      <c r="P349" s="38"/>
      <c r="Q349" s="37" t="s">
        <v>791</v>
      </c>
      <c r="R349" s="37"/>
      <c r="S349" s="37" t="s">
        <v>591</v>
      </c>
      <c r="T349" s="31"/>
    </row>
    <row r="350" spans="1:20">
      <c r="A350" s="31"/>
      <c r="B350" s="32"/>
      <c r="C350" s="33"/>
      <c r="D350" s="32" t="s">
        <v>792</v>
      </c>
      <c r="E350" s="33" t="s">
        <v>367</v>
      </c>
      <c r="F350" s="34">
        <v>1</v>
      </c>
      <c r="G350" s="35">
        <v>0</v>
      </c>
      <c r="H350" s="35">
        <v>0</v>
      </c>
      <c r="I350" s="35">
        <f>Tabla1[[#This Row],[P.U. M.N.]]*Tabla1[[#This Row],[CANTIDADES DE REFERENCIA]]</f>
        <v>0</v>
      </c>
      <c r="J350" s="35">
        <f>Tabla1[[#This Row],[P.U. USD]]*Tabla1[[#This Row],[CANTIDADES DE REFERENCIA]]</f>
        <v>0</v>
      </c>
      <c r="K350" s="36"/>
      <c r="L350" s="36"/>
      <c r="M350" s="36"/>
      <c r="N350" s="37" t="s">
        <v>589</v>
      </c>
      <c r="O350" s="37"/>
      <c r="P350" s="38"/>
      <c r="Q350" s="37" t="s">
        <v>793</v>
      </c>
      <c r="R350" s="37"/>
      <c r="S350" s="37" t="s">
        <v>591</v>
      </c>
      <c r="T350" s="31"/>
    </row>
    <row r="351" spans="1:20">
      <c r="A351" s="31"/>
      <c r="B351" s="32"/>
      <c r="C351" s="33"/>
      <c r="D351" s="32" t="s">
        <v>794</v>
      </c>
      <c r="E351" s="33" t="s">
        <v>367</v>
      </c>
      <c r="F351" s="34">
        <v>1</v>
      </c>
      <c r="G351" s="35">
        <v>0</v>
      </c>
      <c r="H351" s="35">
        <v>0</v>
      </c>
      <c r="I351" s="35">
        <f>Tabla1[[#This Row],[P.U. M.N.]]*Tabla1[[#This Row],[CANTIDADES DE REFERENCIA]]</f>
        <v>0</v>
      </c>
      <c r="J351" s="35">
        <f>Tabla1[[#This Row],[P.U. USD]]*Tabla1[[#This Row],[CANTIDADES DE REFERENCIA]]</f>
        <v>0</v>
      </c>
      <c r="K351" s="36"/>
      <c r="L351" s="36"/>
      <c r="M351" s="36"/>
      <c r="N351" s="37" t="s">
        <v>589</v>
      </c>
      <c r="O351" s="37"/>
      <c r="P351" s="38"/>
      <c r="Q351" s="37" t="s">
        <v>795</v>
      </c>
      <c r="R351" s="37"/>
      <c r="S351" s="37" t="s">
        <v>591</v>
      </c>
      <c r="T351" s="31"/>
    </row>
    <row r="352" spans="1:20">
      <c r="A352" s="31"/>
      <c r="B352" s="32"/>
      <c r="C352" s="33"/>
      <c r="D352" s="32" t="s">
        <v>796</v>
      </c>
      <c r="E352" s="33" t="s">
        <v>367</v>
      </c>
      <c r="F352" s="34">
        <v>1</v>
      </c>
      <c r="G352" s="35">
        <v>0</v>
      </c>
      <c r="H352" s="35">
        <v>0</v>
      </c>
      <c r="I352" s="35">
        <f>Tabla1[[#This Row],[P.U. M.N.]]*Tabla1[[#This Row],[CANTIDADES DE REFERENCIA]]</f>
        <v>0</v>
      </c>
      <c r="J352" s="35">
        <f>Tabla1[[#This Row],[P.U. USD]]*Tabla1[[#This Row],[CANTIDADES DE REFERENCIA]]</f>
        <v>0</v>
      </c>
      <c r="K352" s="36"/>
      <c r="L352" s="36"/>
      <c r="M352" s="36"/>
      <c r="N352" s="37" t="s">
        <v>589</v>
      </c>
      <c r="O352" s="37"/>
      <c r="P352" s="38"/>
      <c r="Q352" s="37" t="s">
        <v>797</v>
      </c>
      <c r="R352" s="37"/>
      <c r="S352" s="37" t="s">
        <v>591</v>
      </c>
      <c r="T352" s="31"/>
    </row>
    <row r="353" spans="1:20">
      <c r="A353" s="31"/>
      <c r="B353" s="32"/>
      <c r="C353" s="33"/>
      <c r="D353" s="32" t="s">
        <v>798</v>
      </c>
      <c r="E353" s="33" t="s">
        <v>367</v>
      </c>
      <c r="F353" s="34">
        <v>1</v>
      </c>
      <c r="G353" s="35">
        <v>0</v>
      </c>
      <c r="H353" s="35">
        <v>0</v>
      </c>
      <c r="I353" s="35">
        <f>Tabla1[[#This Row],[P.U. M.N.]]*Tabla1[[#This Row],[CANTIDADES DE REFERENCIA]]</f>
        <v>0</v>
      </c>
      <c r="J353" s="35">
        <f>Tabla1[[#This Row],[P.U. USD]]*Tabla1[[#This Row],[CANTIDADES DE REFERENCIA]]</f>
        <v>0</v>
      </c>
      <c r="K353" s="36"/>
      <c r="L353" s="36"/>
      <c r="M353" s="36"/>
      <c r="N353" s="37" t="s">
        <v>589</v>
      </c>
      <c r="O353" s="37"/>
      <c r="P353" s="38"/>
      <c r="Q353" s="37" t="s">
        <v>799</v>
      </c>
      <c r="R353" s="37"/>
      <c r="S353" s="37" t="s">
        <v>591</v>
      </c>
      <c r="T353" s="31"/>
    </row>
    <row r="354" spans="1:20">
      <c r="A354" s="31"/>
      <c r="B354" s="32"/>
      <c r="C354" s="33"/>
      <c r="D354" s="32" t="s">
        <v>800</v>
      </c>
      <c r="E354" s="33" t="s">
        <v>367</v>
      </c>
      <c r="F354" s="34">
        <v>1</v>
      </c>
      <c r="G354" s="35">
        <v>0</v>
      </c>
      <c r="H354" s="35">
        <v>0</v>
      </c>
      <c r="I354" s="35">
        <f>Tabla1[[#This Row],[P.U. M.N.]]*Tabla1[[#This Row],[CANTIDADES DE REFERENCIA]]</f>
        <v>0</v>
      </c>
      <c r="J354" s="35">
        <f>Tabla1[[#This Row],[P.U. USD]]*Tabla1[[#This Row],[CANTIDADES DE REFERENCIA]]</f>
        <v>0</v>
      </c>
      <c r="K354" s="36"/>
      <c r="L354" s="36"/>
      <c r="M354" s="36"/>
      <c r="N354" s="37" t="s">
        <v>589</v>
      </c>
      <c r="O354" s="37"/>
      <c r="P354" s="38"/>
      <c r="Q354" s="37" t="s">
        <v>801</v>
      </c>
      <c r="R354" s="37"/>
      <c r="S354" s="37" t="s">
        <v>591</v>
      </c>
      <c r="T354" s="31"/>
    </row>
    <row r="355" spans="1:20">
      <c r="A355" s="31"/>
      <c r="B355" s="32"/>
      <c r="C355" s="33"/>
      <c r="D355" s="32" t="s">
        <v>802</v>
      </c>
      <c r="E355" s="33" t="s">
        <v>367</v>
      </c>
      <c r="F355" s="34">
        <v>1</v>
      </c>
      <c r="G355" s="35">
        <v>0</v>
      </c>
      <c r="H355" s="35">
        <v>0</v>
      </c>
      <c r="I355" s="35">
        <f>Tabla1[[#This Row],[P.U. M.N.]]*Tabla1[[#This Row],[CANTIDADES DE REFERENCIA]]</f>
        <v>0</v>
      </c>
      <c r="J355" s="35">
        <f>Tabla1[[#This Row],[P.U. USD]]*Tabla1[[#This Row],[CANTIDADES DE REFERENCIA]]</f>
        <v>0</v>
      </c>
      <c r="K355" s="36"/>
      <c r="L355" s="36"/>
      <c r="M355" s="36"/>
      <c r="N355" s="37" t="s">
        <v>589</v>
      </c>
      <c r="O355" s="37"/>
      <c r="P355" s="38"/>
      <c r="Q355" s="37" t="s">
        <v>803</v>
      </c>
      <c r="R355" s="37"/>
      <c r="S355" s="37" t="s">
        <v>591</v>
      </c>
      <c r="T355" s="31"/>
    </row>
    <row r="356" spans="1:20">
      <c r="A356" s="31"/>
      <c r="B356" s="32"/>
      <c r="C356" s="33"/>
      <c r="D356" s="32" t="s">
        <v>804</v>
      </c>
      <c r="E356" s="33" t="s">
        <v>367</v>
      </c>
      <c r="F356" s="34">
        <v>1</v>
      </c>
      <c r="G356" s="35">
        <v>0</v>
      </c>
      <c r="H356" s="35">
        <v>0</v>
      </c>
      <c r="I356" s="35">
        <f>Tabla1[[#This Row],[P.U. M.N.]]*Tabla1[[#This Row],[CANTIDADES DE REFERENCIA]]</f>
        <v>0</v>
      </c>
      <c r="J356" s="35">
        <f>Tabla1[[#This Row],[P.U. USD]]*Tabla1[[#This Row],[CANTIDADES DE REFERENCIA]]</f>
        <v>0</v>
      </c>
      <c r="K356" s="36"/>
      <c r="L356" s="36"/>
      <c r="M356" s="36"/>
      <c r="N356" s="37" t="s">
        <v>589</v>
      </c>
      <c r="O356" s="37"/>
      <c r="P356" s="38"/>
      <c r="Q356" s="37" t="s">
        <v>805</v>
      </c>
      <c r="R356" s="37"/>
      <c r="S356" s="37" t="s">
        <v>591</v>
      </c>
      <c r="T356" s="31"/>
    </row>
    <row r="357" spans="1:20">
      <c r="A357" s="31"/>
      <c r="B357" s="32"/>
      <c r="C357" s="33"/>
      <c r="D357" s="32" t="s">
        <v>806</v>
      </c>
      <c r="E357" s="33" t="s">
        <v>367</v>
      </c>
      <c r="F357" s="34">
        <v>1</v>
      </c>
      <c r="G357" s="35">
        <v>0</v>
      </c>
      <c r="H357" s="35">
        <v>0</v>
      </c>
      <c r="I357" s="35">
        <f>Tabla1[[#This Row],[P.U. M.N.]]*Tabla1[[#This Row],[CANTIDADES DE REFERENCIA]]</f>
        <v>0</v>
      </c>
      <c r="J357" s="35">
        <f>Tabla1[[#This Row],[P.U. USD]]*Tabla1[[#This Row],[CANTIDADES DE REFERENCIA]]</f>
        <v>0</v>
      </c>
      <c r="K357" s="36"/>
      <c r="L357" s="36"/>
      <c r="M357" s="36"/>
      <c r="N357" s="37" t="s">
        <v>589</v>
      </c>
      <c r="O357" s="37"/>
      <c r="P357" s="38"/>
      <c r="Q357" s="37" t="s">
        <v>807</v>
      </c>
      <c r="R357" s="37"/>
      <c r="S357" s="37" t="s">
        <v>591</v>
      </c>
      <c r="T357" s="31"/>
    </row>
    <row r="358" spans="1:20">
      <c r="A358" s="31"/>
      <c r="B358" s="32"/>
      <c r="C358" s="33"/>
      <c r="D358" s="32" t="s">
        <v>808</v>
      </c>
      <c r="E358" s="33" t="s">
        <v>367</v>
      </c>
      <c r="F358" s="34">
        <v>1</v>
      </c>
      <c r="G358" s="35">
        <v>0</v>
      </c>
      <c r="H358" s="35">
        <v>0</v>
      </c>
      <c r="I358" s="35">
        <f>Tabla1[[#This Row],[P.U. M.N.]]*Tabla1[[#This Row],[CANTIDADES DE REFERENCIA]]</f>
        <v>0</v>
      </c>
      <c r="J358" s="35">
        <f>Tabla1[[#This Row],[P.U. USD]]*Tabla1[[#This Row],[CANTIDADES DE REFERENCIA]]</f>
        <v>0</v>
      </c>
      <c r="K358" s="36"/>
      <c r="L358" s="36"/>
      <c r="M358" s="36"/>
      <c r="N358" s="37" t="s">
        <v>589</v>
      </c>
      <c r="O358" s="37"/>
      <c r="P358" s="38"/>
      <c r="Q358" s="37" t="s">
        <v>809</v>
      </c>
      <c r="R358" s="37"/>
      <c r="S358" s="37" t="s">
        <v>591</v>
      </c>
      <c r="T358" s="31"/>
    </row>
    <row r="359" spans="1:20">
      <c r="A359" s="31"/>
      <c r="B359" s="32"/>
      <c r="C359" s="33"/>
      <c r="D359" s="32" t="s">
        <v>810</v>
      </c>
      <c r="E359" s="33" t="s">
        <v>367</v>
      </c>
      <c r="F359" s="34">
        <v>1</v>
      </c>
      <c r="G359" s="35">
        <v>0</v>
      </c>
      <c r="H359" s="35">
        <v>0</v>
      </c>
      <c r="I359" s="35">
        <f>Tabla1[[#This Row],[P.U. M.N.]]*Tabla1[[#This Row],[CANTIDADES DE REFERENCIA]]</f>
        <v>0</v>
      </c>
      <c r="J359" s="35">
        <f>Tabla1[[#This Row],[P.U. USD]]*Tabla1[[#This Row],[CANTIDADES DE REFERENCIA]]</f>
        <v>0</v>
      </c>
      <c r="K359" s="36"/>
      <c r="L359" s="36"/>
      <c r="M359" s="36"/>
      <c r="N359" s="37" t="s">
        <v>589</v>
      </c>
      <c r="O359" s="37"/>
      <c r="P359" s="38"/>
      <c r="Q359" s="37" t="s">
        <v>811</v>
      </c>
      <c r="R359" s="37"/>
      <c r="S359" s="37" t="s">
        <v>591</v>
      </c>
      <c r="T359" s="31"/>
    </row>
    <row r="360" spans="1:20">
      <c r="A360" s="31"/>
      <c r="B360" s="32"/>
      <c r="C360" s="33"/>
      <c r="D360" s="32" t="s">
        <v>812</v>
      </c>
      <c r="E360" s="33" t="s">
        <v>54</v>
      </c>
      <c r="F360" s="34">
        <v>1</v>
      </c>
      <c r="G360" s="35">
        <v>0</v>
      </c>
      <c r="H360" s="35">
        <v>0</v>
      </c>
      <c r="I360" s="35">
        <f>Tabla1[[#This Row],[P.U. M.N.]]*Tabla1[[#This Row],[CANTIDADES DE REFERENCIA]]</f>
        <v>0</v>
      </c>
      <c r="J360" s="35">
        <f>Tabla1[[#This Row],[P.U. USD]]*Tabla1[[#This Row],[CANTIDADES DE REFERENCIA]]</f>
        <v>0</v>
      </c>
      <c r="K360" s="36"/>
      <c r="L360" s="36"/>
      <c r="M360" s="36"/>
      <c r="N360" s="37" t="s">
        <v>589</v>
      </c>
      <c r="O360" s="37"/>
      <c r="P360" s="38"/>
      <c r="Q360" s="37" t="s">
        <v>813</v>
      </c>
      <c r="R360" s="37"/>
      <c r="S360" s="37" t="s">
        <v>591</v>
      </c>
      <c r="T360" s="31"/>
    </row>
    <row r="361" spans="1:20">
      <c r="A361" s="31"/>
      <c r="B361" s="32"/>
      <c r="C361" s="33"/>
      <c r="D361" s="32" t="s">
        <v>814</v>
      </c>
      <c r="E361" s="33" t="s">
        <v>54</v>
      </c>
      <c r="F361" s="34">
        <v>1</v>
      </c>
      <c r="G361" s="35">
        <v>0</v>
      </c>
      <c r="H361" s="35">
        <v>0</v>
      </c>
      <c r="I361" s="35">
        <f>Tabla1[[#This Row],[P.U. M.N.]]*Tabla1[[#This Row],[CANTIDADES DE REFERENCIA]]</f>
        <v>0</v>
      </c>
      <c r="J361" s="35">
        <f>Tabla1[[#This Row],[P.U. USD]]*Tabla1[[#This Row],[CANTIDADES DE REFERENCIA]]</f>
        <v>0</v>
      </c>
      <c r="K361" s="36"/>
      <c r="L361" s="36"/>
      <c r="M361" s="36"/>
      <c r="N361" s="37" t="s">
        <v>589</v>
      </c>
      <c r="O361" s="37"/>
      <c r="P361" s="38"/>
      <c r="Q361" s="37" t="s">
        <v>815</v>
      </c>
      <c r="R361" s="37"/>
      <c r="S361" s="37" t="s">
        <v>591</v>
      </c>
      <c r="T361" s="31"/>
    </row>
    <row r="362" spans="1:20">
      <c r="A362" s="31"/>
      <c r="B362" s="32"/>
      <c r="C362" s="33"/>
      <c r="D362" s="32" t="s">
        <v>816</v>
      </c>
      <c r="E362" s="33" t="s">
        <v>54</v>
      </c>
      <c r="F362" s="34">
        <v>1</v>
      </c>
      <c r="G362" s="35">
        <v>0</v>
      </c>
      <c r="H362" s="35">
        <v>0</v>
      </c>
      <c r="I362" s="35">
        <f>Tabla1[[#This Row],[P.U. M.N.]]*Tabla1[[#This Row],[CANTIDADES DE REFERENCIA]]</f>
        <v>0</v>
      </c>
      <c r="J362" s="35">
        <f>Tabla1[[#This Row],[P.U. USD]]*Tabla1[[#This Row],[CANTIDADES DE REFERENCIA]]</f>
        <v>0</v>
      </c>
      <c r="K362" s="36"/>
      <c r="L362" s="36"/>
      <c r="M362" s="36"/>
      <c r="N362" s="37" t="s">
        <v>589</v>
      </c>
      <c r="O362" s="37"/>
      <c r="P362" s="38"/>
      <c r="Q362" s="37" t="s">
        <v>817</v>
      </c>
      <c r="R362" s="37"/>
      <c r="S362" s="37" t="s">
        <v>591</v>
      </c>
      <c r="T362" s="31"/>
    </row>
    <row r="363" spans="1:20">
      <c r="A363" s="31"/>
      <c r="B363" s="32"/>
      <c r="C363" s="33"/>
      <c r="D363" s="32" t="s">
        <v>818</v>
      </c>
      <c r="E363" s="33" t="s">
        <v>54</v>
      </c>
      <c r="F363" s="34">
        <v>1</v>
      </c>
      <c r="G363" s="35">
        <v>0</v>
      </c>
      <c r="H363" s="35">
        <v>0</v>
      </c>
      <c r="I363" s="35">
        <f>Tabla1[[#This Row],[P.U. M.N.]]*Tabla1[[#This Row],[CANTIDADES DE REFERENCIA]]</f>
        <v>0</v>
      </c>
      <c r="J363" s="35">
        <f>Tabla1[[#This Row],[P.U. USD]]*Tabla1[[#This Row],[CANTIDADES DE REFERENCIA]]</f>
        <v>0</v>
      </c>
      <c r="K363" s="36"/>
      <c r="L363" s="36"/>
      <c r="M363" s="36"/>
      <c r="N363" s="37" t="s">
        <v>589</v>
      </c>
      <c r="O363" s="37"/>
      <c r="P363" s="38"/>
      <c r="Q363" s="37" t="s">
        <v>819</v>
      </c>
      <c r="R363" s="37"/>
      <c r="S363" s="37" t="s">
        <v>591</v>
      </c>
      <c r="T363" s="31"/>
    </row>
    <row r="364" spans="1:20">
      <c r="A364" s="31"/>
      <c r="B364" s="32"/>
      <c r="C364" s="33"/>
      <c r="D364" s="32" t="s">
        <v>820</v>
      </c>
      <c r="E364" s="33" t="s">
        <v>54</v>
      </c>
      <c r="F364" s="34">
        <v>1</v>
      </c>
      <c r="G364" s="35">
        <v>0</v>
      </c>
      <c r="H364" s="35">
        <v>0</v>
      </c>
      <c r="I364" s="35">
        <f>Tabla1[[#This Row],[P.U. M.N.]]*Tabla1[[#This Row],[CANTIDADES DE REFERENCIA]]</f>
        <v>0</v>
      </c>
      <c r="J364" s="35">
        <f>Tabla1[[#This Row],[P.U. USD]]*Tabla1[[#This Row],[CANTIDADES DE REFERENCIA]]</f>
        <v>0</v>
      </c>
      <c r="K364" s="36"/>
      <c r="L364" s="36"/>
      <c r="M364" s="36"/>
      <c r="N364" s="37" t="s">
        <v>589</v>
      </c>
      <c r="O364" s="37"/>
      <c r="P364" s="38"/>
      <c r="Q364" s="37" t="s">
        <v>821</v>
      </c>
      <c r="R364" s="37"/>
      <c r="S364" s="37" t="s">
        <v>591</v>
      </c>
      <c r="T364" s="31"/>
    </row>
    <row r="365" spans="1:20">
      <c r="A365" s="31"/>
      <c r="B365" s="32"/>
      <c r="C365" s="33"/>
      <c r="D365" s="32" t="s">
        <v>822</v>
      </c>
      <c r="E365" s="33" t="s">
        <v>54</v>
      </c>
      <c r="F365" s="34">
        <v>1</v>
      </c>
      <c r="G365" s="35">
        <v>0</v>
      </c>
      <c r="H365" s="35">
        <v>0</v>
      </c>
      <c r="I365" s="35">
        <f>Tabla1[[#This Row],[P.U. M.N.]]*Tabla1[[#This Row],[CANTIDADES DE REFERENCIA]]</f>
        <v>0</v>
      </c>
      <c r="J365" s="35">
        <f>Tabla1[[#This Row],[P.U. USD]]*Tabla1[[#This Row],[CANTIDADES DE REFERENCIA]]</f>
        <v>0</v>
      </c>
      <c r="K365" s="36"/>
      <c r="L365" s="36"/>
      <c r="M365" s="36"/>
      <c r="N365" s="37" t="s">
        <v>589</v>
      </c>
      <c r="O365" s="37"/>
      <c r="P365" s="38"/>
      <c r="Q365" s="37" t="s">
        <v>823</v>
      </c>
      <c r="R365" s="37"/>
      <c r="S365" s="37" t="s">
        <v>591</v>
      </c>
      <c r="T365" s="31"/>
    </row>
    <row r="366" spans="1:20">
      <c r="A366" s="31"/>
      <c r="B366" s="32"/>
      <c r="C366" s="33"/>
      <c r="D366" s="32" t="s">
        <v>824</v>
      </c>
      <c r="E366" s="33" t="s">
        <v>54</v>
      </c>
      <c r="F366" s="34">
        <v>1</v>
      </c>
      <c r="G366" s="35">
        <v>0</v>
      </c>
      <c r="H366" s="35">
        <v>0</v>
      </c>
      <c r="I366" s="35">
        <f>Tabla1[[#This Row],[P.U. M.N.]]*Tabla1[[#This Row],[CANTIDADES DE REFERENCIA]]</f>
        <v>0</v>
      </c>
      <c r="J366" s="35">
        <f>Tabla1[[#This Row],[P.U. USD]]*Tabla1[[#This Row],[CANTIDADES DE REFERENCIA]]</f>
        <v>0</v>
      </c>
      <c r="K366" s="36"/>
      <c r="L366" s="36"/>
      <c r="M366" s="36"/>
      <c r="N366" s="37" t="s">
        <v>589</v>
      </c>
      <c r="O366" s="37"/>
      <c r="P366" s="38"/>
      <c r="Q366" s="37" t="s">
        <v>825</v>
      </c>
      <c r="R366" s="37"/>
      <c r="S366" s="37" t="s">
        <v>591</v>
      </c>
      <c r="T366" s="31"/>
    </row>
    <row r="367" spans="1:20">
      <c r="A367" s="31"/>
      <c r="B367" s="32"/>
      <c r="C367" s="33"/>
      <c r="D367" s="32" t="s">
        <v>826</v>
      </c>
      <c r="E367" s="33" t="s">
        <v>54</v>
      </c>
      <c r="F367" s="34">
        <v>1</v>
      </c>
      <c r="G367" s="35">
        <v>0</v>
      </c>
      <c r="H367" s="35">
        <v>0</v>
      </c>
      <c r="I367" s="35">
        <f>Tabla1[[#This Row],[P.U. M.N.]]*Tabla1[[#This Row],[CANTIDADES DE REFERENCIA]]</f>
        <v>0</v>
      </c>
      <c r="J367" s="35">
        <f>Tabla1[[#This Row],[P.U. USD]]*Tabla1[[#This Row],[CANTIDADES DE REFERENCIA]]</f>
        <v>0</v>
      </c>
      <c r="K367" s="36"/>
      <c r="L367" s="36"/>
      <c r="M367" s="36"/>
      <c r="N367" s="37" t="s">
        <v>589</v>
      </c>
      <c r="O367" s="37"/>
      <c r="P367" s="38"/>
      <c r="Q367" s="37" t="s">
        <v>827</v>
      </c>
      <c r="R367" s="37"/>
      <c r="S367" s="37" t="s">
        <v>591</v>
      </c>
      <c r="T367" s="31"/>
    </row>
    <row r="368" spans="1:20">
      <c r="A368" s="31"/>
      <c r="B368" s="32"/>
      <c r="C368" s="33"/>
      <c r="D368" s="32" t="s">
        <v>828</v>
      </c>
      <c r="E368" s="33" t="s">
        <v>61</v>
      </c>
      <c r="F368" s="34">
        <v>1</v>
      </c>
      <c r="G368" s="35">
        <v>0</v>
      </c>
      <c r="H368" s="35">
        <v>0</v>
      </c>
      <c r="I368" s="35">
        <f>Tabla1[[#This Row],[P.U. M.N.]]*Tabla1[[#This Row],[CANTIDADES DE REFERENCIA]]</f>
        <v>0</v>
      </c>
      <c r="J368" s="35">
        <f>Tabla1[[#This Row],[P.U. USD]]*Tabla1[[#This Row],[CANTIDADES DE REFERENCIA]]</f>
        <v>0</v>
      </c>
      <c r="K368" s="36"/>
      <c r="L368" s="36"/>
      <c r="M368" s="36"/>
      <c r="N368" s="37" t="s">
        <v>589</v>
      </c>
      <c r="O368" s="37"/>
      <c r="P368" s="38"/>
      <c r="Q368" s="37" t="s">
        <v>829</v>
      </c>
      <c r="R368" s="37"/>
      <c r="S368" s="37" t="s">
        <v>591</v>
      </c>
      <c r="T368" s="31"/>
    </row>
    <row r="369" spans="1:20">
      <c r="A369" s="31"/>
      <c r="B369" s="32"/>
      <c r="C369" s="33"/>
      <c r="D369" s="32" t="s">
        <v>830</v>
      </c>
      <c r="E369" s="33" t="s">
        <v>61</v>
      </c>
      <c r="F369" s="34">
        <v>1</v>
      </c>
      <c r="G369" s="35">
        <v>0</v>
      </c>
      <c r="H369" s="35">
        <v>0</v>
      </c>
      <c r="I369" s="35">
        <f>Tabla1[[#This Row],[P.U. M.N.]]*Tabla1[[#This Row],[CANTIDADES DE REFERENCIA]]</f>
        <v>0</v>
      </c>
      <c r="J369" s="35">
        <f>Tabla1[[#This Row],[P.U. USD]]*Tabla1[[#This Row],[CANTIDADES DE REFERENCIA]]</f>
        <v>0</v>
      </c>
      <c r="K369" s="36"/>
      <c r="L369" s="36"/>
      <c r="M369" s="36"/>
      <c r="N369" s="37" t="s">
        <v>589</v>
      </c>
      <c r="O369" s="37"/>
      <c r="P369" s="38"/>
      <c r="Q369" s="37" t="s">
        <v>831</v>
      </c>
      <c r="R369" s="37"/>
      <c r="S369" s="37" t="s">
        <v>591</v>
      </c>
      <c r="T369" s="31"/>
    </row>
    <row r="370" spans="1:20">
      <c r="A370" s="31"/>
      <c r="B370" s="32"/>
      <c r="C370" s="33"/>
      <c r="D370" s="32" t="s">
        <v>832</v>
      </c>
      <c r="E370" s="33" t="s">
        <v>116</v>
      </c>
      <c r="F370" s="34">
        <v>1</v>
      </c>
      <c r="G370" s="35">
        <v>0</v>
      </c>
      <c r="H370" s="35">
        <v>0</v>
      </c>
      <c r="I370" s="35">
        <f>Tabla1[[#This Row],[P.U. M.N.]]*Tabla1[[#This Row],[CANTIDADES DE REFERENCIA]]</f>
        <v>0</v>
      </c>
      <c r="J370" s="35">
        <f>Tabla1[[#This Row],[P.U. USD]]*Tabla1[[#This Row],[CANTIDADES DE REFERENCIA]]</f>
        <v>0</v>
      </c>
      <c r="K370" s="36"/>
      <c r="L370" s="36"/>
      <c r="M370" s="36"/>
      <c r="N370" s="37"/>
      <c r="O370" s="37"/>
      <c r="P370" s="38"/>
      <c r="Q370" s="37" t="s">
        <v>833</v>
      </c>
      <c r="R370" s="37"/>
      <c r="S370" s="37" t="s">
        <v>681</v>
      </c>
      <c r="T370" s="31"/>
    </row>
    <row r="371" spans="1:20">
      <c r="A371" s="31"/>
      <c r="B371" s="32"/>
      <c r="C371" s="33"/>
      <c r="D371" s="32" t="s">
        <v>834</v>
      </c>
      <c r="E371" s="33" t="s">
        <v>54</v>
      </c>
      <c r="F371" s="34">
        <v>1</v>
      </c>
      <c r="G371" s="35">
        <v>0</v>
      </c>
      <c r="H371" s="35">
        <v>0</v>
      </c>
      <c r="I371" s="35">
        <f>Tabla1[[#This Row],[P.U. M.N.]]*Tabla1[[#This Row],[CANTIDADES DE REFERENCIA]]</f>
        <v>0</v>
      </c>
      <c r="J371" s="35">
        <f>Tabla1[[#This Row],[P.U. USD]]*Tabla1[[#This Row],[CANTIDADES DE REFERENCIA]]</f>
        <v>0</v>
      </c>
      <c r="K371" s="36"/>
      <c r="L371" s="36"/>
      <c r="M371" s="36"/>
      <c r="N371" s="37"/>
      <c r="O371" s="37"/>
      <c r="P371" s="38"/>
      <c r="Q371" s="37" t="s">
        <v>835</v>
      </c>
      <c r="R371" s="37"/>
      <c r="S371" s="37" t="s">
        <v>836</v>
      </c>
      <c r="T371" s="31"/>
    </row>
    <row r="372" spans="1:20">
      <c r="A372" s="31"/>
      <c r="B372" s="32"/>
      <c r="C372" s="33"/>
      <c r="D372" s="32" t="s">
        <v>837</v>
      </c>
      <c r="E372" s="33" t="s">
        <v>54</v>
      </c>
      <c r="F372" s="34">
        <v>1</v>
      </c>
      <c r="G372" s="35">
        <v>0</v>
      </c>
      <c r="H372" s="35">
        <v>0</v>
      </c>
      <c r="I372" s="35">
        <f>Tabla1[[#This Row],[P.U. M.N.]]*Tabla1[[#This Row],[CANTIDADES DE REFERENCIA]]</f>
        <v>0</v>
      </c>
      <c r="J372" s="35">
        <f>Tabla1[[#This Row],[P.U. USD]]*Tabla1[[#This Row],[CANTIDADES DE REFERENCIA]]</f>
        <v>0</v>
      </c>
      <c r="K372" s="36"/>
      <c r="L372" s="36"/>
      <c r="M372" s="36"/>
      <c r="N372" s="37"/>
      <c r="O372" s="37"/>
      <c r="P372" s="38"/>
      <c r="Q372" s="37" t="s">
        <v>838</v>
      </c>
      <c r="R372" s="37"/>
      <c r="S372" s="37" t="s">
        <v>836</v>
      </c>
      <c r="T372" s="31"/>
    </row>
    <row r="373" spans="1:20">
      <c r="A373" s="31"/>
      <c r="B373" s="32"/>
      <c r="C373" s="33"/>
      <c r="D373" s="32" t="s">
        <v>839</v>
      </c>
      <c r="E373" s="33" t="s">
        <v>54</v>
      </c>
      <c r="F373" s="34">
        <v>1</v>
      </c>
      <c r="G373" s="35">
        <v>0</v>
      </c>
      <c r="H373" s="35">
        <v>0</v>
      </c>
      <c r="I373" s="35">
        <f>Tabla1[[#This Row],[P.U. M.N.]]*Tabla1[[#This Row],[CANTIDADES DE REFERENCIA]]</f>
        <v>0</v>
      </c>
      <c r="J373" s="35">
        <f>Tabla1[[#This Row],[P.U. USD]]*Tabla1[[#This Row],[CANTIDADES DE REFERENCIA]]</f>
        <v>0</v>
      </c>
      <c r="K373" s="36"/>
      <c r="L373" s="36"/>
      <c r="M373" s="36"/>
      <c r="N373" s="37"/>
      <c r="O373" s="37"/>
      <c r="P373" s="39"/>
      <c r="Q373" s="37" t="s">
        <v>840</v>
      </c>
      <c r="R373" s="37"/>
      <c r="S373" s="37" t="s">
        <v>841</v>
      </c>
      <c r="T373" s="31"/>
    </row>
    <row r="374" spans="1:20">
      <c r="A374" s="31"/>
      <c r="B374" s="32"/>
      <c r="C374" s="33"/>
      <c r="D374" s="32" t="s">
        <v>842</v>
      </c>
      <c r="E374" s="33" t="s">
        <v>54</v>
      </c>
      <c r="F374" s="34">
        <v>1</v>
      </c>
      <c r="G374" s="35">
        <v>0</v>
      </c>
      <c r="H374" s="35">
        <v>0</v>
      </c>
      <c r="I374" s="35">
        <f>Tabla1[[#This Row],[P.U. M.N.]]*Tabla1[[#This Row],[CANTIDADES DE REFERENCIA]]</f>
        <v>0</v>
      </c>
      <c r="J374" s="35">
        <f>Tabla1[[#This Row],[P.U. USD]]*Tabla1[[#This Row],[CANTIDADES DE REFERENCIA]]</f>
        <v>0</v>
      </c>
      <c r="K374" s="36"/>
      <c r="L374" s="36"/>
      <c r="M374" s="36"/>
      <c r="N374" s="37"/>
      <c r="O374" s="37"/>
      <c r="P374" s="39"/>
      <c r="Q374" s="37" t="s">
        <v>843</v>
      </c>
      <c r="R374" s="37"/>
      <c r="S374" s="37" t="s">
        <v>841</v>
      </c>
      <c r="T374" s="31"/>
    </row>
    <row r="375" spans="1:20">
      <c r="A375" s="31"/>
      <c r="B375" s="32"/>
      <c r="C375" s="33"/>
      <c r="D375" s="32" t="s">
        <v>844</v>
      </c>
      <c r="E375" s="33" t="s">
        <v>54</v>
      </c>
      <c r="F375" s="34">
        <v>1</v>
      </c>
      <c r="G375" s="35">
        <v>0</v>
      </c>
      <c r="H375" s="35">
        <v>0</v>
      </c>
      <c r="I375" s="35">
        <f>Tabla1[[#This Row],[P.U. M.N.]]*Tabla1[[#This Row],[CANTIDADES DE REFERENCIA]]</f>
        <v>0</v>
      </c>
      <c r="J375" s="35">
        <f>Tabla1[[#This Row],[P.U. USD]]*Tabla1[[#This Row],[CANTIDADES DE REFERENCIA]]</f>
        <v>0</v>
      </c>
      <c r="K375" s="36"/>
      <c r="L375" s="36"/>
      <c r="M375" s="36"/>
      <c r="N375" s="37"/>
      <c r="O375" s="37"/>
      <c r="P375" s="39"/>
      <c r="Q375" s="37" t="s">
        <v>845</v>
      </c>
      <c r="R375" s="37"/>
      <c r="S375" s="37" t="s">
        <v>841</v>
      </c>
      <c r="T375" s="31"/>
    </row>
    <row r="376" spans="1:20">
      <c r="A376" s="31"/>
      <c r="B376" s="32"/>
      <c r="C376" s="33"/>
      <c r="D376" s="32" t="s">
        <v>846</v>
      </c>
      <c r="E376" s="33" t="s">
        <v>54</v>
      </c>
      <c r="F376" s="34">
        <v>1</v>
      </c>
      <c r="G376" s="35">
        <v>0</v>
      </c>
      <c r="H376" s="35">
        <v>0</v>
      </c>
      <c r="I376" s="35">
        <f>Tabla1[[#This Row],[P.U. M.N.]]*Tabla1[[#This Row],[CANTIDADES DE REFERENCIA]]</f>
        <v>0</v>
      </c>
      <c r="J376" s="35">
        <f>Tabla1[[#This Row],[P.U. USD]]*Tabla1[[#This Row],[CANTIDADES DE REFERENCIA]]</f>
        <v>0</v>
      </c>
      <c r="K376" s="36"/>
      <c r="L376" s="36"/>
      <c r="M376" s="36"/>
      <c r="N376" s="37"/>
      <c r="O376" s="37"/>
      <c r="P376" s="39"/>
      <c r="Q376" s="37" t="s">
        <v>847</v>
      </c>
      <c r="R376" s="37"/>
      <c r="S376" s="37" t="s">
        <v>841</v>
      </c>
      <c r="T376" s="31"/>
    </row>
    <row r="377" spans="1:20">
      <c r="A377" s="31"/>
      <c r="B377" s="32"/>
      <c r="C377" s="33"/>
      <c r="D377" s="32" t="s">
        <v>848</v>
      </c>
      <c r="E377" s="33" t="s">
        <v>61</v>
      </c>
      <c r="F377" s="34">
        <v>1</v>
      </c>
      <c r="G377" s="35">
        <v>0</v>
      </c>
      <c r="H377" s="35">
        <v>0</v>
      </c>
      <c r="I377" s="35">
        <f>Tabla1[[#This Row],[P.U. M.N.]]*Tabla1[[#This Row],[CANTIDADES DE REFERENCIA]]</f>
        <v>0</v>
      </c>
      <c r="J377" s="35">
        <f>Tabla1[[#This Row],[P.U. USD]]*Tabla1[[#This Row],[CANTIDADES DE REFERENCIA]]</f>
        <v>0</v>
      </c>
      <c r="K377" s="36"/>
      <c r="L377" s="36"/>
      <c r="M377" s="36"/>
      <c r="N377" s="37"/>
      <c r="O377" s="37"/>
      <c r="P377" s="39"/>
      <c r="Q377" s="37" t="s">
        <v>849</v>
      </c>
      <c r="R377" s="37"/>
      <c r="S377" s="37" t="s">
        <v>850</v>
      </c>
      <c r="T377" s="31"/>
    </row>
    <row r="378" spans="1:20">
      <c r="A378" s="31"/>
      <c r="B378" s="32"/>
      <c r="C378" s="33"/>
      <c r="D378" s="32" t="s">
        <v>851</v>
      </c>
      <c r="E378" s="33" t="s">
        <v>61</v>
      </c>
      <c r="F378" s="34">
        <v>1</v>
      </c>
      <c r="G378" s="35">
        <v>0</v>
      </c>
      <c r="H378" s="35">
        <v>0</v>
      </c>
      <c r="I378" s="35">
        <f>Tabla1[[#This Row],[P.U. M.N.]]*Tabla1[[#This Row],[CANTIDADES DE REFERENCIA]]</f>
        <v>0</v>
      </c>
      <c r="J378" s="35">
        <f>Tabla1[[#This Row],[P.U. USD]]*Tabla1[[#This Row],[CANTIDADES DE REFERENCIA]]</f>
        <v>0</v>
      </c>
      <c r="K378" s="36"/>
      <c r="L378" s="36"/>
      <c r="M378" s="36"/>
      <c r="N378" s="37"/>
      <c r="O378" s="37"/>
      <c r="P378" s="39"/>
      <c r="Q378" s="37" t="s">
        <v>852</v>
      </c>
      <c r="R378" s="37"/>
      <c r="S378" s="37" t="s">
        <v>850</v>
      </c>
      <c r="T378" s="31"/>
    </row>
    <row r="379" spans="1:20">
      <c r="A379" s="31"/>
      <c r="B379" s="32"/>
      <c r="C379" s="33"/>
      <c r="D379" s="32" t="s">
        <v>853</v>
      </c>
      <c r="E379" s="33" t="s">
        <v>54</v>
      </c>
      <c r="F379" s="34">
        <v>1</v>
      </c>
      <c r="G379" s="35">
        <v>0</v>
      </c>
      <c r="H379" s="35">
        <v>0</v>
      </c>
      <c r="I379" s="35">
        <f>Tabla1[[#This Row],[P.U. M.N.]]*Tabla1[[#This Row],[CANTIDADES DE REFERENCIA]]</f>
        <v>0</v>
      </c>
      <c r="J379" s="35">
        <f>Tabla1[[#This Row],[P.U. USD]]*Tabla1[[#This Row],[CANTIDADES DE REFERENCIA]]</f>
        <v>0</v>
      </c>
      <c r="K379" s="36"/>
      <c r="L379" s="36"/>
      <c r="M379" s="36"/>
      <c r="N379" s="37"/>
      <c r="O379" s="37"/>
      <c r="P379" s="39"/>
      <c r="Q379" s="37" t="s">
        <v>854</v>
      </c>
      <c r="R379" s="37"/>
      <c r="S379" s="37" t="s">
        <v>850</v>
      </c>
      <c r="T379" s="31"/>
    </row>
    <row r="380" spans="1:20">
      <c r="A380" s="31"/>
      <c r="B380" s="32"/>
      <c r="C380" s="33"/>
      <c r="D380" s="32" t="s">
        <v>855</v>
      </c>
      <c r="E380" s="33" t="s">
        <v>54</v>
      </c>
      <c r="F380" s="34">
        <v>1</v>
      </c>
      <c r="G380" s="35">
        <v>0</v>
      </c>
      <c r="H380" s="35">
        <v>0</v>
      </c>
      <c r="I380" s="35">
        <f>Tabla1[[#This Row],[P.U. M.N.]]*Tabla1[[#This Row],[CANTIDADES DE REFERENCIA]]</f>
        <v>0</v>
      </c>
      <c r="J380" s="35">
        <f>Tabla1[[#This Row],[P.U. USD]]*Tabla1[[#This Row],[CANTIDADES DE REFERENCIA]]</f>
        <v>0</v>
      </c>
      <c r="K380" s="36"/>
      <c r="L380" s="36"/>
      <c r="M380" s="36"/>
      <c r="N380" s="37"/>
      <c r="O380" s="37"/>
      <c r="P380" s="39"/>
      <c r="Q380" s="37" t="s">
        <v>856</v>
      </c>
      <c r="R380" s="37"/>
      <c r="S380" s="37" t="s">
        <v>850</v>
      </c>
      <c r="T380" s="31"/>
    </row>
    <row r="381" spans="1:20">
      <c r="A381" s="31"/>
      <c r="B381" s="32"/>
      <c r="C381" s="33"/>
      <c r="D381" s="32" t="s">
        <v>857</v>
      </c>
      <c r="E381" s="33" t="s">
        <v>54</v>
      </c>
      <c r="F381" s="34">
        <v>1</v>
      </c>
      <c r="G381" s="35">
        <v>0</v>
      </c>
      <c r="H381" s="35">
        <v>0</v>
      </c>
      <c r="I381" s="35">
        <f>Tabla1[[#This Row],[P.U. M.N.]]*Tabla1[[#This Row],[CANTIDADES DE REFERENCIA]]</f>
        <v>0</v>
      </c>
      <c r="J381" s="35">
        <f>Tabla1[[#This Row],[P.U. USD]]*Tabla1[[#This Row],[CANTIDADES DE REFERENCIA]]</f>
        <v>0</v>
      </c>
      <c r="K381" s="36"/>
      <c r="L381" s="36"/>
      <c r="M381" s="36"/>
      <c r="N381" s="37"/>
      <c r="O381" s="37"/>
      <c r="P381" s="39"/>
      <c r="Q381" s="37" t="s">
        <v>858</v>
      </c>
      <c r="R381" s="37"/>
      <c r="S381" s="37" t="s">
        <v>850</v>
      </c>
      <c r="T381" s="31"/>
    </row>
    <row r="382" spans="1:20">
      <c r="A382" s="31"/>
      <c r="B382" s="32"/>
      <c r="C382" s="33"/>
      <c r="D382" s="32" t="s">
        <v>859</v>
      </c>
      <c r="E382" s="33" t="s">
        <v>116</v>
      </c>
      <c r="F382" s="34">
        <v>1</v>
      </c>
      <c r="G382" s="35">
        <v>0</v>
      </c>
      <c r="H382" s="35">
        <v>0</v>
      </c>
      <c r="I382" s="35">
        <f>Tabla1[[#This Row],[P.U. M.N.]]*Tabla1[[#This Row],[CANTIDADES DE REFERENCIA]]</f>
        <v>0</v>
      </c>
      <c r="J382" s="35">
        <f>Tabla1[[#This Row],[P.U. USD]]*Tabla1[[#This Row],[CANTIDADES DE REFERENCIA]]</f>
        <v>0</v>
      </c>
      <c r="K382" s="36"/>
      <c r="L382" s="36"/>
      <c r="M382" s="36"/>
      <c r="N382" s="37"/>
      <c r="O382" s="37"/>
      <c r="P382" s="39"/>
      <c r="Q382" s="37" t="s">
        <v>860</v>
      </c>
      <c r="R382" s="37"/>
      <c r="S382" s="37" t="s">
        <v>850</v>
      </c>
      <c r="T382" s="31"/>
    </row>
    <row r="383" spans="1:20">
      <c r="A383" s="31"/>
      <c r="B383" s="32"/>
      <c r="C383" s="33"/>
      <c r="D383" s="32" t="s">
        <v>861</v>
      </c>
      <c r="E383" s="33" t="s">
        <v>116</v>
      </c>
      <c r="F383" s="34">
        <v>1</v>
      </c>
      <c r="G383" s="35">
        <v>0</v>
      </c>
      <c r="H383" s="35">
        <v>0</v>
      </c>
      <c r="I383" s="35">
        <f>Tabla1[[#This Row],[P.U. M.N.]]*Tabla1[[#This Row],[CANTIDADES DE REFERENCIA]]</f>
        <v>0</v>
      </c>
      <c r="J383" s="35">
        <f>Tabla1[[#This Row],[P.U. USD]]*Tabla1[[#This Row],[CANTIDADES DE REFERENCIA]]</f>
        <v>0</v>
      </c>
      <c r="K383" s="36"/>
      <c r="L383" s="36"/>
      <c r="M383" s="36"/>
      <c r="N383" s="37"/>
      <c r="O383" s="37"/>
      <c r="P383" s="39"/>
      <c r="Q383" s="37" t="s">
        <v>862</v>
      </c>
      <c r="R383" s="37"/>
      <c r="S383" s="37" t="s">
        <v>850</v>
      </c>
      <c r="T383" s="31"/>
    </row>
    <row r="384" spans="1:20">
      <c r="A384" s="31"/>
      <c r="B384" s="32"/>
      <c r="C384" s="33"/>
      <c r="D384" s="32" t="s">
        <v>863</v>
      </c>
      <c r="E384" s="33" t="s">
        <v>116</v>
      </c>
      <c r="F384" s="34">
        <v>1</v>
      </c>
      <c r="G384" s="35">
        <v>0</v>
      </c>
      <c r="H384" s="35">
        <v>0</v>
      </c>
      <c r="I384" s="35">
        <f>Tabla1[[#This Row],[P.U. M.N.]]*Tabla1[[#This Row],[CANTIDADES DE REFERENCIA]]</f>
        <v>0</v>
      </c>
      <c r="J384" s="35">
        <f>Tabla1[[#This Row],[P.U. USD]]*Tabla1[[#This Row],[CANTIDADES DE REFERENCIA]]</f>
        <v>0</v>
      </c>
      <c r="K384" s="36"/>
      <c r="L384" s="36"/>
      <c r="M384" s="36"/>
      <c r="N384" s="37"/>
      <c r="O384" s="37"/>
      <c r="P384" s="39"/>
      <c r="Q384" s="37" t="s">
        <v>864</v>
      </c>
      <c r="R384" s="37"/>
      <c r="S384" s="37" t="s">
        <v>850</v>
      </c>
      <c r="T384" s="31"/>
    </row>
    <row r="385" spans="1:20">
      <c r="A385" s="31"/>
      <c r="B385" s="32"/>
      <c r="C385" s="33"/>
      <c r="D385" s="32" t="s">
        <v>865</v>
      </c>
      <c r="E385" s="33" t="s">
        <v>116</v>
      </c>
      <c r="F385" s="34">
        <v>1</v>
      </c>
      <c r="G385" s="35">
        <v>0</v>
      </c>
      <c r="H385" s="35">
        <v>0</v>
      </c>
      <c r="I385" s="35">
        <f>Tabla1[[#This Row],[P.U. M.N.]]*Tabla1[[#This Row],[CANTIDADES DE REFERENCIA]]</f>
        <v>0</v>
      </c>
      <c r="J385" s="35">
        <f>Tabla1[[#This Row],[P.U. USD]]*Tabla1[[#This Row],[CANTIDADES DE REFERENCIA]]</f>
        <v>0</v>
      </c>
      <c r="K385" s="36"/>
      <c r="L385" s="36"/>
      <c r="M385" s="36"/>
      <c r="N385" s="37"/>
      <c r="O385" s="37"/>
      <c r="P385" s="39"/>
      <c r="Q385" s="37" t="s">
        <v>866</v>
      </c>
      <c r="R385" s="37"/>
      <c r="S385" s="37" t="s">
        <v>850</v>
      </c>
      <c r="T385" s="31"/>
    </row>
    <row r="386" spans="1:20">
      <c r="A386" s="31"/>
      <c r="B386" s="32"/>
      <c r="C386" s="33"/>
      <c r="D386" s="32" t="s">
        <v>867</v>
      </c>
      <c r="E386" s="33" t="s">
        <v>116</v>
      </c>
      <c r="F386" s="34">
        <v>1</v>
      </c>
      <c r="G386" s="35">
        <v>0</v>
      </c>
      <c r="H386" s="35">
        <v>0</v>
      </c>
      <c r="I386" s="35">
        <f>Tabla1[[#This Row],[P.U. M.N.]]*Tabla1[[#This Row],[CANTIDADES DE REFERENCIA]]</f>
        <v>0</v>
      </c>
      <c r="J386" s="35">
        <f>Tabla1[[#This Row],[P.U. USD]]*Tabla1[[#This Row],[CANTIDADES DE REFERENCIA]]</f>
        <v>0</v>
      </c>
      <c r="K386" s="36"/>
      <c r="L386" s="36"/>
      <c r="M386" s="36"/>
      <c r="N386" s="37"/>
      <c r="O386" s="37"/>
      <c r="P386" s="39"/>
      <c r="Q386" s="37" t="s">
        <v>868</v>
      </c>
      <c r="R386" s="37"/>
      <c r="S386" s="37" t="s">
        <v>850</v>
      </c>
      <c r="T386" s="31"/>
    </row>
    <row r="387" spans="1:20">
      <c r="A387" s="31"/>
      <c r="B387" s="32"/>
      <c r="C387" s="33"/>
      <c r="D387" s="32" t="s">
        <v>869</v>
      </c>
      <c r="E387" s="33" t="s">
        <v>116</v>
      </c>
      <c r="F387" s="34">
        <v>1</v>
      </c>
      <c r="G387" s="35">
        <v>0</v>
      </c>
      <c r="H387" s="35">
        <v>0</v>
      </c>
      <c r="I387" s="35">
        <f>Tabla1[[#This Row],[P.U. M.N.]]*Tabla1[[#This Row],[CANTIDADES DE REFERENCIA]]</f>
        <v>0</v>
      </c>
      <c r="J387" s="35">
        <f>Tabla1[[#This Row],[P.U. USD]]*Tabla1[[#This Row],[CANTIDADES DE REFERENCIA]]</f>
        <v>0</v>
      </c>
      <c r="K387" s="36"/>
      <c r="L387" s="36"/>
      <c r="M387" s="36"/>
      <c r="N387" s="37"/>
      <c r="O387" s="37"/>
      <c r="P387" s="39"/>
      <c r="Q387" s="37" t="s">
        <v>870</v>
      </c>
      <c r="R387" s="37"/>
      <c r="S387" s="37" t="s">
        <v>850</v>
      </c>
      <c r="T387" s="31"/>
    </row>
    <row r="388" spans="1:20">
      <c r="A388" s="31"/>
      <c r="B388" s="32"/>
      <c r="C388" s="33"/>
      <c r="D388" s="32" t="s">
        <v>871</v>
      </c>
      <c r="E388" s="33" t="s">
        <v>116</v>
      </c>
      <c r="F388" s="34">
        <v>1</v>
      </c>
      <c r="G388" s="35">
        <v>0</v>
      </c>
      <c r="H388" s="35">
        <v>0</v>
      </c>
      <c r="I388" s="35">
        <f>Tabla1[[#This Row],[P.U. M.N.]]*Tabla1[[#This Row],[CANTIDADES DE REFERENCIA]]</f>
        <v>0</v>
      </c>
      <c r="J388" s="35">
        <f>Tabla1[[#This Row],[P.U. USD]]*Tabla1[[#This Row],[CANTIDADES DE REFERENCIA]]</f>
        <v>0</v>
      </c>
      <c r="K388" s="36"/>
      <c r="L388" s="36"/>
      <c r="M388" s="36"/>
      <c r="N388" s="37"/>
      <c r="O388" s="37"/>
      <c r="P388" s="39"/>
      <c r="Q388" s="37" t="s">
        <v>872</v>
      </c>
      <c r="R388" s="37"/>
      <c r="S388" s="37" t="s">
        <v>850</v>
      </c>
      <c r="T388" s="31"/>
    </row>
    <row r="389" spans="1:20">
      <c r="A389" s="31"/>
      <c r="B389" s="32"/>
      <c r="C389" s="33"/>
      <c r="D389" s="32" t="s">
        <v>873</v>
      </c>
      <c r="E389" s="33" t="s">
        <v>135</v>
      </c>
      <c r="F389" s="34">
        <v>1</v>
      </c>
      <c r="G389" s="35">
        <v>0</v>
      </c>
      <c r="H389" s="35">
        <v>0</v>
      </c>
      <c r="I389" s="35">
        <f>Tabla1[[#This Row],[P.U. M.N.]]*Tabla1[[#This Row],[CANTIDADES DE REFERENCIA]]</f>
        <v>0</v>
      </c>
      <c r="J389" s="35">
        <f>Tabla1[[#This Row],[P.U. USD]]*Tabla1[[#This Row],[CANTIDADES DE REFERENCIA]]</f>
        <v>0</v>
      </c>
      <c r="K389" s="36"/>
      <c r="L389" s="36"/>
      <c r="M389" s="36"/>
      <c r="N389" s="37" t="s">
        <v>874</v>
      </c>
      <c r="O389" s="37" t="s">
        <v>875</v>
      </c>
      <c r="P389" s="39"/>
      <c r="Q389" s="37" t="s">
        <v>876</v>
      </c>
      <c r="R389" s="37"/>
      <c r="S389" s="37" t="s">
        <v>877</v>
      </c>
      <c r="T389" s="31"/>
    </row>
    <row r="390" spans="1:20">
      <c r="A390" s="31"/>
      <c r="B390" s="32"/>
      <c r="C390" s="33"/>
      <c r="D390" s="32" t="s">
        <v>878</v>
      </c>
      <c r="E390" s="33" t="s">
        <v>879</v>
      </c>
      <c r="F390" s="34">
        <v>1</v>
      </c>
      <c r="G390" s="35">
        <v>0</v>
      </c>
      <c r="H390" s="35">
        <v>0</v>
      </c>
      <c r="I390" s="35">
        <f>Tabla1[[#This Row],[P.U. M.N.]]*Tabla1[[#This Row],[CANTIDADES DE REFERENCIA]]</f>
        <v>0</v>
      </c>
      <c r="J390" s="35">
        <f>Tabla1[[#This Row],[P.U. USD]]*Tabla1[[#This Row],[CANTIDADES DE REFERENCIA]]</f>
        <v>0</v>
      </c>
      <c r="K390" s="36"/>
      <c r="L390" s="36"/>
      <c r="M390" s="36"/>
      <c r="N390" s="37" t="s">
        <v>874</v>
      </c>
      <c r="O390" s="37" t="s">
        <v>875</v>
      </c>
      <c r="P390" s="39"/>
      <c r="Q390" s="37" t="s">
        <v>880</v>
      </c>
      <c r="R390" s="37"/>
      <c r="S390" s="37" t="s">
        <v>877</v>
      </c>
      <c r="T390" s="31"/>
    </row>
    <row r="391" spans="1:20">
      <c r="A391" s="31"/>
      <c r="B391" s="32"/>
      <c r="C391" s="33"/>
      <c r="D391" s="32" t="s">
        <v>881</v>
      </c>
      <c r="E391" s="33" t="s">
        <v>879</v>
      </c>
      <c r="F391" s="34">
        <v>1</v>
      </c>
      <c r="G391" s="35">
        <v>0</v>
      </c>
      <c r="H391" s="35">
        <v>0</v>
      </c>
      <c r="I391" s="35">
        <f>Tabla1[[#This Row],[P.U. M.N.]]*Tabla1[[#This Row],[CANTIDADES DE REFERENCIA]]</f>
        <v>0</v>
      </c>
      <c r="J391" s="35">
        <f>Tabla1[[#This Row],[P.U. USD]]*Tabla1[[#This Row],[CANTIDADES DE REFERENCIA]]</f>
        <v>0</v>
      </c>
      <c r="K391" s="36"/>
      <c r="L391" s="36"/>
      <c r="M391" s="36"/>
      <c r="N391" s="37" t="s">
        <v>874</v>
      </c>
      <c r="O391" s="37" t="s">
        <v>875</v>
      </c>
      <c r="P391" s="39"/>
      <c r="Q391" s="37" t="s">
        <v>882</v>
      </c>
      <c r="R391" s="37"/>
      <c r="S391" s="37" t="s">
        <v>877</v>
      </c>
      <c r="T391" s="31"/>
    </row>
    <row r="392" spans="1:20">
      <c r="A392" s="31"/>
      <c r="B392" s="32"/>
      <c r="C392" s="33"/>
      <c r="D392" s="32" t="s">
        <v>883</v>
      </c>
      <c r="E392" s="33" t="s">
        <v>879</v>
      </c>
      <c r="F392" s="34">
        <v>1</v>
      </c>
      <c r="G392" s="35">
        <v>0</v>
      </c>
      <c r="H392" s="35">
        <v>0</v>
      </c>
      <c r="I392" s="35">
        <f>Tabla1[[#This Row],[P.U. M.N.]]*Tabla1[[#This Row],[CANTIDADES DE REFERENCIA]]</f>
        <v>0</v>
      </c>
      <c r="J392" s="35">
        <f>Tabla1[[#This Row],[P.U. USD]]*Tabla1[[#This Row],[CANTIDADES DE REFERENCIA]]</f>
        <v>0</v>
      </c>
      <c r="K392" s="36"/>
      <c r="L392" s="36"/>
      <c r="M392" s="36"/>
      <c r="N392" s="37" t="s">
        <v>874</v>
      </c>
      <c r="O392" s="37" t="s">
        <v>875</v>
      </c>
      <c r="P392" s="39"/>
      <c r="Q392" s="37" t="s">
        <v>884</v>
      </c>
      <c r="R392" s="37"/>
      <c r="S392" s="37" t="s">
        <v>877</v>
      </c>
      <c r="T392" s="31"/>
    </row>
    <row r="393" spans="1:20">
      <c r="A393" s="31"/>
      <c r="B393" s="32"/>
      <c r="C393" s="33"/>
      <c r="D393" s="32" t="s">
        <v>885</v>
      </c>
      <c r="E393" s="33" t="s">
        <v>135</v>
      </c>
      <c r="F393" s="34">
        <v>1</v>
      </c>
      <c r="G393" s="35">
        <v>0</v>
      </c>
      <c r="H393" s="35">
        <v>0</v>
      </c>
      <c r="I393" s="35">
        <f>Tabla1[[#This Row],[P.U. M.N.]]*Tabla1[[#This Row],[CANTIDADES DE REFERENCIA]]</f>
        <v>0</v>
      </c>
      <c r="J393" s="35">
        <f>Tabla1[[#This Row],[P.U. USD]]*Tabla1[[#This Row],[CANTIDADES DE REFERENCIA]]</f>
        <v>0</v>
      </c>
      <c r="K393" s="36"/>
      <c r="L393" s="36"/>
      <c r="M393" s="36"/>
      <c r="N393" s="37"/>
      <c r="O393" s="37"/>
      <c r="P393" s="39"/>
      <c r="Q393" s="37" t="s">
        <v>886</v>
      </c>
      <c r="R393" s="37"/>
      <c r="S393" s="37" t="s">
        <v>887</v>
      </c>
      <c r="T393" s="31"/>
    </row>
    <row r="394" spans="1:20">
      <c r="A394" s="31"/>
      <c r="B394" s="32"/>
      <c r="C394" s="33"/>
      <c r="D394" s="32" t="s">
        <v>888</v>
      </c>
      <c r="E394" s="33" t="s">
        <v>42</v>
      </c>
      <c r="F394" s="34">
        <v>1</v>
      </c>
      <c r="G394" s="35">
        <v>0</v>
      </c>
      <c r="H394" s="35">
        <v>0</v>
      </c>
      <c r="I394" s="35">
        <f>Tabla1[[#This Row],[P.U. M.N.]]*Tabla1[[#This Row],[CANTIDADES DE REFERENCIA]]</f>
        <v>0</v>
      </c>
      <c r="J394" s="35">
        <f>Tabla1[[#This Row],[P.U. USD]]*Tabla1[[#This Row],[CANTIDADES DE REFERENCIA]]</f>
        <v>0</v>
      </c>
      <c r="K394" s="36"/>
      <c r="L394" s="36"/>
      <c r="M394" s="36"/>
      <c r="N394" s="37" t="s">
        <v>889</v>
      </c>
      <c r="O394" s="37" t="s">
        <v>890</v>
      </c>
      <c r="P394" s="39"/>
      <c r="Q394" s="37" t="s">
        <v>891</v>
      </c>
      <c r="R394" s="37"/>
      <c r="S394" s="37"/>
      <c r="T394" s="31"/>
    </row>
    <row r="395" spans="1:20">
      <c r="A395" s="31"/>
      <c r="B395" s="32"/>
      <c r="C395" s="33"/>
      <c r="D395" s="32" t="s">
        <v>892</v>
      </c>
      <c r="E395" s="33" t="s">
        <v>42</v>
      </c>
      <c r="F395" s="34">
        <v>1</v>
      </c>
      <c r="G395" s="35">
        <v>0</v>
      </c>
      <c r="H395" s="35">
        <v>0</v>
      </c>
      <c r="I395" s="35">
        <f>Tabla1[[#This Row],[P.U. M.N.]]*Tabla1[[#This Row],[CANTIDADES DE REFERENCIA]]</f>
        <v>0</v>
      </c>
      <c r="J395" s="35">
        <f>Tabla1[[#This Row],[P.U. USD]]*Tabla1[[#This Row],[CANTIDADES DE REFERENCIA]]</f>
        <v>0</v>
      </c>
      <c r="K395" s="36"/>
      <c r="L395" s="36"/>
      <c r="M395" s="36"/>
      <c r="N395" s="37" t="s">
        <v>889</v>
      </c>
      <c r="O395" s="37" t="s">
        <v>890</v>
      </c>
      <c r="P395" s="39"/>
      <c r="Q395" s="37" t="s">
        <v>893</v>
      </c>
      <c r="R395" s="37"/>
      <c r="S395" s="37"/>
      <c r="T395" s="31"/>
    </row>
    <row r="396" spans="1:20">
      <c r="A396" s="31"/>
      <c r="B396" s="32"/>
      <c r="C396" s="33"/>
      <c r="D396" s="32" t="s">
        <v>894</v>
      </c>
      <c r="E396" s="33" t="s">
        <v>42</v>
      </c>
      <c r="F396" s="34">
        <v>1</v>
      </c>
      <c r="G396" s="35">
        <v>0</v>
      </c>
      <c r="H396" s="35">
        <v>0</v>
      </c>
      <c r="I396" s="35">
        <f>Tabla1[[#This Row],[P.U. M.N.]]*Tabla1[[#This Row],[CANTIDADES DE REFERENCIA]]</f>
        <v>0</v>
      </c>
      <c r="J396" s="35">
        <f>Tabla1[[#This Row],[P.U. USD]]*Tabla1[[#This Row],[CANTIDADES DE REFERENCIA]]</f>
        <v>0</v>
      </c>
      <c r="K396" s="36"/>
      <c r="L396" s="36"/>
      <c r="M396" s="36"/>
      <c r="N396" s="37" t="s">
        <v>889</v>
      </c>
      <c r="O396" s="37" t="s">
        <v>890</v>
      </c>
      <c r="P396" s="39"/>
      <c r="Q396" s="37" t="s">
        <v>895</v>
      </c>
      <c r="R396" s="37"/>
      <c r="S396" s="37"/>
      <c r="T396" s="31"/>
    </row>
    <row r="397" spans="1:20">
      <c r="A397" s="31"/>
      <c r="B397" s="32"/>
      <c r="C397" s="33"/>
      <c r="D397" s="32" t="s">
        <v>896</v>
      </c>
      <c r="E397" s="33" t="s">
        <v>42</v>
      </c>
      <c r="F397" s="34">
        <v>1</v>
      </c>
      <c r="G397" s="35">
        <v>0</v>
      </c>
      <c r="H397" s="35">
        <v>0</v>
      </c>
      <c r="I397" s="35">
        <f>Tabla1[[#This Row],[P.U. M.N.]]*Tabla1[[#This Row],[CANTIDADES DE REFERENCIA]]</f>
        <v>0</v>
      </c>
      <c r="J397" s="35">
        <f>Tabla1[[#This Row],[P.U. USD]]*Tabla1[[#This Row],[CANTIDADES DE REFERENCIA]]</f>
        <v>0</v>
      </c>
      <c r="K397" s="36"/>
      <c r="L397" s="36"/>
      <c r="M397" s="36"/>
      <c r="N397" s="37" t="s">
        <v>889</v>
      </c>
      <c r="O397" s="37" t="s">
        <v>890</v>
      </c>
      <c r="P397" s="39"/>
      <c r="Q397" s="37" t="s">
        <v>897</v>
      </c>
      <c r="R397" s="37"/>
      <c r="S397" s="37"/>
      <c r="T397" s="31"/>
    </row>
    <row r="398" spans="1:20">
      <c r="A398" s="31"/>
      <c r="B398" s="32"/>
      <c r="C398" s="33"/>
      <c r="D398" s="32" t="s">
        <v>898</v>
      </c>
      <c r="E398" s="33" t="s">
        <v>42</v>
      </c>
      <c r="F398" s="34">
        <v>1</v>
      </c>
      <c r="G398" s="35">
        <v>0</v>
      </c>
      <c r="H398" s="35">
        <v>0</v>
      </c>
      <c r="I398" s="35">
        <f>Tabla1[[#This Row],[P.U. M.N.]]*Tabla1[[#This Row],[CANTIDADES DE REFERENCIA]]</f>
        <v>0</v>
      </c>
      <c r="J398" s="35">
        <f>Tabla1[[#This Row],[P.U. USD]]*Tabla1[[#This Row],[CANTIDADES DE REFERENCIA]]</f>
        <v>0</v>
      </c>
      <c r="K398" s="36"/>
      <c r="L398" s="36"/>
      <c r="M398" s="36"/>
      <c r="N398" s="37" t="s">
        <v>889</v>
      </c>
      <c r="O398" s="37" t="s">
        <v>890</v>
      </c>
      <c r="P398" s="39"/>
      <c r="Q398" s="37" t="s">
        <v>899</v>
      </c>
      <c r="R398" s="37"/>
      <c r="S398" s="37"/>
      <c r="T398" s="31"/>
    </row>
    <row r="399" spans="1:20">
      <c r="A399" s="31"/>
      <c r="B399" s="32"/>
      <c r="C399" s="33"/>
      <c r="D399" s="32" t="s">
        <v>900</v>
      </c>
      <c r="E399" s="33" t="s">
        <v>42</v>
      </c>
      <c r="F399" s="34">
        <v>1</v>
      </c>
      <c r="G399" s="35">
        <v>0</v>
      </c>
      <c r="H399" s="35">
        <v>0</v>
      </c>
      <c r="I399" s="35">
        <f>Tabla1[[#This Row],[P.U. M.N.]]*Tabla1[[#This Row],[CANTIDADES DE REFERENCIA]]</f>
        <v>0</v>
      </c>
      <c r="J399" s="35">
        <f>Tabla1[[#This Row],[P.U. USD]]*Tabla1[[#This Row],[CANTIDADES DE REFERENCIA]]</f>
        <v>0</v>
      </c>
      <c r="K399" s="36"/>
      <c r="L399" s="36"/>
      <c r="M399" s="36"/>
      <c r="N399" s="37" t="s">
        <v>889</v>
      </c>
      <c r="O399" s="37" t="s">
        <v>890</v>
      </c>
      <c r="P399" s="39"/>
      <c r="Q399" s="37" t="s">
        <v>901</v>
      </c>
      <c r="R399" s="37"/>
      <c r="S399" s="37"/>
      <c r="T399" s="31"/>
    </row>
    <row r="400" spans="1:20">
      <c r="A400" s="31"/>
      <c r="B400" s="32"/>
      <c r="C400" s="33"/>
      <c r="D400" s="32" t="s">
        <v>902</v>
      </c>
      <c r="E400" s="33" t="s">
        <v>42</v>
      </c>
      <c r="F400" s="34">
        <v>1</v>
      </c>
      <c r="G400" s="35">
        <v>0</v>
      </c>
      <c r="H400" s="35">
        <v>0</v>
      </c>
      <c r="I400" s="35">
        <f>Tabla1[[#This Row],[P.U. M.N.]]*Tabla1[[#This Row],[CANTIDADES DE REFERENCIA]]</f>
        <v>0</v>
      </c>
      <c r="J400" s="35">
        <f>Tabla1[[#This Row],[P.U. USD]]*Tabla1[[#This Row],[CANTIDADES DE REFERENCIA]]</f>
        <v>0</v>
      </c>
      <c r="K400" s="36"/>
      <c r="L400" s="36"/>
      <c r="M400" s="36"/>
      <c r="N400" s="37" t="s">
        <v>889</v>
      </c>
      <c r="O400" s="37" t="s">
        <v>890</v>
      </c>
      <c r="P400" s="39"/>
      <c r="Q400" s="37" t="s">
        <v>903</v>
      </c>
      <c r="R400" s="37"/>
      <c r="S400" s="37"/>
      <c r="T400" s="31"/>
    </row>
    <row r="401" spans="1:20">
      <c r="A401" s="31"/>
      <c r="B401" s="32"/>
      <c r="C401" s="33"/>
      <c r="D401" s="32" t="s">
        <v>904</v>
      </c>
      <c r="E401" s="33" t="s">
        <v>42</v>
      </c>
      <c r="F401" s="34">
        <v>1</v>
      </c>
      <c r="G401" s="35">
        <v>0</v>
      </c>
      <c r="H401" s="35">
        <v>0</v>
      </c>
      <c r="I401" s="35">
        <f>Tabla1[[#This Row],[P.U. M.N.]]*Tabla1[[#This Row],[CANTIDADES DE REFERENCIA]]</f>
        <v>0</v>
      </c>
      <c r="J401" s="35">
        <f>Tabla1[[#This Row],[P.U. USD]]*Tabla1[[#This Row],[CANTIDADES DE REFERENCIA]]</f>
        <v>0</v>
      </c>
      <c r="K401" s="36"/>
      <c r="L401" s="36"/>
      <c r="M401" s="36"/>
      <c r="N401" s="37" t="s">
        <v>889</v>
      </c>
      <c r="O401" s="37" t="s">
        <v>890</v>
      </c>
      <c r="P401" s="39"/>
      <c r="Q401" s="37" t="s">
        <v>905</v>
      </c>
      <c r="R401" s="37"/>
      <c r="S401" s="37"/>
      <c r="T401" s="31"/>
    </row>
    <row r="402" spans="1:20">
      <c r="A402" s="31"/>
      <c r="B402" s="32"/>
      <c r="C402" s="33"/>
      <c r="D402" s="32" t="s">
        <v>906</v>
      </c>
      <c r="E402" s="33" t="s">
        <v>42</v>
      </c>
      <c r="F402" s="34">
        <v>1</v>
      </c>
      <c r="G402" s="35">
        <v>0</v>
      </c>
      <c r="H402" s="35">
        <v>0</v>
      </c>
      <c r="I402" s="35">
        <f>Tabla1[[#This Row],[P.U. M.N.]]*Tabla1[[#This Row],[CANTIDADES DE REFERENCIA]]</f>
        <v>0</v>
      </c>
      <c r="J402" s="35">
        <f>Tabla1[[#This Row],[P.U. USD]]*Tabla1[[#This Row],[CANTIDADES DE REFERENCIA]]</f>
        <v>0</v>
      </c>
      <c r="K402" s="36"/>
      <c r="L402" s="36"/>
      <c r="M402" s="36"/>
      <c r="N402" s="37" t="s">
        <v>889</v>
      </c>
      <c r="O402" s="37" t="s">
        <v>890</v>
      </c>
      <c r="P402" s="39"/>
      <c r="Q402" s="37" t="s">
        <v>907</v>
      </c>
      <c r="R402" s="37"/>
      <c r="S402" s="37"/>
      <c r="T402" s="31"/>
    </row>
    <row r="403" spans="1:20">
      <c r="A403" s="31"/>
      <c r="B403" s="32"/>
      <c r="C403" s="33"/>
      <c r="D403" s="32" t="s">
        <v>908</v>
      </c>
      <c r="E403" s="33" t="s">
        <v>42</v>
      </c>
      <c r="F403" s="34">
        <v>1</v>
      </c>
      <c r="G403" s="35">
        <v>0</v>
      </c>
      <c r="H403" s="35">
        <v>0</v>
      </c>
      <c r="I403" s="35">
        <f>Tabla1[[#This Row],[P.U. M.N.]]*Tabla1[[#This Row],[CANTIDADES DE REFERENCIA]]</f>
        <v>0</v>
      </c>
      <c r="J403" s="35">
        <f>Tabla1[[#This Row],[P.U. USD]]*Tabla1[[#This Row],[CANTIDADES DE REFERENCIA]]</f>
        <v>0</v>
      </c>
      <c r="K403" s="36"/>
      <c r="L403" s="36"/>
      <c r="M403" s="36"/>
      <c r="N403" s="37" t="s">
        <v>909</v>
      </c>
      <c r="O403" s="37" t="s">
        <v>910</v>
      </c>
      <c r="P403" s="39"/>
      <c r="Q403" s="37" t="s">
        <v>911</v>
      </c>
      <c r="R403" s="37"/>
      <c r="S403" s="37"/>
      <c r="T403" s="31"/>
    </row>
    <row r="404" spans="1:20">
      <c r="A404" s="31"/>
      <c r="B404" s="32"/>
      <c r="C404" s="33"/>
      <c r="D404" s="32" t="s">
        <v>912</v>
      </c>
      <c r="E404" s="33" t="s">
        <v>42</v>
      </c>
      <c r="F404" s="34">
        <v>1</v>
      </c>
      <c r="G404" s="35">
        <v>0</v>
      </c>
      <c r="H404" s="35">
        <v>0</v>
      </c>
      <c r="I404" s="35">
        <f>Tabla1[[#This Row],[P.U. M.N.]]*Tabla1[[#This Row],[CANTIDADES DE REFERENCIA]]</f>
        <v>0</v>
      </c>
      <c r="J404" s="35">
        <f>Tabla1[[#This Row],[P.U. USD]]*Tabla1[[#This Row],[CANTIDADES DE REFERENCIA]]</f>
        <v>0</v>
      </c>
      <c r="K404" s="36"/>
      <c r="L404" s="36"/>
      <c r="M404" s="36"/>
      <c r="N404" s="37" t="s">
        <v>909</v>
      </c>
      <c r="O404" s="37" t="s">
        <v>910</v>
      </c>
      <c r="P404" s="39"/>
      <c r="Q404" s="37" t="s">
        <v>913</v>
      </c>
      <c r="R404" s="37"/>
      <c r="S404" s="37"/>
      <c r="T404" s="31"/>
    </row>
    <row r="405" spans="1:20">
      <c r="A405" s="31"/>
      <c r="B405" s="32"/>
      <c r="C405" s="33"/>
      <c r="D405" s="32" t="s">
        <v>914</v>
      </c>
      <c r="E405" s="33" t="s">
        <v>42</v>
      </c>
      <c r="F405" s="34">
        <v>1</v>
      </c>
      <c r="G405" s="35">
        <v>0</v>
      </c>
      <c r="H405" s="35">
        <v>0</v>
      </c>
      <c r="I405" s="35">
        <f>Tabla1[[#This Row],[P.U. M.N.]]*Tabla1[[#This Row],[CANTIDADES DE REFERENCIA]]</f>
        <v>0</v>
      </c>
      <c r="J405" s="35">
        <f>Tabla1[[#This Row],[P.U. USD]]*Tabla1[[#This Row],[CANTIDADES DE REFERENCIA]]</f>
        <v>0</v>
      </c>
      <c r="K405" s="36"/>
      <c r="L405" s="36"/>
      <c r="M405" s="36"/>
      <c r="N405" s="37" t="s">
        <v>909</v>
      </c>
      <c r="O405" s="37" t="s">
        <v>910</v>
      </c>
      <c r="P405" s="39"/>
      <c r="Q405" s="37" t="s">
        <v>915</v>
      </c>
      <c r="R405" s="37"/>
      <c r="S405" s="37"/>
      <c r="T405" s="31"/>
    </row>
    <row r="406" spans="1:20">
      <c r="A406" s="31"/>
      <c r="B406" s="32"/>
      <c r="C406" s="33"/>
      <c r="D406" s="32" t="s">
        <v>916</v>
      </c>
      <c r="E406" s="33" t="s">
        <v>42</v>
      </c>
      <c r="F406" s="34">
        <v>1</v>
      </c>
      <c r="G406" s="35">
        <v>0</v>
      </c>
      <c r="H406" s="35">
        <v>0</v>
      </c>
      <c r="I406" s="35">
        <f>Tabla1[[#This Row],[P.U. M.N.]]*Tabla1[[#This Row],[CANTIDADES DE REFERENCIA]]</f>
        <v>0</v>
      </c>
      <c r="J406" s="35">
        <f>Tabla1[[#This Row],[P.U. USD]]*Tabla1[[#This Row],[CANTIDADES DE REFERENCIA]]</f>
        <v>0</v>
      </c>
      <c r="K406" s="36"/>
      <c r="L406" s="36"/>
      <c r="M406" s="36"/>
      <c r="N406" s="37" t="s">
        <v>909</v>
      </c>
      <c r="O406" s="37" t="s">
        <v>910</v>
      </c>
      <c r="P406" s="39"/>
      <c r="Q406" s="37" t="s">
        <v>917</v>
      </c>
      <c r="R406" s="37"/>
      <c r="S406" s="37"/>
      <c r="T406" s="31"/>
    </row>
    <row r="407" spans="1:20">
      <c r="A407" s="31"/>
      <c r="B407" s="32"/>
      <c r="C407" s="33"/>
      <c r="D407" s="32" t="s">
        <v>918</v>
      </c>
      <c r="E407" s="33" t="s">
        <v>42</v>
      </c>
      <c r="F407" s="34">
        <v>1</v>
      </c>
      <c r="G407" s="35">
        <v>0</v>
      </c>
      <c r="H407" s="35">
        <v>0</v>
      </c>
      <c r="I407" s="35">
        <f>Tabla1[[#This Row],[P.U. M.N.]]*Tabla1[[#This Row],[CANTIDADES DE REFERENCIA]]</f>
        <v>0</v>
      </c>
      <c r="J407" s="35">
        <f>Tabla1[[#This Row],[P.U. USD]]*Tabla1[[#This Row],[CANTIDADES DE REFERENCIA]]</f>
        <v>0</v>
      </c>
      <c r="K407" s="36"/>
      <c r="L407" s="36"/>
      <c r="M407" s="36"/>
      <c r="N407" s="37" t="s">
        <v>909</v>
      </c>
      <c r="O407" s="37" t="s">
        <v>910</v>
      </c>
      <c r="P407" s="39"/>
      <c r="Q407" s="37" t="s">
        <v>919</v>
      </c>
      <c r="R407" s="37"/>
      <c r="S407" s="37"/>
      <c r="T407" s="31"/>
    </row>
    <row r="408" spans="1:20">
      <c r="A408" s="31"/>
      <c r="B408" s="32"/>
      <c r="C408" s="33"/>
      <c r="D408" s="32" t="s">
        <v>920</v>
      </c>
      <c r="E408" s="33" t="s">
        <v>42</v>
      </c>
      <c r="F408" s="34">
        <v>1</v>
      </c>
      <c r="G408" s="35">
        <v>0</v>
      </c>
      <c r="H408" s="35">
        <v>0</v>
      </c>
      <c r="I408" s="35">
        <f>Tabla1[[#This Row],[P.U. M.N.]]*Tabla1[[#This Row],[CANTIDADES DE REFERENCIA]]</f>
        <v>0</v>
      </c>
      <c r="J408" s="35">
        <f>Tabla1[[#This Row],[P.U. USD]]*Tabla1[[#This Row],[CANTIDADES DE REFERENCIA]]</f>
        <v>0</v>
      </c>
      <c r="K408" s="36"/>
      <c r="L408" s="36"/>
      <c r="M408" s="36"/>
      <c r="N408" s="37" t="s">
        <v>909</v>
      </c>
      <c r="O408" s="37" t="s">
        <v>910</v>
      </c>
      <c r="P408" s="39"/>
      <c r="Q408" s="37" t="s">
        <v>921</v>
      </c>
      <c r="R408" s="37"/>
      <c r="S408" s="37"/>
      <c r="T408" s="31"/>
    </row>
    <row r="409" spans="1:20">
      <c r="A409" s="31"/>
      <c r="B409" s="32"/>
      <c r="C409" s="33"/>
      <c r="D409" s="32" t="s">
        <v>922</v>
      </c>
      <c r="E409" s="33" t="s">
        <v>42</v>
      </c>
      <c r="F409" s="34">
        <v>1</v>
      </c>
      <c r="G409" s="35">
        <v>0</v>
      </c>
      <c r="H409" s="35">
        <v>0</v>
      </c>
      <c r="I409" s="35">
        <f>Tabla1[[#This Row],[P.U. M.N.]]*Tabla1[[#This Row],[CANTIDADES DE REFERENCIA]]</f>
        <v>0</v>
      </c>
      <c r="J409" s="35">
        <f>Tabla1[[#This Row],[P.U. USD]]*Tabla1[[#This Row],[CANTIDADES DE REFERENCIA]]</f>
        <v>0</v>
      </c>
      <c r="K409" s="36"/>
      <c r="L409" s="36"/>
      <c r="M409" s="36"/>
      <c r="N409" s="37" t="s">
        <v>909</v>
      </c>
      <c r="O409" s="37" t="s">
        <v>910</v>
      </c>
      <c r="P409" s="39"/>
      <c r="Q409" s="37" t="s">
        <v>923</v>
      </c>
      <c r="R409" s="37"/>
      <c r="S409" s="37"/>
      <c r="T409" s="31"/>
    </row>
    <row r="410" spans="1:20">
      <c r="A410" s="31"/>
      <c r="B410" s="32"/>
      <c r="C410" s="33"/>
      <c r="D410" s="32" t="s">
        <v>924</v>
      </c>
      <c r="E410" s="33" t="s">
        <v>42</v>
      </c>
      <c r="F410" s="34">
        <v>1</v>
      </c>
      <c r="G410" s="35">
        <v>0</v>
      </c>
      <c r="H410" s="35">
        <v>0</v>
      </c>
      <c r="I410" s="35">
        <f>Tabla1[[#This Row],[P.U. M.N.]]*Tabla1[[#This Row],[CANTIDADES DE REFERENCIA]]</f>
        <v>0</v>
      </c>
      <c r="J410" s="35">
        <f>Tabla1[[#This Row],[P.U. USD]]*Tabla1[[#This Row],[CANTIDADES DE REFERENCIA]]</f>
        <v>0</v>
      </c>
      <c r="K410" s="36"/>
      <c r="L410" s="36"/>
      <c r="M410" s="36"/>
      <c r="N410" s="37" t="s">
        <v>909</v>
      </c>
      <c r="O410" s="37" t="s">
        <v>910</v>
      </c>
      <c r="P410" s="39"/>
      <c r="Q410" s="37" t="s">
        <v>925</v>
      </c>
      <c r="R410" s="37"/>
      <c r="S410" s="37"/>
      <c r="T410" s="31"/>
    </row>
    <row r="411" spans="1:20">
      <c r="A411" s="31"/>
      <c r="B411" s="32"/>
      <c r="C411" s="33"/>
      <c r="D411" s="32" t="s">
        <v>926</v>
      </c>
      <c r="E411" s="33" t="s">
        <v>42</v>
      </c>
      <c r="F411" s="34">
        <v>1</v>
      </c>
      <c r="G411" s="35">
        <v>0</v>
      </c>
      <c r="H411" s="35">
        <v>0</v>
      </c>
      <c r="I411" s="35">
        <f>Tabla1[[#This Row],[P.U. M.N.]]*Tabla1[[#This Row],[CANTIDADES DE REFERENCIA]]</f>
        <v>0</v>
      </c>
      <c r="J411" s="35">
        <f>Tabla1[[#This Row],[P.U. USD]]*Tabla1[[#This Row],[CANTIDADES DE REFERENCIA]]</f>
        <v>0</v>
      </c>
      <c r="K411" s="36"/>
      <c r="L411" s="36"/>
      <c r="M411" s="36"/>
      <c r="N411" s="37"/>
      <c r="O411" s="37"/>
      <c r="P411" s="39"/>
      <c r="Q411" s="37" t="s">
        <v>927</v>
      </c>
      <c r="R411" s="37"/>
      <c r="S411" s="37"/>
      <c r="T411" s="31"/>
    </row>
    <row r="412" spans="1:20">
      <c r="A412" s="31"/>
      <c r="B412" s="32"/>
      <c r="C412" s="33"/>
      <c r="D412" s="32" t="s">
        <v>928</v>
      </c>
      <c r="E412" s="33" t="s">
        <v>42</v>
      </c>
      <c r="F412" s="34">
        <v>1</v>
      </c>
      <c r="G412" s="35">
        <v>0</v>
      </c>
      <c r="H412" s="35">
        <v>0</v>
      </c>
      <c r="I412" s="35">
        <f>Tabla1[[#This Row],[P.U. M.N.]]*Tabla1[[#This Row],[CANTIDADES DE REFERENCIA]]</f>
        <v>0</v>
      </c>
      <c r="J412" s="35">
        <f>Tabla1[[#This Row],[P.U. USD]]*Tabla1[[#This Row],[CANTIDADES DE REFERENCIA]]</f>
        <v>0</v>
      </c>
      <c r="K412" s="36"/>
      <c r="L412" s="36"/>
      <c r="M412" s="36"/>
      <c r="N412" s="37"/>
      <c r="O412" s="37"/>
      <c r="P412" s="39"/>
      <c r="Q412" s="37" t="s">
        <v>929</v>
      </c>
      <c r="R412" s="37"/>
      <c r="S412" s="37"/>
      <c r="T412" s="31"/>
    </row>
    <row r="413" spans="1:20">
      <c r="A413" s="31"/>
      <c r="B413" s="32"/>
      <c r="C413" s="33"/>
      <c r="D413" s="32" t="s">
        <v>930</v>
      </c>
      <c r="E413" s="33" t="s">
        <v>42</v>
      </c>
      <c r="F413" s="34">
        <v>1</v>
      </c>
      <c r="G413" s="35">
        <v>0</v>
      </c>
      <c r="H413" s="35">
        <v>0</v>
      </c>
      <c r="I413" s="35">
        <f>Tabla1[[#This Row],[P.U. M.N.]]*Tabla1[[#This Row],[CANTIDADES DE REFERENCIA]]</f>
        <v>0</v>
      </c>
      <c r="J413" s="35">
        <f>Tabla1[[#This Row],[P.U. USD]]*Tabla1[[#This Row],[CANTIDADES DE REFERENCIA]]</f>
        <v>0</v>
      </c>
      <c r="K413" s="36"/>
      <c r="L413" s="36"/>
      <c r="M413" s="36"/>
      <c r="N413" s="37"/>
      <c r="O413" s="37"/>
      <c r="P413" s="39"/>
      <c r="Q413" s="37" t="s">
        <v>931</v>
      </c>
      <c r="R413" s="37"/>
      <c r="S413" s="37"/>
      <c r="T413" s="31"/>
    </row>
    <row r="414" spans="1:20">
      <c r="A414" s="31"/>
      <c r="B414" s="32"/>
      <c r="C414" s="33"/>
      <c r="D414" s="32" t="s">
        <v>932</v>
      </c>
      <c r="E414" s="33" t="s">
        <v>42</v>
      </c>
      <c r="F414" s="34">
        <v>1</v>
      </c>
      <c r="G414" s="35">
        <v>0</v>
      </c>
      <c r="H414" s="35">
        <v>0</v>
      </c>
      <c r="I414" s="35">
        <f>Tabla1[[#This Row],[P.U. M.N.]]*Tabla1[[#This Row],[CANTIDADES DE REFERENCIA]]</f>
        <v>0</v>
      </c>
      <c r="J414" s="35">
        <f>Tabla1[[#This Row],[P.U. USD]]*Tabla1[[#This Row],[CANTIDADES DE REFERENCIA]]</f>
        <v>0</v>
      </c>
      <c r="K414" s="36"/>
      <c r="L414" s="36"/>
      <c r="M414" s="36"/>
      <c r="N414" s="37"/>
      <c r="O414" s="37"/>
      <c r="P414" s="39"/>
      <c r="Q414" s="37" t="s">
        <v>933</v>
      </c>
      <c r="R414" s="37"/>
      <c r="S414" s="37"/>
      <c r="T414" s="31"/>
    </row>
    <row r="415" spans="1:20">
      <c r="A415" s="31"/>
      <c r="B415" s="32"/>
      <c r="C415" s="33"/>
      <c r="D415" s="32" t="s">
        <v>934</v>
      </c>
      <c r="E415" s="33" t="s">
        <v>42</v>
      </c>
      <c r="F415" s="34">
        <v>1</v>
      </c>
      <c r="G415" s="35">
        <v>0</v>
      </c>
      <c r="H415" s="35">
        <v>0</v>
      </c>
      <c r="I415" s="35">
        <f>Tabla1[[#This Row],[P.U. M.N.]]*Tabla1[[#This Row],[CANTIDADES DE REFERENCIA]]</f>
        <v>0</v>
      </c>
      <c r="J415" s="35">
        <f>Tabla1[[#This Row],[P.U. USD]]*Tabla1[[#This Row],[CANTIDADES DE REFERENCIA]]</f>
        <v>0</v>
      </c>
      <c r="K415" s="36"/>
      <c r="L415" s="36"/>
      <c r="M415" s="36"/>
      <c r="N415" s="37"/>
      <c r="O415" s="37"/>
      <c r="P415" s="39"/>
      <c r="Q415" s="37" t="s">
        <v>935</v>
      </c>
      <c r="R415" s="37"/>
      <c r="S415" s="37"/>
      <c r="T415" s="31"/>
    </row>
    <row r="416" spans="1:20">
      <c r="A416" s="31"/>
      <c r="B416" s="32"/>
      <c r="C416" s="33"/>
      <c r="D416" s="32" t="s">
        <v>936</v>
      </c>
      <c r="E416" s="33" t="s">
        <v>42</v>
      </c>
      <c r="F416" s="34">
        <v>1</v>
      </c>
      <c r="G416" s="35">
        <v>0</v>
      </c>
      <c r="H416" s="35">
        <v>0</v>
      </c>
      <c r="I416" s="35">
        <f>Tabla1[[#This Row],[P.U. M.N.]]*Tabla1[[#This Row],[CANTIDADES DE REFERENCIA]]</f>
        <v>0</v>
      </c>
      <c r="J416" s="35">
        <f>Tabla1[[#This Row],[P.U. USD]]*Tabla1[[#This Row],[CANTIDADES DE REFERENCIA]]</f>
        <v>0</v>
      </c>
      <c r="K416" s="36"/>
      <c r="L416" s="36"/>
      <c r="M416" s="36"/>
      <c r="N416" s="37"/>
      <c r="O416" s="37"/>
      <c r="P416" s="39"/>
      <c r="Q416" s="37" t="s">
        <v>937</v>
      </c>
      <c r="R416" s="37"/>
      <c r="S416" s="37"/>
      <c r="T416" s="31"/>
    </row>
    <row r="417" spans="1:20">
      <c r="A417" s="31"/>
      <c r="B417" s="32"/>
      <c r="C417" s="33"/>
      <c r="D417" s="32" t="s">
        <v>938</v>
      </c>
      <c r="E417" s="33" t="s">
        <v>42</v>
      </c>
      <c r="F417" s="34">
        <v>1</v>
      </c>
      <c r="G417" s="35">
        <v>0</v>
      </c>
      <c r="H417" s="35">
        <v>0</v>
      </c>
      <c r="I417" s="35">
        <f>Tabla1[[#This Row],[P.U. M.N.]]*Tabla1[[#This Row],[CANTIDADES DE REFERENCIA]]</f>
        <v>0</v>
      </c>
      <c r="J417" s="35">
        <f>Tabla1[[#This Row],[P.U. USD]]*Tabla1[[#This Row],[CANTIDADES DE REFERENCIA]]</f>
        <v>0</v>
      </c>
      <c r="K417" s="36"/>
      <c r="L417" s="36"/>
      <c r="M417" s="36"/>
      <c r="N417" s="37"/>
      <c r="O417" s="37"/>
      <c r="P417" s="39"/>
      <c r="Q417" s="37" t="s">
        <v>939</v>
      </c>
      <c r="R417" s="37"/>
      <c r="S417" s="37"/>
      <c r="T417" s="31"/>
    </row>
    <row r="418" spans="1:20">
      <c r="A418" s="31"/>
      <c r="B418" s="32"/>
      <c r="C418" s="33"/>
      <c r="D418" s="32" t="s">
        <v>940</v>
      </c>
      <c r="E418" s="33" t="s">
        <v>42</v>
      </c>
      <c r="F418" s="34">
        <v>1</v>
      </c>
      <c r="G418" s="35">
        <v>0</v>
      </c>
      <c r="H418" s="35">
        <v>0</v>
      </c>
      <c r="I418" s="35">
        <f>Tabla1[[#This Row],[P.U. M.N.]]*Tabla1[[#This Row],[CANTIDADES DE REFERENCIA]]</f>
        <v>0</v>
      </c>
      <c r="J418" s="35">
        <f>Tabla1[[#This Row],[P.U. USD]]*Tabla1[[#This Row],[CANTIDADES DE REFERENCIA]]</f>
        <v>0</v>
      </c>
      <c r="K418" s="36"/>
      <c r="L418" s="36"/>
      <c r="M418" s="36"/>
      <c r="N418" s="37"/>
      <c r="O418" s="37"/>
      <c r="P418" s="39"/>
      <c r="Q418" s="37" t="s">
        <v>941</v>
      </c>
      <c r="R418" s="37"/>
      <c r="S418" s="37"/>
      <c r="T418" s="31"/>
    </row>
    <row r="419" spans="1:20">
      <c r="A419" s="31"/>
      <c r="B419" s="32"/>
      <c r="C419" s="33"/>
      <c r="D419" s="32" t="s">
        <v>942</v>
      </c>
      <c r="E419" s="33" t="s">
        <v>42</v>
      </c>
      <c r="F419" s="34">
        <v>1</v>
      </c>
      <c r="G419" s="35">
        <v>0</v>
      </c>
      <c r="H419" s="35">
        <v>0</v>
      </c>
      <c r="I419" s="35">
        <f>Tabla1[[#This Row],[P.U. M.N.]]*Tabla1[[#This Row],[CANTIDADES DE REFERENCIA]]</f>
        <v>0</v>
      </c>
      <c r="J419" s="35">
        <f>Tabla1[[#This Row],[P.U. USD]]*Tabla1[[#This Row],[CANTIDADES DE REFERENCIA]]</f>
        <v>0</v>
      </c>
      <c r="K419" s="36"/>
      <c r="L419" s="36"/>
      <c r="M419" s="36"/>
      <c r="N419" s="37"/>
      <c r="O419" s="37"/>
      <c r="P419" s="39"/>
      <c r="Q419" s="37" t="s">
        <v>943</v>
      </c>
      <c r="R419" s="37"/>
      <c r="S419" s="37"/>
      <c r="T419" s="31"/>
    </row>
    <row r="420" spans="1:20">
      <c r="A420" s="31"/>
      <c r="B420" s="32"/>
      <c r="C420" s="33"/>
      <c r="D420" s="32" t="s">
        <v>944</v>
      </c>
      <c r="E420" s="33" t="s">
        <v>42</v>
      </c>
      <c r="F420" s="34">
        <v>1</v>
      </c>
      <c r="G420" s="35">
        <v>0</v>
      </c>
      <c r="H420" s="35">
        <v>0</v>
      </c>
      <c r="I420" s="35">
        <f>Tabla1[[#This Row],[P.U. M.N.]]*Tabla1[[#This Row],[CANTIDADES DE REFERENCIA]]</f>
        <v>0</v>
      </c>
      <c r="J420" s="35">
        <f>Tabla1[[#This Row],[P.U. USD]]*Tabla1[[#This Row],[CANTIDADES DE REFERENCIA]]</f>
        <v>0</v>
      </c>
      <c r="K420" s="36"/>
      <c r="L420" s="36"/>
      <c r="M420" s="36"/>
      <c r="N420" s="37"/>
      <c r="O420" s="37"/>
      <c r="P420" s="39"/>
      <c r="Q420" s="37" t="s">
        <v>945</v>
      </c>
      <c r="R420" s="37"/>
      <c r="S420" s="37"/>
      <c r="T420" s="31"/>
    </row>
    <row r="421" spans="1:20">
      <c r="A421" s="31"/>
      <c r="B421" s="32"/>
      <c r="C421" s="33"/>
      <c r="D421" s="32" t="s">
        <v>946</v>
      </c>
      <c r="E421" s="33" t="s">
        <v>42</v>
      </c>
      <c r="F421" s="34">
        <v>1</v>
      </c>
      <c r="G421" s="35">
        <v>0</v>
      </c>
      <c r="H421" s="35">
        <v>0</v>
      </c>
      <c r="I421" s="35">
        <f>Tabla1[[#This Row],[P.U. M.N.]]*Tabla1[[#This Row],[CANTIDADES DE REFERENCIA]]</f>
        <v>0</v>
      </c>
      <c r="J421" s="35">
        <f>Tabla1[[#This Row],[P.U. USD]]*Tabla1[[#This Row],[CANTIDADES DE REFERENCIA]]</f>
        <v>0</v>
      </c>
      <c r="K421" s="36"/>
      <c r="L421" s="36"/>
      <c r="M421" s="36"/>
      <c r="N421" s="37"/>
      <c r="O421" s="37"/>
      <c r="P421" s="39"/>
      <c r="Q421" s="37" t="s">
        <v>947</v>
      </c>
      <c r="R421" s="37"/>
      <c r="S421" s="37"/>
      <c r="T421" s="31"/>
    </row>
    <row r="422" spans="1:20">
      <c r="A422" s="31"/>
      <c r="B422" s="32"/>
      <c r="C422" s="33"/>
      <c r="D422" s="32" t="s">
        <v>948</v>
      </c>
      <c r="E422" s="33" t="s">
        <v>42</v>
      </c>
      <c r="F422" s="34">
        <v>1</v>
      </c>
      <c r="G422" s="35">
        <v>0</v>
      </c>
      <c r="H422" s="35">
        <v>0</v>
      </c>
      <c r="I422" s="35">
        <f>Tabla1[[#This Row],[P.U. M.N.]]*Tabla1[[#This Row],[CANTIDADES DE REFERENCIA]]</f>
        <v>0</v>
      </c>
      <c r="J422" s="35">
        <f>Tabla1[[#This Row],[P.U. USD]]*Tabla1[[#This Row],[CANTIDADES DE REFERENCIA]]</f>
        <v>0</v>
      </c>
      <c r="K422" s="36"/>
      <c r="L422" s="36"/>
      <c r="M422" s="36"/>
      <c r="N422" s="37"/>
      <c r="O422" s="37"/>
      <c r="P422" s="39"/>
      <c r="Q422" s="37" t="s">
        <v>949</v>
      </c>
      <c r="R422" s="37"/>
      <c r="S422" s="37"/>
      <c r="T422" s="31"/>
    </row>
    <row r="423" spans="1:20">
      <c r="A423" s="31"/>
      <c r="B423" s="32"/>
      <c r="C423" s="33"/>
      <c r="D423" s="32" t="s">
        <v>950</v>
      </c>
      <c r="E423" s="33" t="s">
        <v>42</v>
      </c>
      <c r="F423" s="34">
        <v>1</v>
      </c>
      <c r="G423" s="35">
        <v>0</v>
      </c>
      <c r="H423" s="35">
        <v>0</v>
      </c>
      <c r="I423" s="35">
        <f>Tabla1[[#This Row],[P.U. M.N.]]*Tabla1[[#This Row],[CANTIDADES DE REFERENCIA]]</f>
        <v>0</v>
      </c>
      <c r="J423" s="35">
        <f>Tabla1[[#This Row],[P.U. USD]]*Tabla1[[#This Row],[CANTIDADES DE REFERENCIA]]</f>
        <v>0</v>
      </c>
      <c r="K423" s="36"/>
      <c r="L423" s="36"/>
      <c r="M423" s="36"/>
      <c r="N423" s="37"/>
      <c r="O423" s="37"/>
      <c r="P423" s="39"/>
      <c r="Q423" s="37" t="s">
        <v>951</v>
      </c>
      <c r="R423" s="37"/>
      <c r="S423" s="37"/>
      <c r="T423" s="31"/>
    </row>
    <row r="424" spans="1:20">
      <c r="A424" s="31"/>
      <c r="B424" s="32"/>
      <c r="C424" s="33"/>
      <c r="D424" s="32" t="s">
        <v>952</v>
      </c>
      <c r="E424" s="33" t="s">
        <v>42</v>
      </c>
      <c r="F424" s="34">
        <v>1</v>
      </c>
      <c r="G424" s="35">
        <v>0</v>
      </c>
      <c r="H424" s="35">
        <v>0</v>
      </c>
      <c r="I424" s="35">
        <f>Tabla1[[#This Row],[P.U. M.N.]]*Tabla1[[#This Row],[CANTIDADES DE REFERENCIA]]</f>
        <v>0</v>
      </c>
      <c r="J424" s="35">
        <f>Tabla1[[#This Row],[P.U. USD]]*Tabla1[[#This Row],[CANTIDADES DE REFERENCIA]]</f>
        <v>0</v>
      </c>
      <c r="K424" s="36"/>
      <c r="L424" s="36"/>
      <c r="M424" s="36"/>
      <c r="N424" s="37"/>
      <c r="O424" s="37"/>
      <c r="P424" s="39"/>
      <c r="Q424" s="37" t="s">
        <v>953</v>
      </c>
      <c r="R424" s="37"/>
      <c r="S424" s="37"/>
      <c r="T424" s="31"/>
    </row>
    <row r="425" spans="1:20">
      <c r="A425" s="31"/>
      <c r="B425" s="32"/>
      <c r="C425" s="33"/>
      <c r="D425" s="32" t="s">
        <v>954</v>
      </c>
      <c r="E425" s="33" t="s">
        <v>42</v>
      </c>
      <c r="F425" s="34">
        <v>1</v>
      </c>
      <c r="G425" s="35">
        <v>0</v>
      </c>
      <c r="H425" s="35">
        <v>0</v>
      </c>
      <c r="I425" s="35">
        <f>Tabla1[[#This Row],[P.U. M.N.]]*Tabla1[[#This Row],[CANTIDADES DE REFERENCIA]]</f>
        <v>0</v>
      </c>
      <c r="J425" s="35">
        <f>Tabla1[[#This Row],[P.U. USD]]*Tabla1[[#This Row],[CANTIDADES DE REFERENCIA]]</f>
        <v>0</v>
      </c>
      <c r="K425" s="36"/>
      <c r="L425" s="36"/>
      <c r="M425" s="36"/>
      <c r="N425" s="37"/>
      <c r="O425" s="37"/>
      <c r="P425" s="39"/>
      <c r="Q425" s="37" t="s">
        <v>955</v>
      </c>
      <c r="R425" s="37"/>
      <c r="S425" s="37"/>
      <c r="T425" s="31"/>
    </row>
    <row r="426" spans="1:20">
      <c r="A426" s="31"/>
      <c r="B426" s="32"/>
      <c r="C426" s="33"/>
      <c r="D426" s="32" t="s">
        <v>956</v>
      </c>
      <c r="E426" s="33" t="s">
        <v>42</v>
      </c>
      <c r="F426" s="34">
        <v>1</v>
      </c>
      <c r="G426" s="35">
        <v>0</v>
      </c>
      <c r="H426" s="35">
        <v>0</v>
      </c>
      <c r="I426" s="35">
        <f>Tabla1[[#This Row],[P.U. M.N.]]*Tabla1[[#This Row],[CANTIDADES DE REFERENCIA]]</f>
        <v>0</v>
      </c>
      <c r="J426" s="35">
        <f>Tabla1[[#This Row],[P.U. USD]]*Tabla1[[#This Row],[CANTIDADES DE REFERENCIA]]</f>
        <v>0</v>
      </c>
      <c r="K426" s="36"/>
      <c r="L426" s="36"/>
      <c r="M426" s="36"/>
      <c r="N426" s="37"/>
      <c r="O426" s="37"/>
      <c r="P426" s="39"/>
      <c r="Q426" s="37" t="s">
        <v>957</v>
      </c>
      <c r="R426" s="37"/>
      <c r="S426" s="37"/>
      <c r="T426" s="31"/>
    </row>
    <row r="427" spans="1:20">
      <c r="A427" s="31"/>
      <c r="B427" s="32"/>
      <c r="C427" s="33"/>
      <c r="D427" s="32" t="s">
        <v>958</v>
      </c>
      <c r="E427" s="33" t="s">
        <v>42</v>
      </c>
      <c r="F427" s="34">
        <v>1</v>
      </c>
      <c r="G427" s="35">
        <v>0</v>
      </c>
      <c r="H427" s="35">
        <v>0</v>
      </c>
      <c r="I427" s="35">
        <f>Tabla1[[#This Row],[P.U. M.N.]]*Tabla1[[#This Row],[CANTIDADES DE REFERENCIA]]</f>
        <v>0</v>
      </c>
      <c r="J427" s="35">
        <f>Tabla1[[#This Row],[P.U. USD]]*Tabla1[[#This Row],[CANTIDADES DE REFERENCIA]]</f>
        <v>0</v>
      </c>
      <c r="K427" s="36"/>
      <c r="L427" s="36"/>
      <c r="M427" s="36"/>
      <c r="N427" s="37"/>
      <c r="O427" s="37"/>
      <c r="P427" s="39"/>
      <c r="Q427" s="37" t="s">
        <v>959</v>
      </c>
      <c r="R427" s="37"/>
      <c r="S427" s="37"/>
      <c r="T427" s="31"/>
    </row>
    <row r="428" spans="1:20">
      <c r="A428" s="31"/>
      <c r="B428" s="32"/>
      <c r="C428" s="33"/>
      <c r="D428" s="32" t="s">
        <v>960</v>
      </c>
      <c r="E428" s="33" t="s">
        <v>42</v>
      </c>
      <c r="F428" s="34">
        <v>1</v>
      </c>
      <c r="G428" s="35">
        <v>0</v>
      </c>
      <c r="H428" s="35">
        <v>0</v>
      </c>
      <c r="I428" s="35">
        <f>Tabla1[[#This Row],[P.U. M.N.]]*Tabla1[[#This Row],[CANTIDADES DE REFERENCIA]]</f>
        <v>0</v>
      </c>
      <c r="J428" s="35">
        <f>Tabla1[[#This Row],[P.U. USD]]*Tabla1[[#This Row],[CANTIDADES DE REFERENCIA]]</f>
        <v>0</v>
      </c>
      <c r="K428" s="36"/>
      <c r="L428" s="36"/>
      <c r="M428" s="36"/>
      <c r="N428" s="37" t="s">
        <v>961</v>
      </c>
      <c r="O428" s="37" t="s">
        <v>962</v>
      </c>
      <c r="P428" s="39"/>
      <c r="Q428" s="37" t="s">
        <v>963</v>
      </c>
      <c r="R428" s="37"/>
      <c r="S428" s="37" t="s">
        <v>964</v>
      </c>
      <c r="T428" s="31"/>
    </row>
    <row r="429" spans="1:20">
      <c r="A429" s="31"/>
      <c r="B429" s="32"/>
      <c r="C429" s="33"/>
      <c r="D429" s="32" t="s">
        <v>965</v>
      </c>
      <c r="E429" s="33" t="s">
        <v>42</v>
      </c>
      <c r="F429" s="34">
        <v>1</v>
      </c>
      <c r="G429" s="35">
        <v>0</v>
      </c>
      <c r="H429" s="35">
        <v>0</v>
      </c>
      <c r="I429" s="35">
        <f>Tabla1[[#This Row],[P.U. M.N.]]*Tabla1[[#This Row],[CANTIDADES DE REFERENCIA]]</f>
        <v>0</v>
      </c>
      <c r="J429" s="35">
        <f>Tabla1[[#This Row],[P.U. USD]]*Tabla1[[#This Row],[CANTIDADES DE REFERENCIA]]</f>
        <v>0</v>
      </c>
      <c r="K429" s="36"/>
      <c r="L429" s="36"/>
      <c r="M429" s="36"/>
      <c r="N429" s="37" t="s">
        <v>961</v>
      </c>
      <c r="O429" s="37" t="s">
        <v>962</v>
      </c>
      <c r="P429" s="39"/>
      <c r="Q429" s="37" t="s">
        <v>966</v>
      </c>
      <c r="R429" s="37"/>
      <c r="S429" s="37" t="s">
        <v>964</v>
      </c>
      <c r="T429" s="31"/>
    </row>
    <row r="430" spans="1:20">
      <c r="A430" s="31"/>
      <c r="B430" s="32"/>
      <c r="C430" s="33"/>
      <c r="D430" s="32" t="s">
        <v>967</v>
      </c>
      <c r="E430" s="33" t="s">
        <v>42</v>
      </c>
      <c r="F430" s="34">
        <v>1</v>
      </c>
      <c r="G430" s="35">
        <v>0</v>
      </c>
      <c r="H430" s="35">
        <v>0</v>
      </c>
      <c r="I430" s="35">
        <f>Tabla1[[#This Row],[P.U. M.N.]]*Tabla1[[#This Row],[CANTIDADES DE REFERENCIA]]</f>
        <v>0</v>
      </c>
      <c r="J430" s="35">
        <f>Tabla1[[#This Row],[P.U. USD]]*Tabla1[[#This Row],[CANTIDADES DE REFERENCIA]]</f>
        <v>0</v>
      </c>
      <c r="K430" s="36"/>
      <c r="L430" s="36"/>
      <c r="M430" s="36"/>
      <c r="N430" s="37" t="s">
        <v>961</v>
      </c>
      <c r="O430" s="37" t="s">
        <v>962</v>
      </c>
      <c r="P430" s="39"/>
      <c r="Q430" s="37" t="s">
        <v>968</v>
      </c>
      <c r="R430" s="37"/>
      <c r="S430" s="37" t="s">
        <v>964</v>
      </c>
      <c r="T430" s="31"/>
    </row>
    <row r="431" spans="1:20">
      <c r="A431" s="31"/>
      <c r="B431" s="32"/>
      <c r="C431" s="33"/>
      <c r="D431" s="32" t="s">
        <v>969</v>
      </c>
      <c r="E431" s="33" t="s">
        <v>42</v>
      </c>
      <c r="F431" s="34">
        <v>1</v>
      </c>
      <c r="G431" s="35">
        <v>0</v>
      </c>
      <c r="H431" s="35">
        <v>0</v>
      </c>
      <c r="I431" s="35">
        <f>Tabla1[[#This Row],[P.U. M.N.]]*Tabla1[[#This Row],[CANTIDADES DE REFERENCIA]]</f>
        <v>0</v>
      </c>
      <c r="J431" s="35">
        <f>Tabla1[[#This Row],[P.U. USD]]*Tabla1[[#This Row],[CANTIDADES DE REFERENCIA]]</f>
        <v>0</v>
      </c>
      <c r="K431" s="36"/>
      <c r="L431" s="36"/>
      <c r="M431" s="36"/>
      <c r="N431" s="37" t="s">
        <v>961</v>
      </c>
      <c r="O431" s="37" t="s">
        <v>962</v>
      </c>
      <c r="P431" s="39"/>
      <c r="Q431" s="37" t="s">
        <v>970</v>
      </c>
      <c r="R431" s="37"/>
      <c r="S431" s="37" t="s">
        <v>964</v>
      </c>
      <c r="T431" s="31"/>
    </row>
    <row r="432" spans="1:20">
      <c r="A432" s="31"/>
      <c r="B432" s="32"/>
      <c r="C432" s="33"/>
      <c r="D432" s="32" t="s">
        <v>971</v>
      </c>
      <c r="E432" s="33" t="s">
        <v>42</v>
      </c>
      <c r="F432" s="34">
        <v>1</v>
      </c>
      <c r="G432" s="35">
        <v>0</v>
      </c>
      <c r="H432" s="35">
        <v>0</v>
      </c>
      <c r="I432" s="35">
        <f>Tabla1[[#This Row],[P.U. M.N.]]*Tabla1[[#This Row],[CANTIDADES DE REFERENCIA]]</f>
        <v>0</v>
      </c>
      <c r="J432" s="35">
        <f>Tabla1[[#This Row],[P.U. USD]]*Tabla1[[#This Row],[CANTIDADES DE REFERENCIA]]</f>
        <v>0</v>
      </c>
      <c r="K432" s="36"/>
      <c r="L432" s="36"/>
      <c r="M432" s="36"/>
      <c r="N432" s="37" t="s">
        <v>961</v>
      </c>
      <c r="O432" s="37" t="s">
        <v>962</v>
      </c>
      <c r="P432" s="39"/>
      <c r="Q432" s="37" t="s">
        <v>972</v>
      </c>
      <c r="R432" s="37"/>
      <c r="S432" s="37" t="s">
        <v>964</v>
      </c>
      <c r="T432" s="31"/>
    </row>
    <row r="433" spans="1:20">
      <c r="A433" s="31"/>
      <c r="B433" s="32"/>
      <c r="C433" s="33"/>
      <c r="D433" s="32" t="s">
        <v>973</v>
      </c>
      <c r="E433" s="33" t="s">
        <v>42</v>
      </c>
      <c r="F433" s="34">
        <v>1</v>
      </c>
      <c r="G433" s="35">
        <v>0</v>
      </c>
      <c r="H433" s="35">
        <v>0</v>
      </c>
      <c r="I433" s="35">
        <f>Tabla1[[#This Row],[P.U. M.N.]]*Tabla1[[#This Row],[CANTIDADES DE REFERENCIA]]</f>
        <v>0</v>
      </c>
      <c r="J433" s="35">
        <f>Tabla1[[#This Row],[P.U. USD]]*Tabla1[[#This Row],[CANTIDADES DE REFERENCIA]]</f>
        <v>0</v>
      </c>
      <c r="K433" s="36"/>
      <c r="L433" s="36"/>
      <c r="M433" s="36"/>
      <c r="N433" s="37" t="s">
        <v>961</v>
      </c>
      <c r="O433" s="37" t="s">
        <v>962</v>
      </c>
      <c r="P433" s="39"/>
      <c r="Q433" s="37" t="s">
        <v>974</v>
      </c>
      <c r="R433" s="37"/>
      <c r="S433" s="37" t="s">
        <v>964</v>
      </c>
      <c r="T433" s="31"/>
    </row>
    <row r="434" spans="1:20">
      <c r="A434" s="31"/>
      <c r="B434" s="32"/>
      <c r="C434" s="33"/>
      <c r="D434" s="32" t="s">
        <v>975</v>
      </c>
      <c r="E434" s="33" t="s">
        <v>42</v>
      </c>
      <c r="F434" s="34">
        <v>1</v>
      </c>
      <c r="G434" s="35">
        <v>0</v>
      </c>
      <c r="H434" s="35">
        <v>0</v>
      </c>
      <c r="I434" s="35">
        <f>Tabla1[[#This Row],[P.U. M.N.]]*Tabla1[[#This Row],[CANTIDADES DE REFERENCIA]]</f>
        <v>0</v>
      </c>
      <c r="J434" s="35">
        <f>Tabla1[[#This Row],[P.U. USD]]*Tabla1[[#This Row],[CANTIDADES DE REFERENCIA]]</f>
        <v>0</v>
      </c>
      <c r="K434" s="36"/>
      <c r="L434" s="36"/>
      <c r="M434" s="36"/>
      <c r="N434" s="37" t="s">
        <v>961</v>
      </c>
      <c r="O434" s="37" t="s">
        <v>962</v>
      </c>
      <c r="P434" s="39"/>
      <c r="Q434" s="37" t="s">
        <v>976</v>
      </c>
      <c r="R434" s="37"/>
      <c r="S434" s="37" t="s">
        <v>964</v>
      </c>
      <c r="T434" s="31"/>
    </row>
    <row r="435" spans="1:20">
      <c r="A435" s="31"/>
      <c r="B435" s="32"/>
      <c r="C435" s="33"/>
      <c r="D435" s="32" t="s">
        <v>977</v>
      </c>
      <c r="E435" s="33" t="s">
        <v>42</v>
      </c>
      <c r="F435" s="34">
        <v>1</v>
      </c>
      <c r="G435" s="35">
        <v>0</v>
      </c>
      <c r="H435" s="35">
        <v>0</v>
      </c>
      <c r="I435" s="35">
        <f>Tabla1[[#This Row],[P.U. M.N.]]*Tabla1[[#This Row],[CANTIDADES DE REFERENCIA]]</f>
        <v>0</v>
      </c>
      <c r="J435" s="35">
        <f>Tabla1[[#This Row],[P.U. USD]]*Tabla1[[#This Row],[CANTIDADES DE REFERENCIA]]</f>
        <v>0</v>
      </c>
      <c r="K435" s="36"/>
      <c r="L435" s="36"/>
      <c r="M435" s="36"/>
      <c r="N435" s="37" t="s">
        <v>961</v>
      </c>
      <c r="O435" s="37" t="s">
        <v>962</v>
      </c>
      <c r="P435" s="39"/>
      <c r="Q435" s="37" t="s">
        <v>978</v>
      </c>
      <c r="R435" s="37"/>
      <c r="S435" s="37" t="s">
        <v>964</v>
      </c>
      <c r="T435" s="31"/>
    </row>
    <row r="436" spans="1:20">
      <c r="A436" s="31"/>
      <c r="B436" s="32"/>
      <c r="C436" s="33"/>
      <c r="D436" s="32" t="s">
        <v>979</v>
      </c>
      <c r="E436" s="33" t="s">
        <v>42</v>
      </c>
      <c r="F436" s="34">
        <v>1</v>
      </c>
      <c r="G436" s="35">
        <v>0</v>
      </c>
      <c r="H436" s="35">
        <v>0</v>
      </c>
      <c r="I436" s="35">
        <f>Tabla1[[#This Row],[P.U. M.N.]]*Tabla1[[#This Row],[CANTIDADES DE REFERENCIA]]</f>
        <v>0</v>
      </c>
      <c r="J436" s="35">
        <f>Tabla1[[#This Row],[P.U. USD]]*Tabla1[[#This Row],[CANTIDADES DE REFERENCIA]]</f>
        <v>0</v>
      </c>
      <c r="K436" s="36"/>
      <c r="L436" s="36"/>
      <c r="M436" s="36"/>
      <c r="N436" s="37" t="s">
        <v>961</v>
      </c>
      <c r="O436" s="37" t="s">
        <v>962</v>
      </c>
      <c r="P436" s="39"/>
      <c r="Q436" s="37" t="s">
        <v>980</v>
      </c>
      <c r="R436" s="37"/>
      <c r="S436" s="37" t="s">
        <v>964</v>
      </c>
      <c r="T436" s="31"/>
    </row>
    <row r="437" spans="1:20">
      <c r="A437" s="31"/>
      <c r="B437" s="32"/>
      <c r="C437" s="33"/>
      <c r="D437" s="32" t="s">
        <v>981</v>
      </c>
      <c r="E437" s="33" t="s">
        <v>42</v>
      </c>
      <c r="F437" s="34">
        <v>1</v>
      </c>
      <c r="G437" s="35">
        <v>0</v>
      </c>
      <c r="H437" s="35">
        <v>0</v>
      </c>
      <c r="I437" s="35">
        <f>Tabla1[[#This Row],[P.U. M.N.]]*Tabla1[[#This Row],[CANTIDADES DE REFERENCIA]]</f>
        <v>0</v>
      </c>
      <c r="J437" s="35">
        <f>Tabla1[[#This Row],[P.U. USD]]*Tabla1[[#This Row],[CANTIDADES DE REFERENCIA]]</f>
        <v>0</v>
      </c>
      <c r="K437" s="36"/>
      <c r="L437" s="36"/>
      <c r="M437" s="36"/>
      <c r="N437" s="37" t="s">
        <v>961</v>
      </c>
      <c r="O437" s="37" t="s">
        <v>962</v>
      </c>
      <c r="P437" s="39"/>
      <c r="Q437" s="37" t="s">
        <v>982</v>
      </c>
      <c r="R437" s="37"/>
      <c r="S437" s="37" t="s">
        <v>964</v>
      </c>
      <c r="T437" s="31"/>
    </row>
    <row r="438" spans="1:20">
      <c r="A438" s="31"/>
      <c r="B438" s="32"/>
      <c r="C438" s="33"/>
      <c r="D438" s="32" t="s">
        <v>983</v>
      </c>
      <c r="E438" s="33" t="s">
        <v>42</v>
      </c>
      <c r="F438" s="34">
        <v>1</v>
      </c>
      <c r="G438" s="35">
        <v>0</v>
      </c>
      <c r="H438" s="35">
        <v>0</v>
      </c>
      <c r="I438" s="35">
        <f>Tabla1[[#This Row],[P.U. M.N.]]*Tabla1[[#This Row],[CANTIDADES DE REFERENCIA]]</f>
        <v>0</v>
      </c>
      <c r="J438" s="35">
        <f>Tabla1[[#This Row],[P.U. USD]]*Tabla1[[#This Row],[CANTIDADES DE REFERENCIA]]</f>
        <v>0</v>
      </c>
      <c r="K438" s="36"/>
      <c r="L438" s="36"/>
      <c r="M438" s="36"/>
      <c r="N438" s="37" t="s">
        <v>961</v>
      </c>
      <c r="O438" s="37" t="s">
        <v>962</v>
      </c>
      <c r="P438" s="39"/>
      <c r="Q438" s="37" t="s">
        <v>984</v>
      </c>
      <c r="R438" s="37"/>
      <c r="S438" s="37" t="s">
        <v>964</v>
      </c>
      <c r="T438" s="31"/>
    </row>
    <row r="439" spans="1:20">
      <c r="A439" s="31"/>
      <c r="B439" s="32"/>
      <c r="C439" s="33"/>
      <c r="D439" s="32" t="s">
        <v>985</v>
      </c>
      <c r="E439" s="33" t="s">
        <v>42</v>
      </c>
      <c r="F439" s="34">
        <v>1</v>
      </c>
      <c r="G439" s="35">
        <v>0</v>
      </c>
      <c r="H439" s="35">
        <v>0</v>
      </c>
      <c r="I439" s="35">
        <f>Tabla1[[#This Row],[P.U. M.N.]]*Tabla1[[#This Row],[CANTIDADES DE REFERENCIA]]</f>
        <v>0</v>
      </c>
      <c r="J439" s="35">
        <f>Tabla1[[#This Row],[P.U. USD]]*Tabla1[[#This Row],[CANTIDADES DE REFERENCIA]]</f>
        <v>0</v>
      </c>
      <c r="K439" s="36"/>
      <c r="L439" s="36"/>
      <c r="M439" s="36"/>
      <c r="N439" s="37" t="s">
        <v>961</v>
      </c>
      <c r="O439" s="37" t="s">
        <v>962</v>
      </c>
      <c r="P439" s="39"/>
      <c r="Q439" s="37" t="s">
        <v>986</v>
      </c>
      <c r="R439" s="37"/>
      <c r="S439" s="37" t="s">
        <v>987</v>
      </c>
      <c r="T439" s="31"/>
    </row>
    <row r="440" spans="1:20">
      <c r="A440" s="31"/>
      <c r="B440" s="32"/>
      <c r="C440" s="33"/>
      <c r="D440" s="32" t="s">
        <v>988</v>
      </c>
      <c r="E440" s="33" t="s">
        <v>42</v>
      </c>
      <c r="F440" s="34">
        <v>1</v>
      </c>
      <c r="G440" s="35">
        <v>0</v>
      </c>
      <c r="H440" s="35">
        <v>0</v>
      </c>
      <c r="I440" s="35">
        <f>Tabla1[[#This Row],[P.U. M.N.]]*Tabla1[[#This Row],[CANTIDADES DE REFERENCIA]]</f>
        <v>0</v>
      </c>
      <c r="J440" s="35">
        <f>Tabla1[[#This Row],[P.U. USD]]*Tabla1[[#This Row],[CANTIDADES DE REFERENCIA]]</f>
        <v>0</v>
      </c>
      <c r="K440" s="36"/>
      <c r="L440" s="36"/>
      <c r="M440" s="36"/>
      <c r="N440" s="37" t="s">
        <v>961</v>
      </c>
      <c r="O440" s="37" t="s">
        <v>962</v>
      </c>
      <c r="P440" s="39"/>
      <c r="Q440" s="37" t="s">
        <v>989</v>
      </c>
      <c r="R440" s="37"/>
      <c r="S440" s="37" t="s">
        <v>987</v>
      </c>
      <c r="T440" s="31"/>
    </row>
    <row r="441" spans="1:20">
      <c r="A441" s="31"/>
      <c r="B441" s="32"/>
      <c r="C441" s="33"/>
      <c r="D441" s="32" t="s">
        <v>990</v>
      </c>
      <c r="E441" s="33" t="s">
        <v>42</v>
      </c>
      <c r="F441" s="34">
        <v>1</v>
      </c>
      <c r="G441" s="35">
        <v>0</v>
      </c>
      <c r="H441" s="35">
        <v>0</v>
      </c>
      <c r="I441" s="35">
        <f>Tabla1[[#This Row],[P.U. M.N.]]*Tabla1[[#This Row],[CANTIDADES DE REFERENCIA]]</f>
        <v>0</v>
      </c>
      <c r="J441" s="35">
        <f>Tabla1[[#This Row],[P.U. USD]]*Tabla1[[#This Row],[CANTIDADES DE REFERENCIA]]</f>
        <v>0</v>
      </c>
      <c r="K441" s="36"/>
      <c r="L441" s="36"/>
      <c r="M441" s="36"/>
      <c r="N441" s="37"/>
      <c r="O441" s="37"/>
      <c r="P441" s="39"/>
      <c r="Q441" s="37" t="s">
        <v>991</v>
      </c>
      <c r="R441" s="37"/>
      <c r="S441" s="37"/>
      <c r="T441" s="31"/>
    </row>
    <row r="442" spans="1:20">
      <c r="A442" s="31"/>
      <c r="B442" s="32"/>
      <c r="C442" s="33"/>
      <c r="D442" s="32" t="s">
        <v>992</v>
      </c>
      <c r="E442" s="33" t="s">
        <v>42</v>
      </c>
      <c r="F442" s="34">
        <v>1</v>
      </c>
      <c r="G442" s="35">
        <v>0</v>
      </c>
      <c r="H442" s="35">
        <v>0</v>
      </c>
      <c r="I442" s="35">
        <f>Tabla1[[#This Row],[P.U. M.N.]]*Tabla1[[#This Row],[CANTIDADES DE REFERENCIA]]</f>
        <v>0</v>
      </c>
      <c r="J442" s="35">
        <f>Tabla1[[#This Row],[P.U. USD]]*Tabla1[[#This Row],[CANTIDADES DE REFERENCIA]]</f>
        <v>0</v>
      </c>
      <c r="K442" s="36"/>
      <c r="L442" s="36"/>
      <c r="M442" s="36"/>
      <c r="N442" s="37" t="s">
        <v>961</v>
      </c>
      <c r="O442" s="37" t="s">
        <v>962</v>
      </c>
      <c r="P442" s="39"/>
      <c r="Q442" s="37" t="s">
        <v>993</v>
      </c>
      <c r="R442" s="37"/>
      <c r="S442" s="37" t="s">
        <v>987</v>
      </c>
      <c r="T442" s="31"/>
    </row>
    <row r="443" spans="1:20">
      <c r="A443" s="31"/>
      <c r="B443" s="32"/>
      <c r="C443" s="33"/>
      <c r="D443" s="32" t="s">
        <v>954</v>
      </c>
      <c r="E443" s="33" t="s">
        <v>42</v>
      </c>
      <c r="F443" s="34">
        <v>1</v>
      </c>
      <c r="G443" s="35">
        <v>0</v>
      </c>
      <c r="H443" s="35">
        <v>0</v>
      </c>
      <c r="I443" s="35">
        <f>Tabla1[[#This Row],[P.U. M.N.]]*Tabla1[[#This Row],[CANTIDADES DE REFERENCIA]]</f>
        <v>0</v>
      </c>
      <c r="J443" s="35">
        <f>Tabla1[[#This Row],[P.U. USD]]*Tabla1[[#This Row],[CANTIDADES DE REFERENCIA]]</f>
        <v>0</v>
      </c>
      <c r="K443" s="36"/>
      <c r="L443" s="36"/>
      <c r="M443" s="36"/>
      <c r="N443" s="37"/>
      <c r="O443" s="37"/>
      <c r="P443" s="39"/>
      <c r="Q443" s="37" t="s">
        <v>994</v>
      </c>
      <c r="R443" s="37"/>
      <c r="S443" s="37"/>
      <c r="T443" s="31"/>
    </row>
    <row r="444" spans="1:20">
      <c r="A444" s="31"/>
      <c r="B444" s="32"/>
      <c r="C444" s="33"/>
      <c r="D444" s="32" t="s">
        <v>995</v>
      </c>
      <c r="E444" s="33" t="s">
        <v>42</v>
      </c>
      <c r="F444" s="34">
        <v>1</v>
      </c>
      <c r="G444" s="35">
        <v>0</v>
      </c>
      <c r="H444" s="35">
        <v>0</v>
      </c>
      <c r="I444" s="35">
        <f>Tabla1[[#This Row],[P.U. M.N.]]*Tabla1[[#This Row],[CANTIDADES DE REFERENCIA]]</f>
        <v>0</v>
      </c>
      <c r="J444" s="35">
        <f>Tabla1[[#This Row],[P.U. USD]]*Tabla1[[#This Row],[CANTIDADES DE REFERENCIA]]</f>
        <v>0</v>
      </c>
      <c r="K444" s="36"/>
      <c r="L444" s="36"/>
      <c r="M444" s="36"/>
      <c r="N444" s="37" t="s">
        <v>961</v>
      </c>
      <c r="O444" s="37" t="s">
        <v>962</v>
      </c>
      <c r="P444" s="39"/>
      <c r="Q444" s="37" t="s">
        <v>996</v>
      </c>
      <c r="R444" s="37"/>
      <c r="S444" s="37" t="s">
        <v>987</v>
      </c>
      <c r="T444" s="31"/>
    </row>
    <row r="445" spans="1:20">
      <c r="A445" s="31"/>
      <c r="B445" s="32"/>
      <c r="C445" s="33"/>
      <c r="D445" s="32" t="s">
        <v>997</v>
      </c>
      <c r="E445" s="33" t="s">
        <v>42</v>
      </c>
      <c r="F445" s="34">
        <v>1</v>
      </c>
      <c r="G445" s="35">
        <v>0</v>
      </c>
      <c r="H445" s="35">
        <v>0</v>
      </c>
      <c r="I445" s="35">
        <f>Tabla1[[#This Row],[P.U. M.N.]]*Tabla1[[#This Row],[CANTIDADES DE REFERENCIA]]</f>
        <v>0</v>
      </c>
      <c r="J445" s="35">
        <f>Tabla1[[#This Row],[P.U. USD]]*Tabla1[[#This Row],[CANTIDADES DE REFERENCIA]]</f>
        <v>0</v>
      </c>
      <c r="K445" s="36"/>
      <c r="L445" s="36"/>
      <c r="M445" s="36"/>
      <c r="N445" s="37" t="s">
        <v>961</v>
      </c>
      <c r="O445" s="37" t="s">
        <v>962</v>
      </c>
      <c r="P445" s="39"/>
      <c r="Q445" s="37" t="s">
        <v>998</v>
      </c>
      <c r="R445" s="37"/>
      <c r="S445" s="37" t="s">
        <v>987</v>
      </c>
      <c r="T445" s="31"/>
    </row>
    <row r="446" spans="1:20">
      <c r="A446" s="31"/>
      <c r="B446" s="32"/>
      <c r="C446" s="33"/>
      <c r="D446" s="32" t="s">
        <v>999</v>
      </c>
      <c r="E446" s="33" t="s">
        <v>42</v>
      </c>
      <c r="F446" s="34">
        <v>1</v>
      </c>
      <c r="G446" s="35">
        <v>0</v>
      </c>
      <c r="H446" s="35">
        <v>0</v>
      </c>
      <c r="I446" s="35">
        <f>Tabla1[[#This Row],[P.U. M.N.]]*Tabla1[[#This Row],[CANTIDADES DE REFERENCIA]]</f>
        <v>0</v>
      </c>
      <c r="J446" s="35">
        <f>Tabla1[[#This Row],[P.U. USD]]*Tabla1[[#This Row],[CANTIDADES DE REFERENCIA]]</f>
        <v>0</v>
      </c>
      <c r="K446" s="36"/>
      <c r="L446" s="36"/>
      <c r="M446" s="36"/>
      <c r="N446" s="37" t="s">
        <v>961</v>
      </c>
      <c r="O446" s="37" t="s">
        <v>962</v>
      </c>
      <c r="P446" s="39"/>
      <c r="Q446" s="37" t="s">
        <v>1000</v>
      </c>
      <c r="R446" s="37"/>
      <c r="S446" s="37" t="s">
        <v>987</v>
      </c>
      <c r="T446" s="31"/>
    </row>
    <row r="447" spans="1:20">
      <c r="A447" s="31"/>
      <c r="B447" s="32"/>
      <c r="C447" s="33"/>
      <c r="D447" s="32" t="s">
        <v>1001</v>
      </c>
      <c r="E447" s="33" t="s">
        <v>42</v>
      </c>
      <c r="F447" s="34">
        <v>1</v>
      </c>
      <c r="G447" s="35">
        <v>0</v>
      </c>
      <c r="H447" s="35">
        <v>0</v>
      </c>
      <c r="I447" s="35">
        <f>Tabla1[[#This Row],[P.U. M.N.]]*Tabla1[[#This Row],[CANTIDADES DE REFERENCIA]]</f>
        <v>0</v>
      </c>
      <c r="J447" s="35">
        <f>Tabla1[[#This Row],[P.U. USD]]*Tabla1[[#This Row],[CANTIDADES DE REFERENCIA]]</f>
        <v>0</v>
      </c>
      <c r="K447" s="36"/>
      <c r="L447" s="36"/>
      <c r="M447" s="36"/>
      <c r="N447" s="37"/>
      <c r="O447" s="37"/>
      <c r="P447" s="39"/>
      <c r="Q447" s="37" t="s">
        <v>1002</v>
      </c>
      <c r="R447" s="37"/>
      <c r="S447" s="37"/>
      <c r="T447" s="31"/>
    </row>
    <row r="448" spans="1:20">
      <c r="A448" s="31"/>
      <c r="B448" s="32"/>
      <c r="C448" s="33"/>
      <c r="D448" s="32" t="s">
        <v>1003</v>
      </c>
      <c r="E448" s="33" t="s">
        <v>42</v>
      </c>
      <c r="F448" s="34">
        <v>1</v>
      </c>
      <c r="G448" s="35">
        <v>0</v>
      </c>
      <c r="H448" s="35">
        <v>0</v>
      </c>
      <c r="I448" s="35">
        <f>Tabla1[[#This Row],[P.U. M.N.]]*Tabla1[[#This Row],[CANTIDADES DE REFERENCIA]]</f>
        <v>0</v>
      </c>
      <c r="J448" s="35">
        <f>Tabla1[[#This Row],[P.U. USD]]*Tabla1[[#This Row],[CANTIDADES DE REFERENCIA]]</f>
        <v>0</v>
      </c>
      <c r="K448" s="36"/>
      <c r="L448" s="36"/>
      <c r="M448" s="36"/>
      <c r="N448" s="37"/>
      <c r="O448" s="37"/>
      <c r="P448" s="39"/>
      <c r="Q448" s="37" t="s">
        <v>1004</v>
      </c>
      <c r="R448" s="37"/>
      <c r="S448" s="37"/>
      <c r="T448" s="31"/>
    </row>
    <row r="449" spans="1:20">
      <c r="A449" s="31"/>
      <c r="B449" s="32"/>
      <c r="C449" s="33"/>
      <c r="D449" s="32" t="s">
        <v>1005</v>
      </c>
      <c r="E449" s="33" t="s">
        <v>116</v>
      </c>
      <c r="F449" s="34">
        <v>1</v>
      </c>
      <c r="G449" s="35">
        <v>0</v>
      </c>
      <c r="H449" s="35">
        <v>0</v>
      </c>
      <c r="I449" s="35">
        <f>Tabla1[[#This Row],[P.U. M.N.]]*Tabla1[[#This Row],[CANTIDADES DE REFERENCIA]]</f>
        <v>0</v>
      </c>
      <c r="J449" s="35">
        <f>Tabla1[[#This Row],[P.U. USD]]*Tabla1[[#This Row],[CANTIDADES DE REFERENCIA]]</f>
        <v>0</v>
      </c>
      <c r="K449" s="36"/>
      <c r="L449" s="36"/>
      <c r="M449" s="36"/>
      <c r="N449" s="37"/>
      <c r="O449" s="37"/>
      <c r="P449" s="39"/>
      <c r="Q449" s="37" t="s">
        <v>1006</v>
      </c>
      <c r="R449" s="37"/>
      <c r="S449" s="37" t="s">
        <v>1007</v>
      </c>
      <c r="T449" s="31"/>
    </row>
    <row r="450" spans="1:20">
      <c r="A450" s="31"/>
      <c r="B450" s="32"/>
      <c r="C450" s="33"/>
      <c r="D450" s="32" t="s">
        <v>1008</v>
      </c>
      <c r="E450" s="33" t="s">
        <v>116</v>
      </c>
      <c r="F450" s="34">
        <v>1</v>
      </c>
      <c r="G450" s="35">
        <v>0</v>
      </c>
      <c r="H450" s="35">
        <v>0</v>
      </c>
      <c r="I450" s="35">
        <f>Tabla1[[#This Row],[P.U. M.N.]]*Tabla1[[#This Row],[CANTIDADES DE REFERENCIA]]</f>
        <v>0</v>
      </c>
      <c r="J450" s="35">
        <f>Tabla1[[#This Row],[P.U. USD]]*Tabla1[[#This Row],[CANTIDADES DE REFERENCIA]]</f>
        <v>0</v>
      </c>
      <c r="K450" s="36"/>
      <c r="L450" s="36"/>
      <c r="M450" s="36"/>
      <c r="N450" s="37"/>
      <c r="O450" s="37"/>
      <c r="P450" s="39"/>
      <c r="Q450" s="37" t="s">
        <v>1009</v>
      </c>
      <c r="R450" s="37"/>
      <c r="S450" s="37" t="s">
        <v>1007</v>
      </c>
      <c r="T450" s="31"/>
    </row>
    <row r="451" spans="1:20">
      <c r="A451" s="31"/>
      <c r="B451" s="32"/>
      <c r="C451" s="33"/>
      <c r="D451" s="32" t="s">
        <v>1010</v>
      </c>
      <c r="E451" s="33" t="s">
        <v>116</v>
      </c>
      <c r="F451" s="34">
        <v>1</v>
      </c>
      <c r="G451" s="35">
        <v>0</v>
      </c>
      <c r="H451" s="35">
        <v>0</v>
      </c>
      <c r="I451" s="35">
        <f>Tabla1[[#This Row],[P.U. M.N.]]*Tabla1[[#This Row],[CANTIDADES DE REFERENCIA]]</f>
        <v>0</v>
      </c>
      <c r="J451" s="35">
        <f>Tabla1[[#This Row],[P.U. USD]]*Tabla1[[#This Row],[CANTIDADES DE REFERENCIA]]</f>
        <v>0</v>
      </c>
      <c r="K451" s="36"/>
      <c r="L451" s="36"/>
      <c r="M451" s="36"/>
      <c r="N451" s="37"/>
      <c r="O451" s="37"/>
      <c r="P451" s="39"/>
      <c r="Q451" s="37" t="s">
        <v>1011</v>
      </c>
      <c r="R451" s="37"/>
      <c r="S451" s="37" t="s">
        <v>1007</v>
      </c>
      <c r="T451" s="31"/>
    </row>
    <row r="452" spans="1:20">
      <c r="A452" s="31"/>
      <c r="B452" s="32"/>
      <c r="C452" s="33"/>
      <c r="D452" s="32" t="s">
        <v>1012</v>
      </c>
      <c r="E452" s="33" t="s">
        <v>116</v>
      </c>
      <c r="F452" s="34">
        <v>1</v>
      </c>
      <c r="G452" s="35">
        <v>0</v>
      </c>
      <c r="H452" s="35">
        <v>0</v>
      </c>
      <c r="I452" s="35">
        <f>Tabla1[[#This Row],[P.U. M.N.]]*Tabla1[[#This Row],[CANTIDADES DE REFERENCIA]]</f>
        <v>0</v>
      </c>
      <c r="J452" s="35">
        <f>Tabla1[[#This Row],[P.U. USD]]*Tabla1[[#This Row],[CANTIDADES DE REFERENCIA]]</f>
        <v>0</v>
      </c>
      <c r="K452" s="36"/>
      <c r="L452" s="36"/>
      <c r="M452" s="36"/>
      <c r="N452" s="37"/>
      <c r="O452" s="37"/>
      <c r="P452" s="39"/>
      <c r="Q452" s="37" t="s">
        <v>1013</v>
      </c>
      <c r="R452" s="37"/>
      <c r="S452" s="37" t="s">
        <v>1007</v>
      </c>
      <c r="T452" s="31"/>
    </row>
    <row r="453" spans="1:20">
      <c r="A453" s="31"/>
      <c r="B453" s="32"/>
      <c r="C453" s="33"/>
      <c r="D453" s="32" t="s">
        <v>1014</v>
      </c>
      <c r="E453" s="33" t="s">
        <v>116</v>
      </c>
      <c r="F453" s="34">
        <v>1</v>
      </c>
      <c r="G453" s="35">
        <v>0</v>
      </c>
      <c r="H453" s="35">
        <v>0</v>
      </c>
      <c r="I453" s="35">
        <f>Tabla1[[#This Row],[P.U. M.N.]]*Tabla1[[#This Row],[CANTIDADES DE REFERENCIA]]</f>
        <v>0</v>
      </c>
      <c r="J453" s="35">
        <f>Tabla1[[#This Row],[P.U. USD]]*Tabla1[[#This Row],[CANTIDADES DE REFERENCIA]]</f>
        <v>0</v>
      </c>
      <c r="K453" s="36"/>
      <c r="L453" s="36"/>
      <c r="M453" s="36"/>
      <c r="N453" s="37"/>
      <c r="O453" s="37"/>
      <c r="P453" s="39"/>
      <c r="Q453" s="37" t="s">
        <v>1015</v>
      </c>
      <c r="R453" s="37"/>
      <c r="S453" s="37" t="s">
        <v>1007</v>
      </c>
      <c r="T453" s="31"/>
    </row>
    <row r="454" spans="1:20">
      <c r="A454" s="31"/>
      <c r="B454" s="32"/>
      <c r="C454" s="33"/>
      <c r="D454" s="32" t="s">
        <v>1016</v>
      </c>
      <c r="E454" s="33" t="s">
        <v>116</v>
      </c>
      <c r="F454" s="34">
        <v>1</v>
      </c>
      <c r="G454" s="35">
        <v>0</v>
      </c>
      <c r="H454" s="35">
        <v>0</v>
      </c>
      <c r="I454" s="35">
        <f>Tabla1[[#This Row],[P.U. M.N.]]*Tabla1[[#This Row],[CANTIDADES DE REFERENCIA]]</f>
        <v>0</v>
      </c>
      <c r="J454" s="35">
        <f>Tabla1[[#This Row],[P.U. USD]]*Tabla1[[#This Row],[CANTIDADES DE REFERENCIA]]</f>
        <v>0</v>
      </c>
      <c r="K454" s="36"/>
      <c r="L454" s="36"/>
      <c r="M454" s="36"/>
      <c r="N454" s="37"/>
      <c r="O454" s="37"/>
      <c r="P454" s="39"/>
      <c r="Q454" s="37" t="s">
        <v>1017</v>
      </c>
      <c r="R454" s="37"/>
      <c r="S454" s="37" t="s">
        <v>1007</v>
      </c>
      <c r="T454" s="31"/>
    </row>
    <row r="455" spans="1:20">
      <c r="A455" s="31"/>
      <c r="B455" s="32"/>
      <c r="C455" s="33"/>
      <c r="D455" s="32" t="s">
        <v>1018</v>
      </c>
      <c r="E455" s="33" t="s">
        <v>116</v>
      </c>
      <c r="F455" s="34">
        <v>1</v>
      </c>
      <c r="G455" s="35">
        <v>0</v>
      </c>
      <c r="H455" s="35">
        <v>0</v>
      </c>
      <c r="I455" s="35">
        <f>Tabla1[[#This Row],[P.U. M.N.]]*Tabla1[[#This Row],[CANTIDADES DE REFERENCIA]]</f>
        <v>0</v>
      </c>
      <c r="J455" s="35">
        <f>Tabla1[[#This Row],[P.U. USD]]*Tabla1[[#This Row],[CANTIDADES DE REFERENCIA]]</f>
        <v>0</v>
      </c>
      <c r="K455" s="36"/>
      <c r="L455" s="36"/>
      <c r="M455" s="36"/>
      <c r="N455" s="37"/>
      <c r="O455" s="37"/>
      <c r="P455" s="39"/>
      <c r="Q455" s="37" t="s">
        <v>1019</v>
      </c>
      <c r="R455" s="37"/>
      <c r="S455" s="37" t="s">
        <v>1007</v>
      </c>
      <c r="T455" s="31"/>
    </row>
    <row r="456" spans="1:20">
      <c r="A456" s="31"/>
      <c r="B456" s="32"/>
      <c r="C456" s="33"/>
      <c r="D456" s="32" t="s">
        <v>1020</v>
      </c>
      <c r="E456" s="33" t="s">
        <v>116</v>
      </c>
      <c r="F456" s="34">
        <v>1</v>
      </c>
      <c r="G456" s="35">
        <v>0</v>
      </c>
      <c r="H456" s="35">
        <v>0</v>
      </c>
      <c r="I456" s="35">
        <f>Tabla1[[#This Row],[P.U. M.N.]]*Tabla1[[#This Row],[CANTIDADES DE REFERENCIA]]</f>
        <v>0</v>
      </c>
      <c r="J456" s="35">
        <f>Tabla1[[#This Row],[P.U. USD]]*Tabla1[[#This Row],[CANTIDADES DE REFERENCIA]]</f>
        <v>0</v>
      </c>
      <c r="K456" s="36"/>
      <c r="L456" s="36"/>
      <c r="M456" s="36"/>
      <c r="N456" s="37"/>
      <c r="O456" s="37"/>
      <c r="P456" s="39"/>
      <c r="Q456" s="37" t="s">
        <v>1021</v>
      </c>
      <c r="R456" s="37"/>
      <c r="S456" s="37" t="s">
        <v>1007</v>
      </c>
      <c r="T456" s="31"/>
    </row>
    <row r="457" spans="1:20">
      <c r="A457" s="31"/>
      <c r="B457" s="32"/>
      <c r="C457" s="33"/>
      <c r="D457" s="32" t="s">
        <v>1022</v>
      </c>
      <c r="E457" s="33" t="s">
        <v>116</v>
      </c>
      <c r="F457" s="34">
        <v>1</v>
      </c>
      <c r="G457" s="35">
        <v>0</v>
      </c>
      <c r="H457" s="35">
        <v>0</v>
      </c>
      <c r="I457" s="35">
        <f>Tabla1[[#This Row],[P.U. M.N.]]*Tabla1[[#This Row],[CANTIDADES DE REFERENCIA]]</f>
        <v>0</v>
      </c>
      <c r="J457" s="35">
        <f>Tabla1[[#This Row],[P.U. USD]]*Tabla1[[#This Row],[CANTIDADES DE REFERENCIA]]</f>
        <v>0</v>
      </c>
      <c r="K457" s="36"/>
      <c r="L457" s="36"/>
      <c r="M457" s="36"/>
      <c r="N457" s="37"/>
      <c r="O457" s="37"/>
      <c r="P457" s="39"/>
      <c r="Q457" s="37" t="s">
        <v>1023</v>
      </c>
      <c r="R457" s="37"/>
      <c r="S457" s="37" t="s">
        <v>1007</v>
      </c>
      <c r="T457" s="31"/>
    </row>
    <row r="458" spans="1:20">
      <c r="A458" s="31"/>
      <c r="B458" s="32"/>
      <c r="C458" s="33"/>
      <c r="D458" s="32" t="s">
        <v>1024</v>
      </c>
      <c r="E458" s="33" t="s">
        <v>42</v>
      </c>
      <c r="F458" s="34">
        <v>1</v>
      </c>
      <c r="G458" s="35">
        <v>0</v>
      </c>
      <c r="H458" s="35">
        <v>0</v>
      </c>
      <c r="I458" s="35">
        <f>Tabla1[[#This Row],[P.U. M.N.]]*Tabla1[[#This Row],[CANTIDADES DE REFERENCIA]]</f>
        <v>0</v>
      </c>
      <c r="J458" s="35">
        <f>Tabla1[[#This Row],[P.U. USD]]*Tabla1[[#This Row],[CANTIDADES DE REFERENCIA]]</f>
        <v>0</v>
      </c>
      <c r="K458" s="36"/>
      <c r="L458" s="36"/>
      <c r="M458" s="36"/>
      <c r="N458" s="37"/>
      <c r="O458" s="37"/>
      <c r="P458" s="39"/>
      <c r="Q458" s="37" t="s">
        <v>1025</v>
      </c>
      <c r="R458" s="37"/>
      <c r="S458" s="37"/>
      <c r="T458" s="31"/>
    </row>
    <row r="459" spans="1:20">
      <c r="A459" s="31"/>
      <c r="B459" s="32"/>
      <c r="C459" s="33"/>
      <c r="D459" s="32" t="s">
        <v>1026</v>
      </c>
      <c r="E459" s="33" t="s">
        <v>116</v>
      </c>
      <c r="F459" s="34">
        <v>1</v>
      </c>
      <c r="G459" s="35">
        <v>0</v>
      </c>
      <c r="H459" s="35">
        <v>0</v>
      </c>
      <c r="I459" s="35">
        <f>Tabla1[[#This Row],[P.U. M.N.]]*Tabla1[[#This Row],[CANTIDADES DE REFERENCIA]]</f>
        <v>0</v>
      </c>
      <c r="J459" s="35">
        <f>Tabla1[[#This Row],[P.U. USD]]*Tabla1[[#This Row],[CANTIDADES DE REFERENCIA]]</f>
        <v>0</v>
      </c>
      <c r="K459" s="36"/>
      <c r="L459" s="36"/>
      <c r="M459" s="36"/>
      <c r="N459" s="37"/>
      <c r="O459" s="37"/>
      <c r="P459" s="39"/>
      <c r="Q459" s="37" t="s">
        <v>1027</v>
      </c>
      <c r="R459" s="37"/>
      <c r="S459" s="37"/>
      <c r="T459" s="31"/>
    </row>
    <row r="460" spans="1:20">
      <c r="A460" s="31"/>
      <c r="B460" s="32"/>
      <c r="C460" s="33"/>
      <c r="D460" s="32" t="s">
        <v>1028</v>
      </c>
      <c r="E460" s="33" t="s">
        <v>116</v>
      </c>
      <c r="F460" s="34">
        <v>1</v>
      </c>
      <c r="G460" s="35">
        <v>0</v>
      </c>
      <c r="H460" s="35">
        <v>0</v>
      </c>
      <c r="I460" s="35">
        <f>Tabla1[[#This Row],[P.U. M.N.]]*Tabla1[[#This Row],[CANTIDADES DE REFERENCIA]]</f>
        <v>0</v>
      </c>
      <c r="J460" s="35">
        <f>Tabla1[[#This Row],[P.U. USD]]*Tabla1[[#This Row],[CANTIDADES DE REFERENCIA]]</f>
        <v>0</v>
      </c>
      <c r="K460" s="36"/>
      <c r="L460" s="36"/>
      <c r="M460" s="36"/>
      <c r="N460" s="37"/>
      <c r="O460" s="37"/>
      <c r="P460" s="39"/>
      <c r="Q460" s="37" t="s">
        <v>1029</v>
      </c>
      <c r="R460" s="37"/>
      <c r="S460" s="37"/>
      <c r="T460" s="31"/>
    </row>
    <row r="461" spans="1:20">
      <c r="A461" s="31"/>
      <c r="B461" s="32"/>
      <c r="C461" s="33"/>
      <c r="D461" s="32" t="s">
        <v>1030</v>
      </c>
      <c r="E461" s="33" t="s">
        <v>42</v>
      </c>
      <c r="F461" s="34">
        <v>1</v>
      </c>
      <c r="G461" s="35">
        <v>0</v>
      </c>
      <c r="H461" s="35">
        <v>0</v>
      </c>
      <c r="I461" s="35">
        <f>Tabla1[[#This Row],[P.U. M.N.]]*Tabla1[[#This Row],[CANTIDADES DE REFERENCIA]]</f>
        <v>0</v>
      </c>
      <c r="J461" s="35">
        <f>Tabla1[[#This Row],[P.U. USD]]*Tabla1[[#This Row],[CANTIDADES DE REFERENCIA]]</f>
        <v>0</v>
      </c>
      <c r="K461" s="36"/>
      <c r="L461" s="36"/>
      <c r="M461" s="36"/>
      <c r="N461" s="37" t="s">
        <v>1031</v>
      </c>
      <c r="O461" s="37" t="s">
        <v>1032</v>
      </c>
      <c r="P461" s="39"/>
      <c r="Q461" s="37" t="s">
        <v>1033</v>
      </c>
      <c r="R461" s="37"/>
      <c r="S461" s="37" t="s">
        <v>1034</v>
      </c>
      <c r="T461" s="31"/>
    </row>
    <row r="462" spans="1:20">
      <c r="A462" s="31"/>
      <c r="B462" s="32"/>
      <c r="C462" s="33"/>
      <c r="D462" s="32" t="s">
        <v>1035</v>
      </c>
      <c r="E462" s="33" t="s">
        <v>42</v>
      </c>
      <c r="F462" s="34">
        <v>1</v>
      </c>
      <c r="G462" s="35">
        <v>0</v>
      </c>
      <c r="H462" s="35">
        <v>0</v>
      </c>
      <c r="I462" s="35">
        <f>Tabla1[[#This Row],[P.U. M.N.]]*Tabla1[[#This Row],[CANTIDADES DE REFERENCIA]]</f>
        <v>0</v>
      </c>
      <c r="J462" s="35">
        <f>Tabla1[[#This Row],[P.U. USD]]*Tabla1[[#This Row],[CANTIDADES DE REFERENCIA]]</f>
        <v>0</v>
      </c>
      <c r="K462" s="36"/>
      <c r="L462" s="36"/>
      <c r="M462" s="36"/>
      <c r="N462" s="37" t="s">
        <v>1036</v>
      </c>
      <c r="O462" s="37"/>
      <c r="P462" s="39"/>
      <c r="Q462" s="37" t="s">
        <v>1037</v>
      </c>
      <c r="R462" s="37" t="s">
        <v>389</v>
      </c>
      <c r="S462" s="37"/>
      <c r="T462" s="31"/>
    </row>
    <row r="463" spans="1:20">
      <c r="A463" s="31"/>
      <c r="B463" s="32"/>
      <c r="C463" s="33"/>
      <c r="D463" s="32" t="s">
        <v>1038</v>
      </c>
      <c r="E463" s="33" t="s">
        <v>42</v>
      </c>
      <c r="F463" s="34">
        <v>1</v>
      </c>
      <c r="G463" s="35">
        <v>0</v>
      </c>
      <c r="H463" s="35">
        <v>0</v>
      </c>
      <c r="I463" s="35">
        <f>Tabla1[[#This Row],[P.U. M.N.]]*Tabla1[[#This Row],[CANTIDADES DE REFERENCIA]]</f>
        <v>0</v>
      </c>
      <c r="J463" s="35">
        <f>Tabla1[[#This Row],[P.U. USD]]*Tabla1[[#This Row],[CANTIDADES DE REFERENCIA]]</f>
        <v>0</v>
      </c>
      <c r="K463" s="36"/>
      <c r="L463" s="36"/>
      <c r="M463" s="36"/>
      <c r="N463" s="37" t="s">
        <v>1036</v>
      </c>
      <c r="O463" s="37"/>
      <c r="P463" s="39"/>
      <c r="Q463" s="37" t="s">
        <v>1039</v>
      </c>
      <c r="R463" s="37" t="s">
        <v>389</v>
      </c>
      <c r="S463" s="37"/>
      <c r="T463" s="31"/>
    </row>
    <row r="464" spans="1:20">
      <c r="A464" s="31"/>
      <c r="B464" s="32"/>
      <c r="C464" s="33"/>
      <c r="D464" s="32" t="s">
        <v>1040</v>
      </c>
      <c r="E464" s="33" t="s">
        <v>42</v>
      </c>
      <c r="F464" s="34">
        <v>1</v>
      </c>
      <c r="G464" s="35">
        <v>0</v>
      </c>
      <c r="H464" s="35">
        <v>0</v>
      </c>
      <c r="I464" s="35">
        <f>Tabla1[[#This Row],[P.U. M.N.]]*Tabla1[[#This Row],[CANTIDADES DE REFERENCIA]]</f>
        <v>0</v>
      </c>
      <c r="J464" s="35">
        <f>Tabla1[[#This Row],[P.U. USD]]*Tabla1[[#This Row],[CANTIDADES DE REFERENCIA]]</f>
        <v>0</v>
      </c>
      <c r="K464" s="36"/>
      <c r="L464" s="36"/>
      <c r="M464" s="36"/>
      <c r="N464" s="37" t="s">
        <v>1036</v>
      </c>
      <c r="O464" s="37"/>
      <c r="P464" s="39"/>
      <c r="Q464" s="37" t="s">
        <v>1041</v>
      </c>
      <c r="R464" s="37" t="s">
        <v>389</v>
      </c>
      <c r="S464" s="37"/>
      <c r="T464" s="31"/>
    </row>
    <row r="465" spans="1:20">
      <c r="A465" s="31"/>
      <c r="B465" s="32"/>
      <c r="C465" s="33"/>
      <c r="D465" s="32" t="s">
        <v>1042</v>
      </c>
      <c r="E465" s="33" t="s">
        <v>42</v>
      </c>
      <c r="F465" s="34">
        <v>1</v>
      </c>
      <c r="G465" s="35">
        <v>0</v>
      </c>
      <c r="H465" s="35">
        <v>0</v>
      </c>
      <c r="I465" s="35">
        <f>Tabla1[[#This Row],[P.U. M.N.]]*Tabla1[[#This Row],[CANTIDADES DE REFERENCIA]]</f>
        <v>0</v>
      </c>
      <c r="J465" s="35">
        <f>Tabla1[[#This Row],[P.U. USD]]*Tabla1[[#This Row],[CANTIDADES DE REFERENCIA]]</f>
        <v>0</v>
      </c>
      <c r="K465" s="36"/>
      <c r="L465" s="36"/>
      <c r="M465" s="36"/>
      <c r="N465" s="37" t="s">
        <v>1043</v>
      </c>
      <c r="O465" s="37"/>
      <c r="P465" s="39"/>
      <c r="Q465" s="37" t="s">
        <v>1044</v>
      </c>
      <c r="R465" s="37" t="s">
        <v>389</v>
      </c>
      <c r="S465" s="37"/>
      <c r="T465" s="31"/>
    </row>
    <row r="466" spans="1:20">
      <c r="A466" s="31"/>
      <c r="B466" s="32"/>
      <c r="C466" s="33"/>
      <c r="D466" s="32" t="s">
        <v>1045</v>
      </c>
      <c r="E466" s="33" t="s">
        <v>116</v>
      </c>
      <c r="F466" s="34">
        <v>1</v>
      </c>
      <c r="G466" s="35">
        <v>0</v>
      </c>
      <c r="H466" s="35">
        <v>0</v>
      </c>
      <c r="I466" s="35">
        <f>Tabla1[[#This Row],[P.U. M.N.]]*Tabla1[[#This Row],[CANTIDADES DE REFERENCIA]]</f>
        <v>0</v>
      </c>
      <c r="J466" s="35">
        <f>Tabla1[[#This Row],[P.U. USD]]*Tabla1[[#This Row],[CANTIDADES DE REFERENCIA]]</f>
        <v>0</v>
      </c>
      <c r="K466" s="36"/>
      <c r="L466" s="36"/>
      <c r="M466" s="36"/>
      <c r="N466" s="37" t="s">
        <v>1046</v>
      </c>
      <c r="O466" s="37"/>
      <c r="P466" s="39"/>
      <c r="Q466" s="37" t="s">
        <v>1047</v>
      </c>
      <c r="R466" s="37" t="s">
        <v>389</v>
      </c>
      <c r="S466" s="37"/>
      <c r="T466" s="31"/>
    </row>
    <row r="467" spans="1:20">
      <c r="A467" s="31"/>
      <c r="B467" s="32"/>
      <c r="C467" s="33"/>
      <c r="D467" s="32" t="s">
        <v>1048</v>
      </c>
      <c r="E467" s="33" t="s">
        <v>116</v>
      </c>
      <c r="F467" s="34">
        <v>1</v>
      </c>
      <c r="G467" s="35">
        <v>0</v>
      </c>
      <c r="H467" s="35">
        <v>0</v>
      </c>
      <c r="I467" s="35">
        <f>Tabla1[[#This Row],[P.U. M.N.]]*Tabla1[[#This Row],[CANTIDADES DE REFERENCIA]]</f>
        <v>0</v>
      </c>
      <c r="J467" s="35">
        <f>Tabla1[[#This Row],[P.U. USD]]*Tabla1[[#This Row],[CANTIDADES DE REFERENCIA]]</f>
        <v>0</v>
      </c>
      <c r="K467" s="36"/>
      <c r="L467" s="36"/>
      <c r="M467" s="36"/>
      <c r="N467" s="37" t="s">
        <v>1046</v>
      </c>
      <c r="O467" s="37"/>
      <c r="P467" s="39"/>
      <c r="Q467" s="37" t="s">
        <v>1049</v>
      </c>
      <c r="R467" s="37" t="s">
        <v>389</v>
      </c>
      <c r="S467" s="37"/>
      <c r="T467" s="31"/>
    </row>
    <row r="468" spans="1:20">
      <c r="A468" s="31"/>
      <c r="B468" s="32"/>
      <c r="C468" s="33"/>
      <c r="D468" s="32" t="s">
        <v>1050</v>
      </c>
      <c r="E468" s="33" t="s">
        <v>116</v>
      </c>
      <c r="F468" s="34">
        <v>1</v>
      </c>
      <c r="G468" s="35">
        <v>0</v>
      </c>
      <c r="H468" s="35">
        <v>0</v>
      </c>
      <c r="I468" s="35">
        <f>Tabla1[[#This Row],[P.U. M.N.]]*Tabla1[[#This Row],[CANTIDADES DE REFERENCIA]]</f>
        <v>0</v>
      </c>
      <c r="J468" s="35">
        <f>Tabla1[[#This Row],[P.U. USD]]*Tabla1[[#This Row],[CANTIDADES DE REFERENCIA]]</f>
        <v>0</v>
      </c>
      <c r="K468" s="36"/>
      <c r="L468" s="36"/>
      <c r="M468" s="36"/>
      <c r="N468" s="37" t="s">
        <v>1046</v>
      </c>
      <c r="O468" s="37"/>
      <c r="P468" s="39"/>
      <c r="Q468" s="37" t="s">
        <v>1051</v>
      </c>
      <c r="R468" s="37" t="s">
        <v>389</v>
      </c>
      <c r="S468" s="37"/>
      <c r="T468" s="31"/>
    </row>
    <row r="469" spans="1:20">
      <c r="A469" s="31"/>
      <c r="B469" s="32"/>
      <c r="C469" s="33"/>
      <c r="D469" s="32" t="s">
        <v>1052</v>
      </c>
      <c r="E469" s="33" t="s">
        <v>42</v>
      </c>
      <c r="F469" s="34">
        <v>1</v>
      </c>
      <c r="G469" s="35">
        <v>0</v>
      </c>
      <c r="H469" s="35">
        <v>0</v>
      </c>
      <c r="I469" s="35">
        <f>Tabla1[[#This Row],[P.U. M.N.]]*Tabla1[[#This Row],[CANTIDADES DE REFERENCIA]]</f>
        <v>0</v>
      </c>
      <c r="J469" s="35">
        <f>Tabla1[[#This Row],[P.U. USD]]*Tabla1[[#This Row],[CANTIDADES DE REFERENCIA]]</f>
        <v>0</v>
      </c>
      <c r="K469" s="36"/>
      <c r="L469" s="36"/>
      <c r="M469" s="36"/>
      <c r="N469" s="37" t="s">
        <v>1053</v>
      </c>
      <c r="O469" s="37" t="s">
        <v>1054</v>
      </c>
      <c r="P469" s="39"/>
      <c r="Q469" s="37" t="s">
        <v>1055</v>
      </c>
      <c r="R469" s="37" t="s">
        <v>389</v>
      </c>
      <c r="S469" s="37" t="s">
        <v>1056</v>
      </c>
      <c r="T469" s="31"/>
    </row>
    <row r="470" spans="1:20">
      <c r="A470" s="31"/>
      <c r="B470" s="32"/>
      <c r="C470" s="33"/>
      <c r="D470" s="32" t="s">
        <v>1057</v>
      </c>
      <c r="E470" s="33" t="s">
        <v>1058</v>
      </c>
      <c r="F470" s="34">
        <v>1</v>
      </c>
      <c r="G470" s="35">
        <v>0</v>
      </c>
      <c r="H470" s="35">
        <v>0</v>
      </c>
      <c r="I470" s="35">
        <f>Tabla1[[#This Row],[P.U. M.N.]]*Tabla1[[#This Row],[CANTIDADES DE REFERENCIA]]</f>
        <v>0</v>
      </c>
      <c r="J470" s="35">
        <f>Tabla1[[#This Row],[P.U. USD]]*Tabla1[[#This Row],[CANTIDADES DE REFERENCIA]]</f>
        <v>0</v>
      </c>
      <c r="K470" s="36"/>
      <c r="L470" s="36"/>
      <c r="M470" s="36"/>
      <c r="N470" s="37" t="s">
        <v>1059</v>
      </c>
      <c r="O470" s="37" t="s">
        <v>1060</v>
      </c>
      <c r="P470" s="39"/>
      <c r="Q470" s="37" t="s">
        <v>1061</v>
      </c>
      <c r="R470" s="37"/>
      <c r="S470" s="37"/>
      <c r="T470" s="31"/>
    </row>
    <row r="471" spans="1:20">
      <c r="A471" s="31"/>
      <c r="B471" s="32"/>
      <c r="C471" s="33"/>
      <c r="D471" s="32" t="s">
        <v>1062</v>
      </c>
      <c r="E471" s="33" t="s">
        <v>1058</v>
      </c>
      <c r="F471" s="34">
        <v>1</v>
      </c>
      <c r="G471" s="35">
        <v>0</v>
      </c>
      <c r="H471" s="35">
        <v>0</v>
      </c>
      <c r="I471" s="35">
        <f>Tabla1[[#This Row],[P.U. M.N.]]*Tabla1[[#This Row],[CANTIDADES DE REFERENCIA]]</f>
        <v>0</v>
      </c>
      <c r="J471" s="35">
        <f>Tabla1[[#This Row],[P.U. USD]]*Tabla1[[#This Row],[CANTIDADES DE REFERENCIA]]</f>
        <v>0</v>
      </c>
      <c r="K471" s="36"/>
      <c r="L471" s="36"/>
      <c r="M471" s="36"/>
      <c r="N471" s="37" t="s">
        <v>1059</v>
      </c>
      <c r="O471" s="37" t="s">
        <v>1060</v>
      </c>
      <c r="P471" s="39"/>
      <c r="Q471" s="37" t="s">
        <v>1063</v>
      </c>
      <c r="R471" s="37"/>
      <c r="S471" s="37"/>
      <c r="T471" s="31"/>
    </row>
    <row r="472" spans="1:20">
      <c r="A472" s="31"/>
      <c r="B472" s="32"/>
      <c r="C472" s="33"/>
      <c r="D472" s="32" t="s">
        <v>1064</v>
      </c>
      <c r="E472" s="33" t="s">
        <v>130</v>
      </c>
      <c r="F472" s="34">
        <v>1</v>
      </c>
      <c r="G472" s="35">
        <v>0</v>
      </c>
      <c r="H472" s="35">
        <v>0</v>
      </c>
      <c r="I472" s="35">
        <f>Tabla1[[#This Row],[P.U. M.N.]]*Tabla1[[#This Row],[CANTIDADES DE REFERENCIA]]</f>
        <v>0</v>
      </c>
      <c r="J472" s="35">
        <f>Tabla1[[#This Row],[P.U. USD]]*Tabla1[[#This Row],[CANTIDADES DE REFERENCIA]]</f>
        <v>0</v>
      </c>
      <c r="K472" s="36"/>
      <c r="L472" s="36"/>
      <c r="M472" s="36"/>
      <c r="N472" s="37" t="s">
        <v>1059</v>
      </c>
      <c r="O472" s="37" t="s">
        <v>1060</v>
      </c>
      <c r="P472" s="39"/>
      <c r="Q472" s="37" t="s">
        <v>1065</v>
      </c>
      <c r="R472" s="37"/>
      <c r="S472" s="37"/>
      <c r="T472" s="31"/>
    </row>
    <row r="473" spans="1:20">
      <c r="A473" s="31"/>
      <c r="B473" s="32"/>
      <c r="C473" s="33"/>
      <c r="D473" s="32" t="s">
        <v>1066</v>
      </c>
      <c r="E473" s="33" t="s">
        <v>130</v>
      </c>
      <c r="F473" s="34">
        <v>1</v>
      </c>
      <c r="G473" s="35">
        <v>0</v>
      </c>
      <c r="H473" s="35">
        <v>0</v>
      </c>
      <c r="I473" s="35">
        <f>Tabla1[[#This Row],[P.U. M.N.]]*Tabla1[[#This Row],[CANTIDADES DE REFERENCIA]]</f>
        <v>0</v>
      </c>
      <c r="J473" s="35">
        <f>Tabla1[[#This Row],[P.U. USD]]*Tabla1[[#This Row],[CANTIDADES DE REFERENCIA]]</f>
        <v>0</v>
      </c>
      <c r="K473" s="36"/>
      <c r="L473" s="36"/>
      <c r="M473" s="36"/>
      <c r="N473" s="37" t="s">
        <v>1059</v>
      </c>
      <c r="O473" s="37" t="s">
        <v>1060</v>
      </c>
      <c r="P473" s="39"/>
      <c r="Q473" s="37" t="s">
        <v>1067</v>
      </c>
      <c r="R473" s="37"/>
      <c r="S473" s="37"/>
      <c r="T473" s="31"/>
    </row>
    <row r="474" spans="1:20">
      <c r="A474" s="31"/>
      <c r="B474" s="32"/>
      <c r="C474" s="33"/>
      <c r="D474" s="32" t="s">
        <v>1068</v>
      </c>
      <c r="E474" s="33" t="s">
        <v>130</v>
      </c>
      <c r="F474" s="34">
        <v>1</v>
      </c>
      <c r="G474" s="35">
        <v>0</v>
      </c>
      <c r="H474" s="35">
        <v>0</v>
      </c>
      <c r="I474" s="35">
        <f>Tabla1[[#This Row],[P.U. M.N.]]*Tabla1[[#This Row],[CANTIDADES DE REFERENCIA]]</f>
        <v>0</v>
      </c>
      <c r="J474" s="35">
        <f>Tabla1[[#This Row],[P.U. USD]]*Tabla1[[#This Row],[CANTIDADES DE REFERENCIA]]</f>
        <v>0</v>
      </c>
      <c r="K474" s="36"/>
      <c r="L474" s="36"/>
      <c r="M474" s="36"/>
      <c r="N474" s="37" t="s">
        <v>1059</v>
      </c>
      <c r="O474" s="37" t="s">
        <v>1060</v>
      </c>
      <c r="P474" s="39"/>
      <c r="Q474" s="37" t="s">
        <v>1069</v>
      </c>
      <c r="R474" s="37"/>
      <c r="S474" s="37"/>
      <c r="T474" s="31"/>
    </row>
    <row r="475" spans="1:20">
      <c r="A475" s="31"/>
      <c r="B475" s="32"/>
      <c r="C475" s="33"/>
      <c r="D475" s="32" t="s">
        <v>1070</v>
      </c>
      <c r="E475" s="33" t="s">
        <v>116</v>
      </c>
      <c r="F475" s="34">
        <v>1</v>
      </c>
      <c r="G475" s="35">
        <v>0</v>
      </c>
      <c r="H475" s="35">
        <v>0</v>
      </c>
      <c r="I475" s="35">
        <f>Tabla1[[#This Row],[P.U. M.N.]]*Tabla1[[#This Row],[CANTIDADES DE REFERENCIA]]</f>
        <v>0</v>
      </c>
      <c r="J475" s="35">
        <f>Tabla1[[#This Row],[P.U. USD]]*Tabla1[[#This Row],[CANTIDADES DE REFERENCIA]]</f>
        <v>0</v>
      </c>
      <c r="K475" s="36"/>
      <c r="L475" s="36"/>
      <c r="M475" s="36"/>
      <c r="N475" s="37" t="s">
        <v>1059</v>
      </c>
      <c r="O475" s="37" t="s">
        <v>1060</v>
      </c>
      <c r="P475" s="39"/>
      <c r="Q475" s="37" t="s">
        <v>1071</v>
      </c>
      <c r="R475" s="37"/>
      <c r="S475" s="37"/>
      <c r="T475" s="31"/>
    </row>
    <row r="476" spans="1:20">
      <c r="A476" s="31"/>
      <c r="B476" s="32"/>
      <c r="C476" s="33"/>
      <c r="D476" s="32" t="s">
        <v>1072</v>
      </c>
      <c r="E476" s="33" t="s">
        <v>116</v>
      </c>
      <c r="F476" s="34">
        <v>1</v>
      </c>
      <c r="G476" s="35">
        <v>0</v>
      </c>
      <c r="H476" s="35">
        <v>0</v>
      </c>
      <c r="I476" s="35">
        <f>Tabla1[[#This Row],[P.U. M.N.]]*Tabla1[[#This Row],[CANTIDADES DE REFERENCIA]]</f>
        <v>0</v>
      </c>
      <c r="J476" s="35">
        <f>Tabla1[[#This Row],[P.U. USD]]*Tabla1[[#This Row],[CANTIDADES DE REFERENCIA]]</f>
        <v>0</v>
      </c>
      <c r="K476" s="36"/>
      <c r="L476" s="36"/>
      <c r="M476" s="36"/>
      <c r="N476" s="37" t="s">
        <v>1059</v>
      </c>
      <c r="O476" s="37" t="s">
        <v>1060</v>
      </c>
      <c r="P476" s="39"/>
      <c r="Q476" s="37" t="s">
        <v>1073</v>
      </c>
      <c r="R476" s="37"/>
      <c r="S476" s="37"/>
      <c r="T476" s="31"/>
    </row>
    <row r="477" spans="1:20">
      <c r="A477" s="31"/>
      <c r="B477" s="32"/>
      <c r="C477" s="33"/>
      <c r="D477" s="32" t="s">
        <v>1074</v>
      </c>
      <c r="E477" s="33" t="s">
        <v>116</v>
      </c>
      <c r="F477" s="34">
        <v>1</v>
      </c>
      <c r="G477" s="35">
        <v>0</v>
      </c>
      <c r="H477" s="35">
        <v>0</v>
      </c>
      <c r="I477" s="35">
        <f>Tabla1[[#This Row],[P.U. M.N.]]*Tabla1[[#This Row],[CANTIDADES DE REFERENCIA]]</f>
        <v>0</v>
      </c>
      <c r="J477" s="35">
        <f>Tabla1[[#This Row],[P.U. USD]]*Tabla1[[#This Row],[CANTIDADES DE REFERENCIA]]</f>
        <v>0</v>
      </c>
      <c r="K477" s="36"/>
      <c r="L477" s="36"/>
      <c r="M477" s="36"/>
      <c r="N477" s="37" t="s">
        <v>1059</v>
      </c>
      <c r="O477" s="37" t="s">
        <v>1060</v>
      </c>
      <c r="P477" s="39"/>
      <c r="Q477" s="37" t="s">
        <v>1075</v>
      </c>
      <c r="R477" s="37"/>
      <c r="S477" s="37"/>
      <c r="T477" s="31"/>
    </row>
    <row r="478" spans="1:20">
      <c r="A478" s="31"/>
      <c r="B478" s="32"/>
      <c r="C478" s="33"/>
      <c r="D478" s="32" t="s">
        <v>1076</v>
      </c>
      <c r="E478" s="33" t="s">
        <v>116</v>
      </c>
      <c r="F478" s="34">
        <v>1</v>
      </c>
      <c r="G478" s="35">
        <v>0</v>
      </c>
      <c r="H478" s="35">
        <v>0</v>
      </c>
      <c r="I478" s="35">
        <f>Tabla1[[#This Row],[P.U. M.N.]]*Tabla1[[#This Row],[CANTIDADES DE REFERENCIA]]</f>
        <v>0</v>
      </c>
      <c r="J478" s="35">
        <f>Tabla1[[#This Row],[P.U. USD]]*Tabla1[[#This Row],[CANTIDADES DE REFERENCIA]]</f>
        <v>0</v>
      </c>
      <c r="K478" s="36"/>
      <c r="L478" s="36"/>
      <c r="M478" s="36"/>
      <c r="N478" s="37" t="s">
        <v>1059</v>
      </c>
      <c r="O478" s="37" t="s">
        <v>1060</v>
      </c>
      <c r="P478" s="39"/>
      <c r="Q478" s="37" t="s">
        <v>1077</v>
      </c>
      <c r="R478" s="37"/>
      <c r="S478" s="37"/>
      <c r="T478" s="31"/>
    </row>
    <row r="479" spans="1:20">
      <c r="A479" s="31"/>
      <c r="B479" s="32"/>
      <c r="C479" s="33"/>
      <c r="D479" s="32" t="s">
        <v>1078</v>
      </c>
      <c r="E479" s="33" t="s">
        <v>116</v>
      </c>
      <c r="F479" s="34">
        <v>1</v>
      </c>
      <c r="G479" s="35">
        <v>0</v>
      </c>
      <c r="H479" s="35">
        <v>0</v>
      </c>
      <c r="I479" s="35">
        <f>Tabla1[[#This Row],[P.U. M.N.]]*Tabla1[[#This Row],[CANTIDADES DE REFERENCIA]]</f>
        <v>0</v>
      </c>
      <c r="J479" s="35">
        <f>Tabla1[[#This Row],[P.U. USD]]*Tabla1[[#This Row],[CANTIDADES DE REFERENCIA]]</f>
        <v>0</v>
      </c>
      <c r="K479" s="36"/>
      <c r="L479" s="36"/>
      <c r="M479" s="36"/>
      <c r="N479" s="37" t="s">
        <v>1059</v>
      </c>
      <c r="O479" s="37" t="s">
        <v>1060</v>
      </c>
      <c r="P479" s="39"/>
      <c r="Q479" s="37" t="s">
        <v>1079</v>
      </c>
      <c r="R479" s="37"/>
      <c r="S479" s="37"/>
      <c r="T479" s="31"/>
    </row>
    <row r="480" spans="1:20">
      <c r="A480" s="31"/>
      <c r="B480" s="32"/>
      <c r="C480" s="33"/>
      <c r="D480" s="32" t="s">
        <v>1080</v>
      </c>
      <c r="E480" s="33" t="s">
        <v>116</v>
      </c>
      <c r="F480" s="34">
        <v>1</v>
      </c>
      <c r="G480" s="35">
        <v>0</v>
      </c>
      <c r="H480" s="35">
        <v>0</v>
      </c>
      <c r="I480" s="35">
        <f>Tabla1[[#This Row],[P.U. M.N.]]*Tabla1[[#This Row],[CANTIDADES DE REFERENCIA]]</f>
        <v>0</v>
      </c>
      <c r="J480" s="35">
        <f>Tabla1[[#This Row],[P.U. USD]]*Tabla1[[#This Row],[CANTIDADES DE REFERENCIA]]</f>
        <v>0</v>
      </c>
      <c r="K480" s="36"/>
      <c r="L480" s="36"/>
      <c r="M480" s="36"/>
      <c r="N480" s="37" t="s">
        <v>1059</v>
      </c>
      <c r="O480" s="37" t="s">
        <v>1060</v>
      </c>
      <c r="P480" s="39"/>
      <c r="Q480" s="37" t="s">
        <v>1081</v>
      </c>
      <c r="R480" s="37"/>
      <c r="S480" s="37"/>
      <c r="T480" s="31"/>
    </row>
    <row r="481" spans="1:20">
      <c r="A481" s="31"/>
      <c r="B481" s="32"/>
      <c r="C481" s="33"/>
      <c r="D481" s="32" t="s">
        <v>1082</v>
      </c>
      <c r="E481" s="33" t="s">
        <v>61</v>
      </c>
      <c r="F481" s="34">
        <v>1</v>
      </c>
      <c r="G481" s="35">
        <v>0</v>
      </c>
      <c r="H481" s="35">
        <v>0</v>
      </c>
      <c r="I481" s="35">
        <f>Tabla1[[#This Row],[P.U. M.N.]]*Tabla1[[#This Row],[CANTIDADES DE REFERENCIA]]</f>
        <v>0</v>
      </c>
      <c r="J481" s="35">
        <f>Tabla1[[#This Row],[P.U. USD]]*Tabla1[[#This Row],[CANTIDADES DE REFERENCIA]]</f>
        <v>0</v>
      </c>
      <c r="K481" s="36"/>
      <c r="L481" s="36"/>
      <c r="M481" s="36"/>
      <c r="N481" s="37" t="s">
        <v>1059</v>
      </c>
      <c r="O481" s="37" t="s">
        <v>1060</v>
      </c>
      <c r="P481" s="39"/>
      <c r="Q481" s="37" t="s">
        <v>1083</v>
      </c>
      <c r="R481" s="37"/>
      <c r="S481" s="37"/>
      <c r="T481" s="31"/>
    </row>
    <row r="482" spans="1:20">
      <c r="A482" s="31"/>
      <c r="B482" s="32"/>
      <c r="C482" s="33"/>
      <c r="D482" s="32" t="s">
        <v>1084</v>
      </c>
      <c r="E482" s="33" t="s">
        <v>135</v>
      </c>
      <c r="F482" s="34">
        <v>1</v>
      </c>
      <c r="G482" s="35">
        <v>0</v>
      </c>
      <c r="H482" s="35">
        <v>0</v>
      </c>
      <c r="I482" s="35">
        <f>Tabla1[[#This Row],[P.U. M.N.]]*Tabla1[[#This Row],[CANTIDADES DE REFERENCIA]]</f>
        <v>0</v>
      </c>
      <c r="J482" s="35">
        <f>Tabla1[[#This Row],[P.U. USD]]*Tabla1[[#This Row],[CANTIDADES DE REFERENCIA]]</f>
        <v>0</v>
      </c>
      <c r="K482" s="36"/>
      <c r="L482" s="36"/>
      <c r="M482" s="36"/>
      <c r="N482" s="37" t="s">
        <v>1059</v>
      </c>
      <c r="O482" s="37" t="s">
        <v>1060</v>
      </c>
      <c r="P482" s="39"/>
      <c r="Q482" s="37" t="s">
        <v>1085</v>
      </c>
      <c r="R482" s="37"/>
      <c r="S482" s="37"/>
      <c r="T482" s="31"/>
    </row>
    <row r="483" spans="1:20">
      <c r="A483" s="31"/>
      <c r="B483" s="32"/>
      <c r="C483" s="33"/>
      <c r="D483" s="32" t="s">
        <v>1086</v>
      </c>
      <c r="E483" s="33" t="s">
        <v>135</v>
      </c>
      <c r="F483" s="34">
        <v>1</v>
      </c>
      <c r="G483" s="35">
        <v>0</v>
      </c>
      <c r="H483" s="35">
        <v>0</v>
      </c>
      <c r="I483" s="35">
        <f>Tabla1[[#This Row],[P.U. M.N.]]*Tabla1[[#This Row],[CANTIDADES DE REFERENCIA]]</f>
        <v>0</v>
      </c>
      <c r="J483" s="35">
        <f>Tabla1[[#This Row],[P.U. USD]]*Tabla1[[#This Row],[CANTIDADES DE REFERENCIA]]</f>
        <v>0</v>
      </c>
      <c r="K483" s="36"/>
      <c r="L483" s="36"/>
      <c r="M483" s="36"/>
      <c r="N483" s="37" t="s">
        <v>1059</v>
      </c>
      <c r="O483" s="37" t="s">
        <v>1060</v>
      </c>
      <c r="P483" s="39"/>
      <c r="Q483" s="37" t="s">
        <v>1087</v>
      </c>
      <c r="R483" s="37"/>
      <c r="S483" s="37"/>
      <c r="T483" s="31"/>
    </row>
    <row r="484" spans="1:20">
      <c r="A484" s="31"/>
      <c r="B484" s="32"/>
      <c r="C484" s="33"/>
      <c r="D484" s="32" t="s">
        <v>1088</v>
      </c>
      <c r="E484" s="33" t="s">
        <v>116</v>
      </c>
      <c r="F484" s="34">
        <v>1</v>
      </c>
      <c r="G484" s="35">
        <v>0</v>
      </c>
      <c r="H484" s="35">
        <v>0</v>
      </c>
      <c r="I484" s="35">
        <f>Tabla1[[#This Row],[P.U. M.N.]]*Tabla1[[#This Row],[CANTIDADES DE REFERENCIA]]</f>
        <v>0</v>
      </c>
      <c r="J484" s="35">
        <f>Tabla1[[#This Row],[P.U. USD]]*Tabla1[[#This Row],[CANTIDADES DE REFERENCIA]]</f>
        <v>0</v>
      </c>
      <c r="K484" s="36"/>
      <c r="L484" s="36"/>
      <c r="M484" s="36"/>
      <c r="N484" s="37" t="s">
        <v>1059</v>
      </c>
      <c r="O484" s="37" t="s">
        <v>1060</v>
      </c>
      <c r="P484" s="39"/>
      <c r="Q484" s="37" t="s">
        <v>1089</v>
      </c>
      <c r="R484" s="37"/>
      <c r="S484" s="37"/>
      <c r="T484" s="31"/>
    </row>
    <row r="485" spans="1:20">
      <c r="A485" s="31"/>
      <c r="B485" s="32"/>
      <c r="C485" s="33"/>
      <c r="D485" s="32" t="s">
        <v>1090</v>
      </c>
      <c r="E485" s="33" t="s">
        <v>116</v>
      </c>
      <c r="F485" s="34">
        <v>1</v>
      </c>
      <c r="G485" s="35">
        <v>0</v>
      </c>
      <c r="H485" s="35">
        <v>0</v>
      </c>
      <c r="I485" s="35">
        <f>Tabla1[[#This Row],[P.U. M.N.]]*Tabla1[[#This Row],[CANTIDADES DE REFERENCIA]]</f>
        <v>0</v>
      </c>
      <c r="J485" s="35">
        <f>Tabla1[[#This Row],[P.U. USD]]*Tabla1[[#This Row],[CANTIDADES DE REFERENCIA]]</f>
        <v>0</v>
      </c>
      <c r="K485" s="36"/>
      <c r="L485" s="36"/>
      <c r="M485" s="36"/>
      <c r="N485" s="37" t="s">
        <v>1059</v>
      </c>
      <c r="O485" s="37" t="s">
        <v>1060</v>
      </c>
      <c r="P485" s="39"/>
      <c r="Q485" s="37" t="s">
        <v>1091</v>
      </c>
      <c r="R485" s="37"/>
      <c r="S485" s="37"/>
      <c r="T485" s="31"/>
    </row>
    <row r="486" spans="1:20">
      <c r="A486" s="31"/>
      <c r="B486" s="32"/>
      <c r="C486" s="33"/>
      <c r="D486" s="32" t="s">
        <v>1092</v>
      </c>
      <c r="E486" s="33" t="s">
        <v>116</v>
      </c>
      <c r="F486" s="34">
        <v>1</v>
      </c>
      <c r="G486" s="35">
        <v>0</v>
      </c>
      <c r="H486" s="35">
        <v>0</v>
      </c>
      <c r="I486" s="35">
        <f>Tabla1[[#This Row],[P.U. M.N.]]*Tabla1[[#This Row],[CANTIDADES DE REFERENCIA]]</f>
        <v>0</v>
      </c>
      <c r="J486" s="35">
        <f>Tabla1[[#This Row],[P.U. USD]]*Tabla1[[#This Row],[CANTIDADES DE REFERENCIA]]</f>
        <v>0</v>
      </c>
      <c r="K486" s="36"/>
      <c r="L486" s="36"/>
      <c r="M486" s="36"/>
      <c r="N486" s="37" t="s">
        <v>1059</v>
      </c>
      <c r="O486" s="37" t="s">
        <v>1060</v>
      </c>
      <c r="P486" s="39"/>
      <c r="Q486" s="37" t="s">
        <v>1093</v>
      </c>
      <c r="R486" s="37"/>
      <c r="S486" s="37"/>
      <c r="T486" s="31"/>
    </row>
    <row r="487" spans="1:20">
      <c r="A487" s="31"/>
      <c r="B487" s="32"/>
      <c r="C487" s="33"/>
      <c r="D487" s="32" t="s">
        <v>1094</v>
      </c>
      <c r="E487" s="33" t="s">
        <v>116</v>
      </c>
      <c r="F487" s="34">
        <v>1</v>
      </c>
      <c r="G487" s="35">
        <v>0</v>
      </c>
      <c r="H487" s="35">
        <v>0</v>
      </c>
      <c r="I487" s="35">
        <f>Tabla1[[#This Row],[P.U. M.N.]]*Tabla1[[#This Row],[CANTIDADES DE REFERENCIA]]</f>
        <v>0</v>
      </c>
      <c r="J487" s="35">
        <f>Tabla1[[#This Row],[P.U. USD]]*Tabla1[[#This Row],[CANTIDADES DE REFERENCIA]]</f>
        <v>0</v>
      </c>
      <c r="K487" s="36"/>
      <c r="L487" s="36"/>
      <c r="M487" s="36"/>
      <c r="N487" s="37" t="s">
        <v>1059</v>
      </c>
      <c r="O487" s="37" t="s">
        <v>1060</v>
      </c>
      <c r="P487" s="39"/>
      <c r="Q487" s="37" t="s">
        <v>1095</v>
      </c>
      <c r="R487" s="37"/>
      <c r="S487" s="37"/>
      <c r="T487" s="31"/>
    </row>
    <row r="488" spans="1:20">
      <c r="A488" s="31"/>
      <c r="B488" s="32"/>
      <c r="C488" s="33"/>
      <c r="D488" s="32" t="s">
        <v>1096</v>
      </c>
      <c r="E488" s="33" t="s">
        <v>116</v>
      </c>
      <c r="F488" s="34">
        <v>1</v>
      </c>
      <c r="G488" s="35">
        <v>0</v>
      </c>
      <c r="H488" s="35">
        <v>0</v>
      </c>
      <c r="I488" s="35">
        <f>Tabla1[[#This Row],[P.U. M.N.]]*Tabla1[[#This Row],[CANTIDADES DE REFERENCIA]]</f>
        <v>0</v>
      </c>
      <c r="J488" s="35">
        <f>Tabla1[[#This Row],[P.U. USD]]*Tabla1[[#This Row],[CANTIDADES DE REFERENCIA]]</f>
        <v>0</v>
      </c>
      <c r="K488" s="36"/>
      <c r="L488" s="36"/>
      <c r="M488" s="36"/>
      <c r="N488" s="37" t="s">
        <v>1059</v>
      </c>
      <c r="O488" s="37" t="s">
        <v>1060</v>
      </c>
      <c r="P488" s="39"/>
      <c r="Q488" s="37" t="s">
        <v>1097</v>
      </c>
      <c r="R488" s="37"/>
      <c r="S488" s="37"/>
      <c r="T488" s="31"/>
    </row>
    <row r="489" spans="1:20" s="23" customFormat="1">
      <c r="A489" s="31"/>
      <c r="B489" s="32"/>
      <c r="C489" s="33"/>
      <c r="D489" s="32" t="s">
        <v>1098</v>
      </c>
      <c r="E489" s="33" t="s">
        <v>116</v>
      </c>
      <c r="F489" s="34">
        <v>1</v>
      </c>
      <c r="G489" s="35">
        <v>0</v>
      </c>
      <c r="H489" s="35">
        <v>0</v>
      </c>
      <c r="I489" s="35">
        <f>Tabla1[[#This Row],[P.U. M.N.]]*Tabla1[[#This Row],[CANTIDADES DE REFERENCIA]]</f>
        <v>0</v>
      </c>
      <c r="J489" s="35">
        <f>Tabla1[[#This Row],[P.U. USD]]*Tabla1[[#This Row],[CANTIDADES DE REFERENCIA]]</f>
        <v>0</v>
      </c>
      <c r="K489" s="36"/>
      <c r="L489" s="36"/>
      <c r="M489" s="36"/>
      <c r="N489" s="37" t="s">
        <v>1059</v>
      </c>
      <c r="O489" s="37" t="s">
        <v>1060</v>
      </c>
      <c r="P489" s="40"/>
      <c r="Q489" s="37" t="s">
        <v>1099</v>
      </c>
      <c r="R489" s="37" t="s">
        <v>58</v>
      </c>
      <c r="S489" s="37"/>
      <c r="T489" s="31"/>
    </row>
    <row r="490" spans="1:20">
      <c r="A490" s="31"/>
      <c r="B490" s="32"/>
      <c r="C490" s="33"/>
      <c r="D490" s="32" t="s">
        <v>1100</v>
      </c>
      <c r="E490" s="33" t="s">
        <v>116</v>
      </c>
      <c r="F490" s="34">
        <v>1</v>
      </c>
      <c r="G490" s="35">
        <v>0</v>
      </c>
      <c r="H490" s="35">
        <v>0</v>
      </c>
      <c r="I490" s="35">
        <f>Tabla1[[#This Row],[P.U. M.N.]]*Tabla1[[#This Row],[CANTIDADES DE REFERENCIA]]</f>
        <v>0</v>
      </c>
      <c r="J490" s="35">
        <f>Tabla1[[#This Row],[P.U. USD]]*Tabla1[[#This Row],[CANTIDADES DE REFERENCIA]]</f>
        <v>0</v>
      </c>
      <c r="K490" s="36"/>
      <c r="L490" s="36"/>
      <c r="M490" s="36"/>
      <c r="N490" s="37" t="s">
        <v>1059</v>
      </c>
      <c r="O490" s="37" t="s">
        <v>1060</v>
      </c>
      <c r="P490" s="39"/>
      <c r="Q490" s="37" t="s">
        <v>1101</v>
      </c>
      <c r="R490" s="37"/>
      <c r="S490" s="37"/>
      <c r="T490" s="31"/>
    </row>
    <row r="491" spans="1:20">
      <c r="A491" s="31"/>
      <c r="B491" s="32"/>
      <c r="C491" s="33"/>
      <c r="D491" s="32" t="s">
        <v>1102</v>
      </c>
      <c r="E491" s="33" t="s">
        <v>116</v>
      </c>
      <c r="F491" s="34">
        <v>1</v>
      </c>
      <c r="G491" s="35">
        <v>0</v>
      </c>
      <c r="H491" s="35">
        <v>0</v>
      </c>
      <c r="I491" s="35">
        <f>Tabla1[[#This Row],[P.U. M.N.]]*Tabla1[[#This Row],[CANTIDADES DE REFERENCIA]]</f>
        <v>0</v>
      </c>
      <c r="J491" s="35">
        <f>Tabla1[[#This Row],[P.U. USD]]*Tabla1[[#This Row],[CANTIDADES DE REFERENCIA]]</f>
        <v>0</v>
      </c>
      <c r="K491" s="36"/>
      <c r="L491" s="36"/>
      <c r="M491" s="36"/>
      <c r="N491" s="37" t="s">
        <v>1059</v>
      </c>
      <c r="O491" s="37" t="s">
        <v>1060</v>
      </c>
      <c r="P491" s="39"/>
      <c r="Q491" s="37" t="s">
        <v>1103</v>
      </c>
      <c r="R491" s="37"/>
      <c r="S491" s="37"/>
      <c r="T491" s="31"/>
    </row>
    <row r="492" spans="1:20">
      <c r="A492" s="31"/>
      <c r="B492" s="32"/>
      <c r="C492" s="33"/>
      <c r="D492" s="32" t="s">
        <v>1104</v>
      </c>
      <c r="E492" s="33" t="s">
        <v>116</v>
      </c>
      <c r="F492" s="34">
        <v>1</v>
      </c>
      <c r="G492" s="35">
        <v>0</v>
      </c>
      <c r="H492" s="35">
        <v>0</v>
      </c>
      <c r="I492" s="35">
        <f>Tabla1[[#This Row],[P.U. M.N.]]*Tabla1[[#This Row],[CANTIDADES DE REFERENCIA]]</f>
        <v>0</v>
      </c>
      <c r="J492" s="35">
        <f>Tabla1[[#This Row],[P.U. USD]]*Tabla1[[#This Row],[CANTIDADES DE REFERENCIA]]</f>
        <v>0</v>
      </c>
      <c r="K492" s="36"/>
      <c r="L492" s="36"/>
      <c r="M492" s="36"/>
      <c r="N492" s="37" t="s">
        <v>1059</v>
      </c>
      <c r="O492" s="37" t="s">
        <v>1060</v>
      </c>
      <c r="P492" s="39"/>
      <c r="Q492" s="37" t="s">
        <v>1105</v>
      </c>
      <c r="R492" s="37"/>
      <c r="S492" s="37"/>
      <c r="T492" s="31"/>
    </row>
    <row r="493" spans="1:20">
      <c r="A493" s="31"/>
      <c r="B493" s="32"/>
      <c r="C493" s="33"/>
      <c r="D493" s="32" t="s">
        <v>1106</v>
      </c>
      <c r="E493" s="33" t="s">
        <v>116</v>
      </c>
      <c r="F493" s="34">
        <v>1</v>
      </c>
      <c r="G493" s="35">
        <v>0</v>
      </c>
      <c r="H493" s="35">
        <v>0</v>
      </c>
      <c r="I493" s="35">
        <f>Tabla1[[#This Row],[P.U. M.N.]]*Tabla1[[#This Row],[CANTIDADES DE REFERENCIA]]</f>
        <v>0</v>
      </c>
      <c r="J493" s="35">
        <f>Tabla1[[#This Row],[P.U. USD]]*Tabla1[[#This Row],[CANTIDADES DE REFERENCIA]]</f>
        <v>0</v>
      </c>
      <c r="K493" s="36"/>
      <c r="L493" s="36"/>
      <c r="M493" s="36"/>
      <c r="N493" s="37" t="s">
        <v>1059</v>
      </c>
      <c r="O493" s="37" t="s">
        <v>1060</v>
      </c>
      <c r="P493" s="39"/>
      <c r="Q493" s="37" t="s">
        <v>1107</v>
      </c>
      <c r="R493" s="37"/>
      <c r="S493" s="37"/>
      <c r="T493" s="31"/>
    </row>
    <row r="494" spans="1:20">
      <c r="A494" s="31"/>
      <c r="B494" s="32"/>
      <c r="C494" s="33"/>
      <c r="D494" s="32" t="s">
        <v>1108</v>
      </c>
      <c r="E494" s="33" t="s">
        <v>116</v>
      </c>
      <c r="F494" s="34">
        <v>1</v>
      </c>
      <c r="G494" s="35">
        <v>0</v>
      </c>
      <c r="H494" s="35">
        <v>0</v>
      </c>
      <c r="I494" s="35">
        <f>Tabla1[[#This Row],[P.U. M.N.]]*Tabla1[[#This Row],[CANTIDADES DE REFERENCIA]]</f>
        <v>0</v>
      </c>
      <c r="J494" s="35">
        <f>Tabla1[[#This Row],[P.U. USD]]*Tabla1[[#This Row],[CANTIDADES DE REFERENCIA]]</f>
        <v>0</v>
      </c>
      <c r="K494" s="36"/>
      <c r="L494" s="36"/>
      <c r="M494" s="36"/>
      <c r="N494" s="37" t="s">
        <v>1059</v>
      </c>
      <c r="O494" s="37" t="s">
        <v>1060</v>
      </c>
      <c r="P494" s="39"/>
      <c r="Q494" s="37" t="s">
        <v>1109</v>
      </c>
      <c r="R494" s="37"/>
      <c r="S494" s="37"/>
      <c r="T494" s="31"/>
    </row>
    <row r="495" spans="1:20">
      <c r="A495" s="31"/>
      <c r="B495" s="32"/>
      <c r="C495" s="33"/>
      <c r="D495" s="32" t="s">
        <v>1110</v>
      </c>
      <c r="E495" s="33" t="s">
        <v>116</v>
      </c>
      <c r="F495" s="34">
        <v>1</v>
      </c>
      <c r="G495" s="35">
        <v>0</v>
      </c>
      <c r="H495" s="35">
        <v>0</v>
      </c>
      <c r="I495" s="35">
        <f>Tabla1[[#This Row],[P.U. M.N.]]*Tabla1[[#This Row],[CANTIDADES DE REFERENCIA]]</f>
        <v>0</v>
      </c>
      <c r="J495" s="35">
        <f>Tabla1[[#This Row],[P.U. USD]]*Tabla1[[#This Row],[CANTIDADES DE REFERENCIA]]</f>
        <v>0</v>
      </c>
      <c r="K495" s="36"/>
      <c r="L495" s="36"/>
      <c r="M495" s="36"/>
      <c r="N495" s="37" t="s">
        <v>1059</v>
      </c>
      <c r="O495" s="37" t="s">
        <v>1060</v>
      </c>
      <c r="P495" s="39"/>
      <c r="Q495" s="37" t="s">
        <v>1111</v>
      </c>
      <c r="R495" s="37"/>
      <c r="S495" s="37"/>
      <c r="T495" s="31"/>
    </row>
    <row r="496" spans="1:20">
      <c r="A496" s="31"/>
      <c r="B496" s="32"/>
      <c r="C496" s="33"/>
      <c r="D496" s="32" t="s">
        <v>1112</v>
      </c>
      <c r="E496" s="33" t="s">
        <v>116</v>
      </c>
      <c r="F496" s="34">
        <v>1</v>
      </c>
      <c r="G496" s="35">
        <v>0</v>
      </c>
      <c r="H496" s="35">
        <v>0</v>
      </c>
      <c r="I496" s="35">
        <f>Tabla1[[#This Row],[P.U. M.N.]]*Tabla1[[#This Row],[CANTIDADES DE REFERENCIA]]</f>
        <v>0</v>
      </c>
      <c r="J496" s="35">
        <f>Tabla1[[#This Row],[P.U. USD]]*Tabla1[[#This Row],[CANTIDADES DE REFERENCIA]]</f>
        <v>0</v>
      </c>
      <c r="K496" s="36"/>
      <c r="L496" s="36"/>
      <c r="M496" s="36"/>
      <c r="N496" s="37" t="s">
        <v>1059</v>
      </c>
      <c r="O496" s="37" t="s">
        <v>1060</v>
      </c>
      <c r="P496" s="39"/>
      <c r="Q496" s="37" t="s">
        <v>1113</v>
      </c>
      <c r="R496" s="37"/>
      <c r="S496" s="37"/>
      <c r="T496" s="31"/>
    </row>
    <row r="497" spans="1:20">
      <c r="A497" s="31"/>
      <c r="B497" s="32"/>
      <c r="C497" s="33"/>
      <c r="D497" s="32" t="s">
        <v>1114</v>
      </c>
      <c r="E497" s="33" t="s">
        <v>116</v>
      </c>
      <c r="F497" s="34">
        <v>1</v>
      </c>
      <c r="G497" s="35">
        <v>0</v>
      </c>
      <c r="H497" s="35">
        <v>0</v>
      </c>
      <c r="I497" s="35">
        <f>Tabla1[[#This Row],[P.U. M.N.]]*Tabla1[[#This Row],[CANTIDADES DE REFERENCIA]]</f>
        <v>0</v>
      </c>
      <c r="J497" s="35">
        <f>Tabla1[[#This Row],[P.U. USD]]*Tabla1[[#This Row],[CANTIDADES DE REFERENCIA]]</f>
        <v>0</v>
      </c>
      <c r="K497" s="36"/>
      <c r="L497" s="36"/>
      <c r="M497" s="36"/>
      <c r="N497" s="37" t="s">
        <v>1059</v>
      </c>
      <c r="O497" s="37" t="s">
        <v>1060</v>
      </c>
      <c r="P497" s="39"/>
      <c r="Q497" s="37" t="s">
        <v>1115</v>
      </c>
      <c r="R497" s="37"/>
      <c r="S497" s="37"/>
      <c r="T497" s="31"/>
    </row>
    <row r="498" spans="1:20">
      <c r="A498" s="31"/>
      <c r="B498" s="32"/>
      <c r="C498" s="33"/>
      <c r="D498" s="32" t="s">
        <v>1116</v>
      </c>
      <c r="E498" s="33" t="s">
        <v>116</v>
      </c>
      <c r="F498" s="34">
        <v>1</v>
      </c>
      <c r="G498" s="35">
        <v>0</v>
      </c>
      <c r="H498" s="35">
        <v>0</v>
      </c>
      <c r="I498" s="35">
        <f>Tabla1[[#This Row],[P.U. M.N.]]*Tabla1[[#This Row],[CANTIDADES DE REFERENCIA]]</f>
        <v>0</v>
      </c>
      <c r="J498" s="35">
        <f>Tabla1[[#This Row],[P.U. USD]]*Tabla1[[#This Row],[CANTIDADES DE REFERENCIA]]</f>
        <v>0</v>
      </c>
      <c r="K498" s="36"/>
      <c r="L498" s="36"/>
      <c r="M498" s="36"/>
      <c r="N498" s="37" t="s">
        <v>1059</v>
      </c>
      <c r="O498" s="37" t="s">
        <v>1060</v>
      </c>
      <c r="P498" s="39"/>
      <c r="Q498" s="37" t="s">
        <v>1117</v>
      </c>
      <c r="R498" s="37"/>
      <c r="S498" s="37"/>
      <c r="T498" s="31"/>
    </row>
    <row r="499" spans="1:20">
      <c r="A499" s="31"/>
      <c r="B499" s="32"/>
      <c r="C499" s="33"/>
      <c r="D499" s="32" t="s">
        <v>1118</v>
      </c>
      <c r="E499" s="33" t="s">
        <v>116</v>
      </c>
      <c r="F499" s="34">
        <v>1</v>
      </c>
      <c r="G499" s="35">
        <v>0</v>
      </c>
      <c r="H499" s="35">
        <v>0</v>
      </c>
      <c r="I499" s="35">
        <f>Tabla1[[#This Row],[P.U. M.N.]]*Tabla1[[#This Row],[CANTIDADES DE REFERENCIA]]</f>
        <v>0</v>
      </c>
      <c r="J499" s="35">
        <f>Tabla1[[#This Row],[P.U. USD]]*Tabla1[[#This Row],[CANTIDADES DE REFERENCIA]]</f>
        <v>0</v>
      </c>
      <c r="K499" s="36"/>
      <c r="L499" s="36"/>
      <c r="M499" s="36"/>
      <c r="N499" s="37" t="s">
        <v>1059</v>
      </c>
      <c r="O499" s="37" t="s">
        <v>1060</v>
      </c>
      <c r="P499" s="39"/>
      <c r="Q499" s="37" t="s">
        <v>1119</v>
      </c>
      <c r="R499" s="37"/>
      <c r="S499" s="37"/>
      <c r="T499" s="31"/>
    </row>
    <row r="500" spans="1:20">
      <c r="A500" s="31"/>
      <c r="B500" s="32"/>
      <c r="C500" s="33"/>
      <c r="D500" s="32" t="s">
        <v>1120</v>
      </c>
      <c r="E500" s="33" t="s">
        <v>116</v>
      </c>
      <c r="F500" s="34">
        <v>1</v>
      </c>
      <c r="G500" s="35">
        <v>0</v>
      </c>
      <c r="H500" s="35">
        <v>0</v>
      </c>
      <c r="I500" s="35">
        <f>Tabla1[[#This Row],[P.U. M.N.]]*Tabla1[[#This Row],[CANTIDADES DE REFERENCIA]]</f>
        <v>0</v>
      </c>
      <c r="J500" s="35">
        <f>Tabla1[[#This Row],[P.U. USD]]*Tabla1[[#This Row],[CANTIDADES DE REFERENCIA]]</f>
        <v>0</v>
      </c>
      <c r="K500" s="36"/>
      <c r="L500" s="36"/>
      <c r="M500" s="36"/>
      <c r="N500" s="37" t="s">
        <v>1059</v>
      </c>
      <c r="O500" s="37" t="s">
        <v>1060</v>
      </c>
      <c r="P500" s="39"/>
      <c r="Q500" s="37" t="s">
        <v>1121</v>
      </c>
      <c r="R500" s="37"/>
      <c r="S500" s="37"/>
      <c r="T500" s="31"/>
    </row>
    <row r="501" spans="1:20">
      <c r="A501" s="31"/>
      <c r="B501" s="32"/>
      <c r="C501" s="33"/>
      <c r="D501" s="32" t="s">
        <v>1122</v>
      </c>
      <c r="E501" s="33" t="s">
        <v>116</v>
      </c>
      <c r="F501" s="34">
        <v>1</v>
      </c>
      <c r="G501" s="35">
        <v>0</v>
      </c>
      <c r="H501" s="35">
        <v>0</v>
      </c>
      <c r="I501" s="35">
        <f>Tabla1[[#This Row],[P.U. M.N.]]*Tabla1[[#This Row],[CANTIDADES DE REFERENCIA]]</f>
        <v>0</v>
      </c>
      <c r="J501" s="35">
        <f>Tabla1[[#This Row],[P.U. USD]]*Tabla1[[#This Row],[CANTIDADES DE REFERENCIA]]</f>
        <v>0</v>
      </c>
      <c r="K501" s="36"/>
      <c r="L501" s="36"/>
      <c r="M501" s="36"/>
      <c r="N501" s="37" t="s">
        <v>1059</v>
      </c>
      <c r="O501" s="37" t="s">
        <v>1060</v>
      </c>
      <c r="P501" s="39"/>
      <c r="Q501" s="37" t="s">
        <v>1123</v>
      </c>
      <c r="R501" s="37"/>
      <c r="S501" s="37"/>
      <c r="T501" s="31"/>
    </row>
    <row r="502" spans="1:20">
      <c r="A502" s="31"/>
      <c r="B502" s="32"/>
      <c r="C502" s="33"/>
      <c r="D502" s="32" t="s">
        <v>1124</v>
      </c>
      <c r="E502" s="33" t="s">
        <v>116</v>
      </c>
      <c r="F502" s="34">
        <v>1</v>
      </c>
      <c r="G502" s="35">
        <v>0</v>
      </c>
      <c r="H502" s="35">
        <v>0</v>
      </c>
      <c r="I502" s="35">
        <f>Tabla1[[#This Row],[P.U. M.N.]]*Tabla1[[#This Row],[CANTIDADES DE REFERENCIA]]</f>
        <v>0</v>
      </c>
      <c r="J502" s="35">
        <f>Tabla1[[#This Row],[P.U. USD]]*Tabla1[[#This Row],[CANTIDADES DE REFERENCIA]]</f>
        <v>0</v>
      </c>
      <c r="K502" s="36"/>
      <c r="L502" s="36"/>
      <c r="M502" s="36"/>
      <c r="N502" s="37" t="s">
        <v>1125</v>
      </c>
      <c r="O502" s="37"/>
      <c r="P502" s="39"/>
      <c r="Q502" s="37" t="s">
        <v>1126</v>
      </c>
      <c r="R502" s="37"/>
      <c r="S502" s="37" t="s">
        <v>1127</v>
      </c>
      <c r="T502" s="31"/>
    </row>
    <row r="503" spans="1:20">
      <c r="A503" s="31"/>
      <c r="B503" s="32"/>
      <c r="C503" s="33"/>
      <c r="D503" s="32" t="s">
        <v>1128</v>
      </c>
      <c r="E503" s="33" t="s">
        <v>116</v>
      </c>
      <c r="F503" s="34">
        <v>1</v>
      </c>
      <c r="G503" s="35">
        <v>0</v>
      </c>
      <c r="H503" s="35">
        <v>0</v>
      </c>
      <c r="I503" s="35">
        <f>Tabla1[[#This Row],[P.U. M.N.]]*Tabla1[[#This Row],[CANTIDADES DE REFERENCIA]]</f>
        <v>0</v>
      </c>
      <c r="J503" s="35">
        <f>Tabla1[[#This Row],[P.U. USD]]*Tabla1[[#This Row],[CANTIDADES DE REFERENCIA]]</f>
        <v>0</v>
      </c>
      <c r="K503" s="36"/>
      <c r="L503" s="36"/>
      <c r="M503" s="36"/>
      <c r="N503" s="37" t="s">
        <v>1059</v>
      </c>
      <c r="O503" s="37" t="s">
        <v>1060</v>
      </c>
      <c r="P503" s="39"/>
      <c r="Q503" s="37" t="s">
        <v>1129</v>
      </c>
      <c r="R503" s="37"/>
      <c r="S503" s="37"/>
      <c r="T503" s="31"/>
    </row>
    <row r="504" spans="1:20">
      <c r="A504" s="31"/>
      <c r="B504" s="32"/>
      <c r="C504" s="33"/>
      <c r="D504" s="32" t="s">
        <v>1130</v>
      </c>
      <c r="E504" s="33" t="s">
        <v>116</v>
      </c>
      <c r="F504" s="34">
        <v>1</v>
      </c>
      <c r="G504" s="35">
        <v>0</v>
      </c>
      <c r="H504" s="35">
        <v>0</v>
      </c>
      <c r="I504" s="35">
        <f>Tabla1[[#This Row],[P.U. M.N.]]*Tabla1[[#This Row],[CANTIDADES DE REFERENCIA]]</f>
        <v>0</v>
      </c>
      <c r="J504" s="35">
        <f>Tabla1[[#This Row],[P.U. USD]]*Tabla1[[#This Row],[CANTIDADES DE REFERENCIA]]</f>
        <v>0</v>
      </c>
      <c r="K504" s="36"/>
      <c r="L504" s="36"/>
      <c r="M504" s="36"/>
      <c r="N504" s="37" t="s">
        <v>1059</v>
      </c>
      <c r="O504" s="37" t="s">
        <v>1060</v>
      </c>
      <c r="P504" s="39"/>
      <c r="Q504" s="37" t="s">
        <v>1131</v>
      </c>
      <c r="R504" s="37"/>
      <c r="S504" s="37"/>
      <c r="T504" s="31"/>
    </row>
    <row r="505" spans="1:20">
      <c r="A505" s="31"/>
      <c r="B505" s="32"/>
      <c r="C505" s="33"/>
      <c r="D505" s="32" t="s">
        <v>1132</v>
      </c>
      <c r="E505" s="33" t="s">
        <v>116</v>
      </c>
      <c r="F505" s="34">
        <v>1</v>
      </c>
      <c r="G505" s="35">
        <v>0</v>
      </c>
      <c r="H505" s="35">
        <v>0</v>
      </c>
      <c r="I505" s="35">
        <f>Tabla1[[#This Row],[P.U. M.N.]]*Tabla1[[#This Row],[CANTIDADES DE REFERENCIA]]</f>
        <v>0</v>
      </c>
      <c r="J505" s="35">
        <f>Tabla1[[#This Row],[P.U. USD]]*Tabla1[[#This Row],[CANTIDADES DE REFERENCIA]]</f>
        <v>0</v>
      </c>
      <c r="K505" s="36"/>
      <c r="L505" s="36"/>
      <c r="M505" s="36"/>
      <c r="N505" s="37" t="s">
        <v>1059</v>
      </c>
      <c r="O505" s="37" t="s">
        <v>1060</v>
      </c>
      <c r="P505" s="39"/>
      <c r="Q505" s="37" t="s">
        <v>1133</v>
      </c>
      <c r="R505" s="37"/>
      <c r="S505" s="37"/>
      <c r="T505" s="31"/>
    </row>
    <row r="506" spans="1:20">
      <c r="A506" s="31"/>
      <c r="B506" s="32"/>
      <c r="C506" s="33"/>
      <c r="D506" s="32" t="s">
        <v>1134</v>
      </c>
      <c r="E506" s="33" t="s">
        <v>135</v>
      </c>
      <c r="F506" s="34">
        <v>1</v>
      </c>
      <c r="G506" s="35">
        <v>0</v>
      </c>
      <c r="H506" s="35">
        <v>0</v>
      </c>
      <c r="I506" s="35">
        <f>Tabla1[[#This Row],[P.U. M.N.]]*Tabla1[[#This Row],[CANTIDADES DE REFERENCIA]]</f>
        <v>0</v>
      </c>
      <c r="J506" s="35">
        <f>Tabla1[[#This Row],[P.U. USD]]*Tabla1[[#This Row],[CANTIDADES DE REFERENCIA]]</f>
        <v>0</v>
      </c>
      <c r="K506" s="36"/>
      <c r="L506" s="36"/>
      <c r="M506" s="36"/>
      <c r="N506" s="37" t="s">
        <v>1059</v>
      </c>
      <c r="O506" s="37" t="s">
        <v>1060</v>
      </c>
      <c r="P506" s="39"/>
      <c r="Q506" s="37" t="s">
        <v>1135</v>
      </c>
      <c r="R506" s="37"/>
      <c r="S506" s="37"/>
      <c r="T506" s="31"/>
    </row>
    <row r="507" spans="1:20">
      <c r="A507" s="31"/>
      <c r="B507" s="32"/>
      <c r="C507" s="33"/>
      <c r="D507" s="32" t="s">
        <v>1136</v>
      </c>
      <c r="E507" s="33" t="s">
        <v>116</v>
      </c>
      <c r="F507" s="34">
        <v>1</v>
      </c>
      <c r="G507" s="35">
        <v>0</v>
      </c>
      <c r="H507" s="35">
        <v>0</v>
      </c>
      <c r="I507" s="35">
        <f>Tabla1[[#This Row],[P.U. M.N.]]*Tabla1[[#This Row],[CANTIDADES DE REFERENCIA]]</f>
        <v>0</v>
      </c>
      <c r="J507" s="35">
        <f>Tabla1[[#This Row],[P.U. USD]]*Tabla1[[#This Row],[CANTIDADES DE REFERENCIA]]</f>
        <v>0</v>
      </c>
      <c r="K507" s="36"/>
      <c r="L507" s="36"/>
      <c r="M507" s="36"/>
      <c r="N507" s="37" t="s">
        <v>1059</v>
      </c>
      <c r="O507" s="37" t="s">
        <v>1060</v>
      </c>
      <c r="P507" s="39"/>
      <c r="Q507" s="37" t="s">
        <v>1137</v>
      </c>
      <c r="R507" s="37"/>
      <c r="S507" s="37"/>
      <c r="T507" s="31"/>
    </row>
    <row r="508" spans="1:20">
      <c r="A508" s="31"/>
      <c r="B508" s="32"/>
      <c r="C508" s="33"/>
      <c r="D508" s="32" t="s">
        <v>1138</v>
      </c>
      <c r="E508" s="33" t="s">
        <v>116</v>
      </c>
      <c r="F508" s="34">
        <v>1</v>
      </c>
      <c r="G508" s="35">
        <v>0</v>
      </c>
      <c r="H508" s="35">
        <v>0</v>
      </c>
      <c r="I508" s="35">
        <f>Tabla1[[#This Row],[P.U. M.N.]]*Tabla1[[#This Row],[CANTIDADES DE REFERENCIA]]</f>
        <v>0</v>
      </c>
      <c r="J508" s="35">
        <f>Tabla1[[#This Row],[P.U. USD]]*Tabla1[[#This Row],[CANTIDADES DE REFERENCIA]]</f>
        <v>0</v>
      </c>
      <c r="K508" s="36"/>
      <c r="L508" s="36"/>
      <c r="M508" s="36"/>
      <c r="N508" s="37" t="s">
        <v>1059</v>
      </c>
      <c r="O508" s="37" t="s">
        <v>1060</v>
      </c>
      <c r="P508" s="39"/>
      <c r="Q508" s="37" t="s">
        <v>1139</v>
      </c>
      <c r="R508" s="37"/>
      <c r="S508" s="37"/>
      <c r="T508" s="31"/>
    </row>
    <row r="509" spans="1:20">
      <c r="A509" s="31"/>
      <c r="B509" s="32"/>
      <c r="C509" s="33"/>
      <c r="D509" s="32" t="s">
        <v>1140</v>
      </c>
      <c r="E509" s="33" t="s">
        <v>116</v>
      </c>
      <c r="F509" s="34">
        <v>1</v>
      </c>
      <c r="G509" s="35">
        <v>0</v>
      </c>
      <c r="H509" s="35">
        <v>0</v>
      </c>
      <c r="I509" s="35">
        <f>Tabla1[[#This Row],[P.U. M.N.]]*Tabla1[[#This Row],[CANTIDADES DE REFERENCIA]]</f>
        <v>0</v>
      </c>
      <c r="J509" s="35">
        <f>Tabla1[[#This Row],[P.U. USD]]*Tabla1[[#This Row],[CANTIDADES DE REFERENCIA]]</f>
        <v>0</v>
      </c>
      <c r="K509" s="36"/>
      <c r="L509" s="36"/>
      <c r="M509" s="36"/>
      <c r="N509" s="37" t="s">
        <v>1059</v>
      </c>
      <c r="O509" s="37" t="s">
        <v>1060</v>
      </c>
      <c r="P509" s="39"/>
      <c r="Q509" s="37" t="s">
        <v>1141</v>
      </c>
      <c r="R509" s="37"/>
      <c r="S509" s="37"/>
      <c r="T509" s="31"/>
    </row>
    <row r="510" spans="1:20">
      <c r="A510" s="31"/>
      <c r="B510" s="32"/>
      <c r="C510" s="33"/>
      <c r="D510" s="32" t="s">
        <v>1142</v>
      </c>
      <c r="E510" s="33" t="s">
        <v>116</v>
      </c>
      <c r="F510" s="34">
        <v>1</v>
      </c>
      <c r="G510" s="35">
        <v>0</v>
      </c>
      <c r="H510" s="35">
        <v>0</v>
      </c>
      <c r="I510" s="35">
        <f>Tabla1[[#This Row],[P.U. M.N.]]*Tabla1[[#This Row],[CANTIDADES DE REFERENCIA]]</f>
        <v>0</v>
      </c>
      <c r="J510" s="35">
        <f>Tabla1[[#This Row],[P.U. USD]]*Tabla1[[#This Row],[CANTIDADES DE REFERENCIA]]</f>
        <v>0</v>
      </c>
      <c r="K510" s="36"/>
      <c r="L510" s="36"/>
      <c r="M510" s="36"/>
      <c r="N510" s="37" t="s">
        <v>1059</v>
      </c>
      <c r="O510" s="37" t="s">
        <v>1060</v>
      </c>
      <c r="P510" s="39"/>
      <c r="Q510" s="37" t="s">
        <v>1143</v>
      </c>
      <c r="R510" s="37"/>
      <c r="S510" s="37"/>
      <c r="T510" s="31"/>
    </row>
    <row r="511" spans="1:20">
      <c r="A511" s="31"/>
      <c r="B511" s="32"/>
      <c r="C511" s="33"/>
      <c r="D511" s="32" t="s">
        <v>1144</v>
      </c>
      <c r="E511" s="33" t="s">
        <v>116</v>
      </c>
      <c r="F511" s="34">
        <v>1</v>
      </c>
      <c r="G511" s="35">
        <v>0</v>
      </c>
      <c r="H511" s="35">
        <v>0</v>
      </c>
      <c r="I511" s="35">
        <f>Tabla1[[#This Row],[P.U. M.N.]]*Tabla1[[#This Row],[CANTIDADES DE REFERENCIA]]</f>
        <v>0</v>
      </c>
      <c r="J511" s="35">
        <f>Tabla1[[#This Row],[P.U. USD]]*Tabla1[[#This Row],[CANTIDADES DE REFERENCIA]]</f>
        <v>0</v>
      </c>
      <c r="K511" s="36"/>
      <c r="L511" s="36"/>
      <c r="M511" s="36"/>
      <c r="N511" s="37" t="s">
        <v>1059</v>
      </c>
      <c r="O511" s="37" t="s">
        <v>1060</v>
      </c>
      <c r="P511" s="39"/>
      <c r="Q511" s="37" t="s">
        <v>1145</v>
      </c>
      <c r="R511" s="37"/>
      <c r="S511" s="37"/>
      <c r="T511" s="31"/>
    </row>
    <row r="512" spans="1:20">
      <c r="A512" s="31"/>
      <c r="B512" s="32"/>
      <c r="C512" s="33"/>
      <c r="D512" s="32" t="s">
        <v>1146</v>
      </c>
      <c r="E512" s="33" t="s">
        <v>116</v>
      </c>
      <c r="F512" s="34">
        <v>1</v>
      </c>
      <c r="G512" s="35">
        <v>0</v>
      </c>
      <c r="H512" s="35">
        <v>0</v>
      </c>
      <c r="I512" s="35">
        <f>Tabla1[[#This Row],[P.U. M.N.]]*Tabla1[[#This Row],[CANTIDADES DE REFERENCIA]]</f>
        <v>0</v>
      </c>
      <c r="J512" s="35">
        <f>Tabla1[[#This Row],[P.U. USD]]*Tabla1[[#This Row],[CANTIDADES DE REFERENCIA]]</f>
        <v>0</v>
      </c>
      <c r="K512" s="36"/>
      <c r="L512" s="36"/>
      <c r="M512" s="36"/>
      <c r="N512" s="37" t="s">
        <v>1059</v>
      </c>
      <c r="O512" s="37" t="s">
        <v>1060</v>
      </c>
      <c r="P512" s="39"/>
      <c r="Q512" s="37" t="s">
        <v>1147</v>
      </c>
      <c r="R512" s="37"/>
      <c r="S512" s="37"/>
      <c r="T512" s="31"/>
    </row>
    <row r="513" spans="1:20">
      <c r="A513" s="31"/>
      <c r="B513" s="32"/>
      <c r="C513" s="33"/>
      <c r="D513" s="32" t="s">
        <v>1098</v>
      </c>
      <c r="E513" s="33" t="s">
        <v>116</v>
      </c>
      <c r="F513" s="34">
        <v>1</v>
      </c>
      <c r="G513" s="35">
        <v>0</v>
      </c>
      <c r="H513" s="35">
        <v>0</v>
      </c>
      <c r="I513" s="35">
        <f>Tabla1[[#This Row],[P.U. M.N.]]*Tabla1[[#This Row],[CANTIDADES DE REFERENCIA]]</f>
        <v>0</v>
      </c>
      <c r="J513" s="35">
        <f>Tabla1[[#This Row],[P.U. USD]]*Tabla1[[#This Row],[CANTIDADES DE REFERENCIA]]</f>
        <v>0</v>
      </c>
      <c r="K513" s="36"/>
      <c r="L513" s="36"/>
      <c r="M513" s="36"/>
      <c r="N513" s="37" t="s">
        <v>1059</v>
      </c>
      <c r="O513" s="37" t="s">
        <v>1060</v>
      </c>
      <c r="P513" s="39"/>
      <c r="Q513" s="37" t="s">
        <v>1148</v>
      </c>
      <c r="R513" s="37"/>
      <c r="S513" s="37"/>
      <c r="T513" s="31"/>
    </row>
    <row r="514" spans="1:20">
      <c r="A514" s="31"/>
      <c r="B514" s="32"/>
      <c r="C514" s="33"/>
      <c r="D514" s="32" t="s">
        <v>1149</v>
      </c>
      <c r="E514" s="33" t="s">
        <v>116</v>
      </c>
      <c r="F514" s="34">
        <v>1</v>
      </c>
      <c r="G514" s="35">
        <v>0</v>
      </c>
      <c r="H514" s="35">
        <v>0</v>
      </c>
      <c r="I514" s="35">
        <f>Tabla1[[#This Row],[P.U. M.N.]]*Tabla1[[#This Row],[CANTIDADES DE REFERENCIA]]</f>
        <v>0</v>
      </c>
      <c r="J514" s="35">
        <f>Tabla1[[#This Row],[P.U. USD]]*Tabla1[[#This Row],[CANTIDADES DE REFERENCIA]]</f>
        <v>0</v>
      </c>
      <c r="K514" s="36"/>
      <c r="L514" s="36"/>
      <c r="M514" s="36"/>
      <c r="N514" s="37" t="s">
        <v>1059</v>
      </c>
      <c r="O514" s="37" t="s">
        <v>1060</v>
      </c>
      <c r="P514" s="39"/>
      <c r="Q514" s="37" t="s">
        <v>1150</v>
      </c>
      <c r="R514" s="37"/>
      <c r="S514" s="37"/>
      <c r="T514" s="31"/>
    </row>
    <row r="515" spans="1:20">
      <c r="A515" s="31"/>
      <c r="B515" s="32"/>
      <c r="C515" s="33"/>
      <c r="D515" s="32" t="s">
        <v>1151</v>
      </c>
      <c r="E515" s="33" t="s">
        <v>61</v>
      </c>
      <c r="F515" s="34">
        <v>1</v>
      </c>
      <c r="G515" s="35">
        <v>0</v>
      </c>
      <c r="H515" s="35">
        <v>0</v>
      </c>
      <c r="I515" s="35">
        <f>Tabla1[[#This Row],[P.U. M.N.]]*Tabla1[[#This Row],[CANTIDADES DE REFERENCIA]]</f>
        <v>0</v>
      </c>
      <c r="J515" s="35">
        <f>Tabla1[[#This Row],[P.U. USD]]*Tabla1[[#This Row],[CANTIDADES DE REFERENCIA]]</f>
        <v>0</v>
      </c>
      <c r="K515" s="36"/>
      <c r="L515" s="36"/>
      <c r="M515" s="36"/>
      <c r="N515" s="37" t="s">
        <v>1059</v>
      </c>
      <c r="O515" s="37" t="s">
        <v>1060</v>
      </c>
      <c r="P515" s="39"/>
      <c r="Q515" s="37" t="s">
        <v>1152</v>
      </c>
      <c r="R515" s="37"/>
      <c r="S515" s="37"/>
      <c r="T515" s="31"/>
    </row>
    <row r="516" spans="1:20">
      <c r="A516" s="31"/>
      <c r="B516" s="32"/>
      <c r="C516" s="33"/>
      <c r="D516" s="32" t="s">
        <v>1153</v>
      </c>
      <c r="E516" s="33" t="s">
        <v>1154</v>
      </c>
      <c r="F516" s="34">
        <v>1</v>
      </c>
      <c r="G516" s="35">
        <v>0</v>
      </c>
      <c r="H516" s="35">
        <v>0</v>
      </c>
      <c r="I516" s="35">
        <f>Tabla1[[#This Row],[P.U. M.N.]]*Tabla1[[#This Row],[CANTIDADES DE REFERENCIA]]</f>
        <v>0</v>
      </c>
      <c r="J516" s="35">
        <f>Tabla1[[#This Row],[P.U. USD]]*Tabla1[[#This Row],[CANTIDADES DE REFERENCIA]]</f>
        <v>0</v>
      </c>
      <c r="K516" s="36"/>
      <c r="L516" s="36"/>
      <c r="M516" s="36"/>
      <c r="N516" s="37" t="s">
        <v>1125</v>
      </c>
      <c r="O516" s="37"/>
      <c r="P516" s="39"/>
      <c r="Q516" s="37" t="s">
        <v>1155</v>
      </c>
      <c r="R516" s="37"/>
      <c r="S516" s="37" t="s">
        <v>1127</v>
      </c>
      <c r="T516" s="31"/>
    </row>
    <row r="517" spans="1:20">
      <c r="A517" s="31"/>
      <c r="B517" s="32"/>
      <c r="C517" s="33"/>
      <c r="D517" s="32" t="s">
        <v>1156</v>
      </c>
      <c r="E517" s="33" t="s">
        <v>116</v>
      </c>
      <c r="F517" s="34">
        <v>1</v>
      </c>
      <c r="G517" s="35">
        <v>0</v>
      </c>
      <c r="H517" s="35">
        <v>0</v>
      </c>
      <c r="I517" s="35">
        <f>Tabla1[[#This Row],[P.U. M.N.]]*Tabla1[[#This Row],[CANTIDADES DE REFERENCIA]]</f>
        <v>0</v>
      </c>
      <c r="J517" s="35">
        <f>Tabla1[[#This Row],[P.U. USD]]*Tabla1[[#This Row],[CANTIDADES DE REFERENCIA]]</f>
        <v>0</v>
      </c>
      <c r="K517" s="36"/>
      <c r="L517" s="36"/>
      <c r="M517" s="36"/>
      <c r="N517" s="37" t="s">
        <v>1059</v>
      </c>
      <c r="O517" s="37" t="s">
        <v>1060</v>
      </c>
      <c r="P517" s="39"/>
      <c r="Q517" s="37" t="s">
        <v>1157</v>
      </c>
      <c r="R517" s="37"/>
      <c r="S517" s="37"/>
      <c r="T517" s="31"/>
    </row>
    <row r="518" spans="1:20">
      <c r="A518" s="31"/>
      <c r="B518" s="32"/>
      <c r="C518" s="33"/>
      <c r="D518" s="32" t="s">
        <v>1158</v>
      </c>
      <c r="E518" s="33" t="s">
        <v>116</v>
      </c>
      <c r="F518" s="34">
        <v>1</v>
      </c>
      <c r="G518" s="35">
        <v>0</v>
      </c>
      <c r="H518" s="35">
        <v>0</v>
      </c>
      <c r="I518" s="35">
        <f>Tabla1[[#This Row],[P.U. M.N.]]*Tabla1[[#This Row],[CANTIDADES DE REFERENCIA]]</f>
        <v>0</v>
      </c>
      <c r="J518" s="35">
        <f>Tabla1[[#This Row],[P.U. USD]]*Tabla1[[#This Row],[CANTIDADES DE REFERENCIA]]</f>
        <v>0</v>
      </c>
      <c r="K518" s="36"/>
      <c r="L518" s="36"/>
      <c r="M518" s="36"/>
      <c r="N518" s="37" t="s">
        <v>1059</v>
      </c>
      <c r="O518" s="37" t="s">
        <v>1060</v>
      </c>
      <c r="P518" s="39"/>
      <c r="Q518" s="37" t="s">
        <v>1159</v>
      </c>
      <c r="R518" s="37"/>
      <c r="S518" s="37"/>
      <c r="T518" s="31"/>
    </row>
    <row r="519" spans="1:20">
      <c r="A519" s="31"/>
      <c r="B519" s="32"/>
      <c r="C519" s="33"/>
      <c r="D519" s="32" t="s">
        <v>1160</v>
      </c>
      <c r="E519" s="33" t="s">
        <v>116</v>
      </c>
      <c r="F519" s="34">
        <v>1</v>
      </c>
      <c r="G519" s="35">
        <v>0</v>
      </c>
      <c r="H519" s="35">
        <v>0</v>
      </c>
      <c r="I519" s="35">
        <f>Tabla1[[#This Row],[P.U. M.N.]]*Tabla1[[#This Row],[CANTIDADES DE REFERENCIA]]</f>
        <v>0</v>
      </c>
      <c r="J519" s="35">
        <f>Tabla1[[#This Row],[P.U. USD]]*Tabla1[[#This Row],[CANTIDADES DE REFERENCIA]]</f>
        <v>0</v>
      </c>
      <c r="K519" s="36"/>
      <c r="L519" s="36"/>
      <c r="M519" s="36"/>
      <c r="N519" s="37" t="s">
        <v>1059</v>
      </c>
      <c r="O519" s="37" t="s">
        <v>1060</v>
      </c>
      <c r="P519" s="39"/>
      <c r="Q519" s="37" t="s">
        <v>1161</v>
      </c>
      <c r="R519" s="37"/>
      <c r="S519" s="37"/>
      <c r="T519" s="31"/>
    </row>
    <row r="520" spans="1:20" s="23" customFormat="1">
      <c r="A520" s="31"/>
      <c r="B520" s="32"/>
      <c r="C520" s="33"/>
      <c r="D520" s="32" t="s">
        <v>1162</v>
      </c>
      <c r="E520" s="33" t="s">
        <v>54</v>
      </c>
      <c r="F520" s="34">
        <v>1</v>
      </c>
      <c r="G520" s="35">
        <v>0</v>
      </c>
      <c r="H520" s="35">
        <v>0</v>
      </c>
      <c r="I520" s="35">
        <f>Tabla1[[#This Row],[P.U. M.N.]]*Tabla1[[#This Row],[CANTIDADES DE REFERENCIA]]</f>
        <v>0</v>
      </c>
      <c r="J520" s="35">
        <f>Tabla1[[#This Row],[P.U. USD]]*Tabla1[[#This Row],[CANTIDADES DE REFERENCIA]]</f>
        <v>0</v>
      </c>
      <c r="K520" s="36"/>
      <c r="L520" s="36"/>
      <c r="M520" s="36"/>
      <c r="N520" s="37" t="s">
        <v>1059</v>
      </c>
      <c r="O520" s="37" t="s">
        <v>1060</v>
      </c>
      <c r="P520" s="40"/>
      <c r="Q520" s="37" t="s">
        <v>1163</v>
      </c>
      <c r="R520" s="37" t="s">
        <v>58</v>
      </c>
      <c r="S520" s="37"/>
      <c r="T520" s="31"/>
    </row>
    <row r="521" spans="1:20" s="23" customFormat="1">
      <c r="A521" s="31"/>
      <c r="B521" s="32"/>
      <c r="C521" s="33"/>
      <c r="D521" s="32" t="s">
        <v>1164</v>
      </c>
      <c r="E521" s="33" t="s">
        <v>54</v>
      </c>
      <c r="F521" s="34">
        <v>1</v>
      </c>
      <c r="G521" s="35">
        <v>0</v>
      </c>
      <c r="H521" s="35">
        <v>0</v>
      </c>
      <c r="I521" s="35">
        <f>Tabla1[[#This Row],[P.U. M.N.]]*Tabla1[[#This Row],[CANTIDADES DE REFERENCIA]]</f>
        <v>0</v>
      </c>
      <c r="J521" s="35">
        <f>Tabla1[[#This Row],[P.U. USD]]*Tabla1[[#This Row],[CANTIDADES DE REFERENCIA]]</f>
        <v>0</v>
      </c>
      <c r="K521" s="36"/>
      <c r="L521" s="36"/>
      <c r="M521" s="36"/>
      <c r="N521" s="37" t="s">
        <v>1059</v>
      </c>
      <c r="O521" s="37" t="s">
        <v>1060</v>
      </c>
      <c r="P521" s="40"/>
      <c r="Q521" s="37" t="s">
        <v>1165</v>
      </c>
      <c r="R521" s="37" t="s">
        <v>58</v>
      </c>
      <c r="S521" s="37"/>
      <c r="T521" s="31"/>
    </row>
    <row r="522" spans="1:20">
      <c r="A522" s="31"/>
      <c r="B522" s="32"/>
      <c r="C522" s="33"/>
      <c r="D522" s="32" t="s">
        <v>1166</v>
      </c>
      <c r="E522" s="33" t="s">
        <v>135</v>
      </c>
      <c r="F522" s="34">
        <v>1</v>
      </c>
      <c r="G522" s="35">
        <v>0</v>
      </c>
      <c r="H522" s="35">
        <v>0</v>
      </c>
      <c r="I522" s="35">
        <f>Tabla1[[#This Row],[P.U. M.N.]]*Tabla1[[#This Row],[CANTIDADES DE REFERENCIA]]</f>
        <v>0</v>
      </c>
      <c r="J522" s="35">
        <f>Tabla1[[#This Row],[P.U. USD]]*Tabla1[[#This Row],[CANTIDADES DE REFERENCIA]]</f>
        <v>0</v>
      </c>
      <c r="K522" s="36"/>
      <c r="L522" s="36"/>
      <c r="M522" s="36"/>
      <c r="N522" s="37" t="s">
        <v>1059</v>
      </c>
      <c r="O522" s="37" t="s">
        <v>1060</v>
      </c>
      <c r="P522" s="39"/>
      <c r="Q522" s="37" t="s">
        <v>1167</v>
      </c>
      <c r="R522" s="37"/>
      <c r="S522" s="37"/>
      <c r="T522" s="31"/>
    </row>
    <row r="523" spans="1:20">
      <c r="A523" s="31"/>
      <c r="B523" s="32"/>
      <c r="C523" s="33"/>
      <c r="D523" s="32" t="s">
        <v>1168</v>
      </c>
      <c r="E523" s="33" t="s">
        <v>135</v>
      </c>
      <c r="F523" s="34">
        <v>1</v>
      </c>
      <c r="G523" s="35">
        <v>0</v>
      </c>
      <c r="H523" s="35">
        <v>0</v>
      </c>
      <c r="I523" s="35">
        <f>Tabla1[[#This Row],[P.U. M.N.]]*Tabla1[[#This Row],[CANTIDADES DE REFERENCIA]]</f>
        <v>0</v>
      </c>
      <c r="J523" s="35">
        <f>Tabla1[[#This Row],[P.U. USD]]*Tabla1[[#This Row],[CANTIDADES DE REFERENCIA]]</f>
        <v>0</v>
      </c>
      <c r="K523" s="36"/>
      <c r="L523" s="36"/>
      <c r="M523" s="36"/>
      <c r="N523" s="37" t="s">
        <v>1059</v>
      </c>
      <c r="O523" s="37" t="s">
        <v>1060</v>
      </c>
      <c r="P523" s="39"/>
      <c r="Q523" s="37" t="s">
        <v>1169</v>
      </c>
      <c r="R523" s="37"/>
      <c r="S523" s="37"/>
      <c r="T523" s="31"/>
    </row>
    <row r="524" spans="1:20" s="23" customFormat="1">
      <c r="A524" s="31"/>
      <c r="B524" s="32"/>
      <c r="C524" s="33"/>
      <c r="D524" s="32" t="s">
        <v>1170</v>
      </c>
      <c r="E524" s="33" t="s">
        <v>54</v>
      </c>
      <c r="F524" s="34">
        <v>1</v>
      </c>
      <c r="G524" s="35">
        <v>0</v>
      </c>
      <c r="H524" s="35">
        <v>0</v>
      </c>
      <c r="I524" s="35">
        <f>Tabla1[[#This Row],[P.U. M.N.]]*Tabla1[[#This Row],[CANTIDADES DE REFERENCIA]]</f>
        <v>0</v>
      </c>
      <c r="J524" s="35">
        <f>Tabla1[[#This Row],[P.U. USD]]*Tabla1[[#This Row],[CANTIDADES DE REFERENCIA]]</f>
        <v>0</v>
      </c>
      <c r="K524" s="36"/>
      <c r="L524" s="36"/>
      <c r="M524" s="36"/>
      <c r="N524" s="37" t="s">
        <v>1059</v>
      </c>
      <c r="O524" s="37" t="s">
        <v>1060</v>
      </c>
      <c r="P524" s="40"/>
      <c r="Q524" s="37" t="s">
        <v>1171</v>
      </c>
      <c r="R524" s="37" t="s">
        <v>58</v>
      </c>
      <c r="S524" s="37"/>
      <c r="T524" s="31"/>
    </row>
    <row r="525" spans="1:20">
      <c r="A525" s="31"/>
      <c r="B525" s="32"/>
      <c r="C525" s="33"/>
      <c r="D525" s="32" t="s">
        <v>1162</v>
      </c>
      <c r="E525" s="33" t="s">
        <v>116</v>
      </c>
      <c r="F525" s="34">
        <v>1</v>
      </c>
      <c r="G525" s="35">
        <v>0</v>
      </c>
      <c r="H525" s="35">
        <v>0</v>
      </c>
      <c r="I525" s="35">
        <f>Tabla1[[#This Row],[P.U. M.N.]]*Tabla1[[#This Row],[CANTIDADES DE REFERENCIA]]</f>
        <v>0</v>
      </c>
      <c r="J525" s="35">
        <f>Tabla1[[#This Row],[P.U. USD]]*Tabla1[[#This Row],[CANTIDADES DE REFERENCIA]]</f>
        <v>0</v>
      </c>
      <c r="K525" s="36"/>
      <c r="L525" s="36"/>
      <c r="M525" s="36"/>
      <c r="N525" s="37" t="s">
        <v>1059</v>
      </c>
      <c r="O525" s="37" t="s">
        <v>1060</v>
      </c>
      <c r="P525" s="39"/>
      <c r="Q525" s="37" t="s">
        <v>1172</v>
      </c>
      <c r="R525" s="37" t="s">
        <v>389</v>
      </c>
      <c r="S525" s="37"/>
      <c r="T525" s="31"/>
    </row>
    <row r="526" spans="1:20" s="23" customFormat="1">
      <c r="A526" s="31"/>
      <c r="B526" s="32"/>
      <c r="C526" s="33"/>
      <c r="D526" s="32" t="s">
        <v>1173</v>
      </c>
      <c r="E526" s="33" t="s">
        <v>42</v>
      </c>
      <c r="F526" s="34">
        <v>1</v>
      </c>
      <c r="G526" s="35">
        <v>0</v>
      </c>
      <c r="H526" s="35">
        <v>0</v>
      </c>
      <c r="I526" s="35">
        <f>Tabla1[[#This Row],[P.U. M.N.]]*Tabla1[[#This Row],[CANTIDADES DE REFERENCIA]]</f>
        <v>0</v>
      </c>
      <c r="J526" s="35">
        <f>Tabla1[[#This Row],[P.U. USD]]*Tabla1[[#This Row],[CANTIDADES DE REFERENCIA]]</f>
        <v>0</v>
      </c>
      <c r="K526" s="36"/>
      <c r="L526" s="36"/>
      <c r="M526" s="36"/>
      <c r="N526" s="37"/>
      <c r="O526" s="37"/>
      <c r="P526" s="40"/>
      <c r="Q526" s="37" t="s">
        <v>1174</v>
      </c>
      <c r="R526" s="37" t="s">
        <v>58</v>
      </c>
      <c r="S526" s="37"/>
      <c r="T526" s="31"/>
    </row>
    <row r="527" spans="1:20" s="23" customFormat="1">
      <c r="A527" s="31"/>
      <c r="B527" s="32"/>
      <c r="C527" s="33"/>
      <c r="D527" s="32" t="s">
        <v>1175</v>
      </c>
      <c r="E527" s="33" t="s">
        <v>116</v>
      </c>
      <c r="F527" s="34">
        <v>1</v>
      </c>
      <c r="G527" s="35">
        <v>0</v>
      </c>
      <c r="H527" s="35">
        <v>0</v>
      </c>
      <c r="I527" s="35">
        <f>Tabla1[[#This Row],[P.U. M.N.]]*Tabla1[[#This Row],[CANTIDADES DE REFERENCIA]]</f>
        <v>0</v>
      </c>
      <c r="J527" s="35">
        <f>Tabla1[[#This Row],[P.U. USD]]*Tabla1[[#This Row],[CANTIDADES DE REFERENCIA]]</f>
        <v>0</v>
      </c>
      <c r="K527" s="36"/>
      <c r="L527" s="36"/>
      <c r="M527" s="36"/>
      <c r="N527" s="37" t="s">
        <v>1176</v>
      </c>
      <c r="O527" s="37"/>
      <c r="P527" s="40"/>
      <c r="Q527" s="37" t="s">
        <v>1177</v>
      </c>
      <c r="R527" s="37" t="s">
        <v>58</v>
      </c>
      <c r="S527" s="37"/>
      <c r="T527" s="31"/>
    </row>
    <row r="528" spans="1:20" s="23" customFormat="1">
      <c r="A528" s="31"/>
      <c r="B528" s="32"/>
      <c r="C528" s="33"/>
      <c r="D528" s="32" t="s">
        <v>1178</v>
      </c>
      <c r="E528" s="33" t="s">
        <v>116</v>
      </c>
      <c r="F528" s="34">
        <v>1</v>
      </c>
      <c r="G528" s="35">
        <v>0</v>
      </c>
      <c r="H528" s="35">
        <v>0</v>
      </c>
      <c r="I528" s="35">
        <f>Tabla1[[#This Row],[P.U. M.N.]]*Tabla1[[#This Row],[CANTIDADES DE REFERENCIA]]</f>
        <v>0</v>
      </c>
      <c r="J528" s="35">
        <f>Tabla1[[#This Row],[P.U. USD]]*Tabla1[[#This Row],[CANTIDADES DE REFERENCIA]]</f>
        <v>0</v>
      </c>
      <c r="K528" s="36"/>
      <c r="L528" s="36"/>
      <c r="M528" s="36"/>
      <c r="N528" s="37" t="s">
        <v>1176</v>
      </c>
      <c r="O528" s="37"/>
      <c r="P528" s="40"/>
      <c r="Q528" s="37" t="s">
        <v>1179</v>
      </c>
      <c r="R528" s="37" t="s">
        <v>58</v>
      </c>
      <c r="S528" s="37"/>
      <c r="T528" s="31"/>
    </row>
    <row r="529" spans="1:20" s="23" customFormat="1">
      <c r="A529" s="31"/>
      <c r="B529" s="32"/>
      <c r="C529" s="33"/>
      <c r="D529" s="32" t="s">
        <v>1180</v>
      </c>
      <c r="E529" s="33" t="s">
        <v>116</v>
      </c>
      <c r="F529" s="34">
        <v>1</v>
      </c>
      <c r="G529" s="35">
        <v>0</v>
      </c>
      <c r="H529" s="35">
        <v>0</v>
      </c>
      <c r="I529" s="35">
        <f>Tabla1[[#This Row],[P.U. M.N.]]*Tabla1[[#This Row],[CANTIDADES DE REFERENCIA]]</f>
        <v>0</v>
      </c>
      <c r="J529" s="35">
        <f>Tabla1[[#This Row],[P.U. USD]]*Tabla1[[#This Row],[CANTIDADES DE REFERENCIA]]</f>
        <v>0</v>
      </c>
      <c r="K529" s="36"/>
      <c r="L529" s="36"/>
      <c r="M529" s="36"/>
      <c r="N529" s="37" t="s">
        <v>1176</v>
      </c>
      <c r="O529" s="37"/>
      <c r="P529" s="40"/>
      <c r="Q529" s="37" t="s">
        <v>1181</v>
      </c>
      <c r="R529" s="37" t="s">
        <v>58</v>
      </c>
      <c r="S529" s="37"/>
      <c r="T529" s="31"/>
    </row>
    <row r="530" spans="1:20" s="23" customFormat="1">
      <c r="A530" s="31"/>
      <c r="B530" s="32"/>
      <c r="C530" s="33"/>
      <c r="D530" s="32" t="s">
        <v>1182</v>
      </c>
      <c r="E530" s="33" t="s">
        <v>116</v>
      </c>
      <c r="F530" s="34">
        <v>1</v>
      </c>
      <c r="G530" s="35">
        <v>0</v>
      </c>
      <c r="H530" s="35">
        <v>0</v>
      </c>
      <c r="I530" s="35">
        <f>Tabla1[[#This Row],[P.U. M.N.]]*Tabla1[[#This Row],[CANTIDADES DE REFERENCIA]]</f>
        <v>0</v>
      </c>
      <c r="J530" s="35">
        <f>Tabla1[[#This Row],[P.U. USD]]*Tabla1[[#This Row],[CANTIDADES DE REFERENCIA]]</f>
        <v>0</v>
      </c>
      <c r="K530" s="36"/>
      <c r="L530" s="36"/>
      <c r="M530" s="36"/>
      <c r="N530" s="37" t="s">
        <v>1176</v>
      </c>
      <c r="O530" s="37"/>
      <c r="P530" s="40"/>
      <c r="Q530" s="37" t="s">
        <v>1183</v>
      </c>
      <c r="R530" s="37" t="s">
        <v>58</v>
      </c>
      <c r="S530" s="37"/>
      <c r="T530" s="31"/>
    </row>
    <row r="531" spans="1:20" s="23" customFormat="1">
      <c r="A531" s="31"/>
      <c r="B531" s="32"/>
      <c r="C531" s="33"/>
      <c r="D531" s="32" t="s">
        <v>1184</v>
      </c>
      <c r="E531" s="33" t="s">
        <v>116</v>
      </c>
      <c r="F531" s="34">
        <v>1</v>
      </c>
      <c r="G531" s="35">
        <v>0</v>
      </c>
      <c r="H531" s="35">
        <v>0</v>
      </c>
      <c r="I531" s="35">
        <f>Tabla1[[#This Row],[P.U. M.N.]]*Tabla1[[#This Row],[CANTIDADES DE REFERENCIA]]</f>
        <v>0</v>
      </c>
      <c r="J531" s="35">
        <f>Tabla1[[#This Row],[P.U. USD]]*Tabla1[[#This Row],[CANTIDADES DE REFERENCIA]]</f>
        <v>0</v>
      </c>
      <c r="K531" s="36"/>
      <c r="L531" s="36"/>
      <c r="M531" s="36"/>
      <c r="N531" s="37" t="s">
        <v>1176</v>
      </c>
      <c r="O531" s="37"/>
      <c r="P531" s="40"/>
      <c r="Q531" s="37" t="s">
        <v>1185</v>
      </c>
      <c r="R531" s="37" t="s">
        <v>58</v>
      </c>
      <c r="S531" s="37"/>
      <c r="T531" s="31"/>
    </row>
    <row r="532" spans="1:20" s="23" customFormat="1">
      <c r="A532" s="31"/>
      <c r="B532" s="32"/>
      <c r="C532" s="33"/>
      <c r="D532" s="32" t="s">
        <v>1186</v>
      </c>
      <c r="E532" s="33" t="s">
        <v>116</v>
      </c>
      <c r="F532" s="34">
        <v>1</v>
      </c>
      <c r="G532" s="35">
        <v>0</v>
      </c>
      <c r="H532" s="35">
        <v>0</v>
      </c>
      <c r="I532" s="35">
        <f>Tabla1[[#This Row],[P.U. M.N.]]*Tabla1[[#This Row],[CANTIDADES DE REFERENCIA]]</f>
        <v>0</v>
      </c>
      <c r="J532" s="35">
        <f>Tabla1[[#This Row],[P.U. USD]]*Tabla1[[#This Row],[CANTIDADES DE REFERENCIA]]</f>
        <v>0</v>
      </c>
      <c r="K532" s="36"/>
      <c r="L532" s="36"/>
      <c r="M532" s="36"/>
      <c r="N532" s="37" t="s">
        <v>1176</v>
      </c>
      <c r="O532" s="37"/>
      <c r="P532" s="40"/>
      <c r="Q532" s="37" t="s">
        <v>1187</v>
      </c>
      <c r="R532" s="37" t="s">
        <v>58</v>
      </c>
      <c r="S532" s="37"/>
      <c r="T532" s="31"/>
    </row>
    <row r="533" spans="1:20" s="23" customFormat="1">
      <c r="A533" s="31"/>
      <c r="B533" s="32"/>
      <c r="C533" s="33"/>
      <c r="D533" s="32" t="s">
        <v>1188</v>
      </c>
      <c r="E533" s="33" t="s">
        <v>116</v>
      </c>
      <c r="F533" s="34">
        <v>1</v>
      </c>
      <c r="G533" s="35">
        <v>0</v>
      </c>
      <c r="H533" s="35">
        <v>0</v>
      </c>
      <c r="I533" s="35">
        <f>Tabla1[[#This Row],[P.U. M.N.]]*Tabla1[[#This Row],[CANTIDADES DE REFERENCIA]]</f>
        <v>0</v>
      </c>
      <c r="J533" s="35">
        <f>Tabla1[[#This Row],[P.U. USD]]*Tabla1[[#This Row],[CANTIDADES DE REFERENCIA]]</f>
        <v>0</v>
      </c>
      <c r="K533" s="36"/>
      <c r="L533" s="36"/>
      <c r="M533" s="36"/>
      <c r="N533" s="37" t="s">
        <v>1176</v>
      </c>
      <c r="O533" s="37"/>
      <c r="P533" s="40"/>
      <c r="Q533" s="37" t="s">
        <v>1189</v>
      </c>
      <c r="R533" s="37" t="s">
        <v>58</v>
      </c>
      <c r="S533" s="37"/>
      <c r="T533" s="31"/>
    </row>
    <row r="534" spans="1:20" s="23" customFormat="1">
      <c r="A534" s="31"/>
      <c r="B534" s="32"/>
      <c r="C534" s="33"/>
      <c r="D534" s="32" t="s">
        <v>1190</v>
      </c>
      <c r="E534" s="33" t="s">
        <v>54</v>
      </c>
      <c r="F534" s="34">
        <v>1</v>
      </c>
      <c r="G534" s="35">
        <v>0</v>
      </c>
      <c r="H534" s="35">
        <v>0</v>
      </c>
      <c r="I534" s="35">
        <f>Tabla1[[#This Row],[P.U. M.N.]]*Tabla1[[#This Row],[CANTIDADES DE REFERENCIA]]</f>
        <v>0</v>
      </c>
      <c r="J534" s="35">
        <f>Tabla1[[#This Row],[P.U. USD]]*Tabla1[[#This Row],[CANTIDADES DE REFERENCIA]]</f>
        <v>0</v>
      </c>
      <c r="K534" s="36"/>
      <c r="L534" s="36"/>
      <c r="M534" s="36"/>
      <c r="N534" s="37" t="s">
        <v>1176</v>
      </c>
      <c r="O534" s="37"/>
      <c r="P534" s="40"/>
      <c r="Q534" s="37" t="s">
        <v>1191</v>
      </c>
      <c r="R534" s="37" t="s">
        <v>58</v>
      </c>
      <c r="S534" s="37"/>
      <c r="T534" s="31"/>
    </row>
    <row r="535" spans="1:20" s="23" customFormat="1">
      <c r="A535" s="31"/>
      <c r="B535" s="32"/>
      <c r="C535" s="33"/>
      <c r="D535" s="32" t="s">
        <v>1192</v>
      </c>
      <c r="E535" s="33" t="s">
        <v>54</v>
      </c>
      <c r="F535" s="34">
        <v>1</v>
      </c>
      <c r="G535" s="35">
        <v>0</v>
      </c>
      <c r="H535" s="35">
        <v>0</v>
      </c>
      <c r="I535" s="35">
        <f>Tabla1[[#This Row],[P.U. M.N.]]*Tabla1[[#This Row],[CANTIDADES DE REFERENCIA]]</f>
        <v>0</v>
      </c>
      <c r="J535" s="35">
        <f>Tabla1[[#This Row],[P.U. USD]]*Tabla1[[#This Row],[CANTIDADES DE REFERENCIA]]</f>
        <v>0</v>
      </c>
      <c r="K535" s="36"/>
      <c r="L535" s="36"/>
      <c r="M535" s="36"/>
      <c r="N535" s="37" t="s">
        <v>1176</v>
      </c>
      <c r="O535" s="37"/>
      <c r="P535" s="40"/>
      <c r="Q535" s="37" t="s">
        <v>1193</v>
      </c>
      <c r="R535" s="37" t="s">
        <v>58</v>
      </c>
      <c r="S535" s="37"/>
      <c r="T535" s="31"/>
    </row>
    <row r="536" spans="1:20" s="23" customFormat="1">
      <c r="A536" s="31"/>
      <c r="B536" s="32"/>
      <c r="C536" s="33"/>
      <c r="D536" s="32" t="s">
        <v>1194</v>
      </c>
      <c r="E536" s="33" t="s">
        <v>54</v>
      </c>
      <c r="F536" s="34">
        <v>1</v>
      </c>
      <c r="G536" s="35">
        <v>0</v>
      </c>
      <c r="H536" s="35">
        <v>0</v>
      </c>
      <c r="I536" s="35">
        <f>Tabla1[[#This Row],[P.U. M.N.]]*Tabla1[[#This Row],[CANTIDADES DE REFERENCIA]]</f>
        <v>0</v>
      </c>
      <c r="J536" s="35">
        <f>Tabla1[[#This Row],[P.U. USD]]*Tabla1[[#This Row],[CANTIDADES DE REFERENCIA]]</f>
        <v>0</v>
      </c>
      <c r="K536" s="36"/>
      <c r="L536" s="36"/>
      <c r="M536" s="36"/>
      <c r="N536" s="37" t="s">
        <v>1176</v>
      </c>
      <c r="O536" s="37"/>
      <c r="P536" s="40"/>
      <c r="Q536" s="37" t="s">
        <v>1195</v>
      </c>
      <c r="R536" s="37" t="s">
        <v>58</v>
      </c>
      <c r="S536" s="37"/>
      <c r="T536" s="31"/>
    </row>
    <row r="537" spans="1:20" s="23" customFormat="1">
      <c r="A537" s="31"/>
      <c r="B537" s="32"/>
      <c r="C537" s="33"/>
      <c r="D537" s="32" t="s">
        <v>1196</v>
      </c>
      <c r="E537" s="33" t="s">
        <v>54</v>
      </c>
      <c r="F537" s="34">
        <v>1</v>
      </c>
      <c r="G537" s="35">
        <v>0</v>
      </c>
      <c r="H537" s="35">
        <v>0</v>
      </c>
      <c r="I537" s="35">
        <f>Tabla1[[#This Row],[P.U. M.N.]]*Tabla1[[#This Row],[CANTIDADES DE REFERENCIA]]</f>
        <v>0</v>
      </c>
      <c r="J537" s="35">
        <f>Tabla1[[#This Row],[P.U. USD]]*Tabla1[[#This Row],[CANTIDADES DE REFERENCIA]]</f>
        <v>0</v>
      </c>
      <c r="K537" s="36"/>
      <c r="L537" s="36"/>
      <c r="M537" s="36"/>
      <c r="N537" s="37" t="s">
        <v>1176</v>
      </c>
      <c r="O537" s="37"/>
      <c r="P537" s="40"/>
      <c r="Q537" s="37" t="s">
        <v>1197</v>
      </c>
      <c r="R537" s="37" t="s">
        <v>58</v>
      </c>
      <c r="S537" s="37"/>
      <c r="T537" s="31"/>
    </row>
    <row r="538" spans="1:20" s="23" customFormat="1">
      <c r="A538" s="31"/>
      <c r="B538" s="32"/>
      <c r="C538" s="33"/>
      <c r="D538" s="32" t="s">
        <v>1198</v>
      </c>
      <c r="E538" s="33" t="s">
        <v>116</v>
      </c>
      <c r="F538" s="34">
        <v>1</v>
      </c>
      <c r="G538" s="35">
        <v>0</v>
      </c>
      <c r="H538" s="35">
        <v>0</v>
      </c>
      <c r="I538" s="35">
        <f>Tabla1[[#This Row],[P.U. M.N.]]*Tabla1[[#This Row],[CANTIDADES DE REFERENCIA]]</f>
        <v>0</v>
      </c>
      <c r="J538" s="35">
        <f>Tabla1[[#This Row],[P.U. USD]]*Tabla1[[#This Row],[CANTIDADES DE REFERENCIA]]</f>
        <v>0</v>
      </c>
      <c r="K538" s="36"/>
      <c r="L538" s="36"/>
      <c r="M538" s="36"/>
      <c r="N538" s="37" t="s">
        <v>1176</v>
      </c>
      <c r="O538" s="37"/>
      <c r="P538" s="40"/>
      <c r="Q538" s="37" t="s">
        <v>1199</v>
      </c>
      <c r="R538" s="37" t="s">
        <v>58</v>
      </c>
      <c r="S538" s="37"/>
      <c r="T538" s="31"/>
    </row>
    <row r="539" spans="1:20" s="23" customFormat="1">
      <c r="A539" s="31"/>
      <c r="B539" s="32"/>
      <c r="C539" s="33"/>
      <c r="D539" s="32" t="s">
        <v>1200</v>
      </c>
      <c r="E539" s="33" t="s">
        <v>116</v>
      </c>
      <c r="F539" s="34">
        <v>1</v>
      </c>
      <c r="G539" s="35">
        <v>0</v>
      </c>
      <c r="H539" s="35">
        <v>0</v>
      </c>
      <c r="I539" s="35">
        <f>Tabla1[[#This Row],[P.U. M.N.]]*Tabla1[[#This Row],[CANTIDADES DE REFERENCIA]]</f>
        <v>0</v>
      </c>
      <c r="J539" s="35">
        <f>Tabla1[[#This Row],[P.U. USD]]*Tabla1[[#This Row],[CANTIDADES DE REFERENCIA]]</f>
        <v>0</v>
      </c>
      <c r="K539" s="36"/>
      <c r="L539" s="36"/>
      <c r="M539" s="36"/>
      <c r="N539" s="37" t="s">
        <v>1176</v>
      </c>
      <c r="O539" s="37"/>
      <c r="P539" s="40"/>
      <c r="Q539" s="37" t="s">
        <v>1201</v>
      </c>
      <c r="R539" s="37" t="s">
        <v>58</v>
      </c>
      <c r="S539" s="37"/>
      <c r="T539" s="31"/>
    </row>
    <row r="540" spans="1:20" s="23" customFormat="1">
      <c r="A540" s="31"/>
      <c r="B540" s="32"/>
      <c r="C540" s="33"/>
      <c r="D540" s="32" t="s">
        <v>1202</v>
      </c>
      <c r="E540" s="33" t="s">
        <v>116</v>
      </c>
      <c r="F540" s="34">
        <v>1</v>
      </c>
      <c r="G540" s="35">
        <v>0</v>
      </c>
      <c r="H540" s="35">
        <v>0</v>
      </c>
      <c r="I540" s="35">
        <f>Tabla1[[#This Row],[P.U. M.N.]]*Tabla1[[#This Row],[CANTIDADES DE REFERENCIA]]</f>
        <v>0</v>
      </c>
      <c r="J540" s="35">
        <f>Tabla1[[#This Row],[P.U. USD]]*Tabla1[[#This Row],[CANTIDADES DE REFERENCIA]]</f>
        <v>0</v>
      </c>
      <c r="K540" s="36"/>
      <c r="L540" s="36"/>
      <c r="M540" s="36"/>
      <c r="N540" s="37" t="s">
        <v>1176</v>
      </c>
      <c r="O540" s="37"/>
      <c r="P540" s="40"/>
      <c r="Q540" s="37" t="s">
        <v>1203</v>
      </c>
      <c r="R540" s="37" t="s">
        <v>58</v>
      </c>
      <c r="S540" s="37"/>
      <c r="T540" s="31"/>
    </row>
    <row r="541" spans="1:20" s="23" customFormat="1">
      <c r="A541" s="31"/>
      <c r="B541" s="32"/>
      <c r="C541" s="33"/>
      <c r="D541" s="32" t="s">
        <v>1204</v>
      </c>
      <c r="E541" s="33" t="s">
        <v>116</v>
      </c>
      <c r="F541" s="34">
        <v>1</v>
      </c>
      <c r="G541" s="35">
        <v>0</v>
      </c>
      <c r="H541" s="35">
        <v>0</v>
      </c>
      <c r="I541" s="35">
        <f>Tabla1[[#This Row],[P.U. M.N.]]*Tabla1[[#This Row],[CANTIDADES DE REFERENCIA]]</f>
        <v>0</v>
      </c>
      <c r="J541" s="35">
        <f>Tabla1[[#This Row],[P.U. USD]]*Tabla1[[#This Row],[CANTIDADES DE REFERENCIA]]</f>
        <v>0</v>
      </c>
      <c r="K541" s="36"/>
      <c r="L541" s="36"/>
      <c r="M541" s="36"/>
      <c r="N541" s="37" t="s">
        <v>1176</v>
      </c>
      <c r="O541" s="37"/>
      <c r="P541" s="40"/>
      <c r="Q541" s="37" t="s">
        <v>1205</v>
      </c>
      <c r="R541" s="37" t="s">
        <v>58</v>
      </c>
      <c r="S541" s="37"/>
      <c r="T541" s="31"/>
    </row>
    <row r="542" spans="1:20" s="23" customFormat="1">
      <c r="A542" s="31"/>
      <c r="B542" s="32"/>
      <c r="C542" s="33"/>
      <c r="D542" s="32" t="s">
        <v>1206</v>
      </c>
      <c r="E542" s="33" t="s">
        <v>116</v>
      </c>
      <c r="F542" s="34">
        <v>1</v>
      </c>
      <c r="G542" s="35">
        <v>0</v>
      </c>
      <c r="H542" s="35">
        <v>0</v>
      </c>
      <c r="I542" s="35">
        <f>Tabla1[[#This Row],[P.U. M.N.]]*Tabla1[[#This Row],[CANTIDADES DE REFERENCIA]]</f>
        <v>0</v>
      </c>
      <c r="J542" s="35">
        <f>Tabla1[[#This Row],[P.U. USD]]*Tabla1[[#This Row],[CANTIDADES DE REFERENCIA]]</f>
        <v>0</v>
      </c>
      <c r="K542" s="36"/>
      <c r="L542" s="36"/>
      <c r="M542" s="36"/>
      <c r="N542" s="37" t="s">
        <v>1176</v>
      </c>
      <c r="O542" s="37"/>
      <c r="P542" s="40"/>
      <c r="Q542" s="37" t="s">
        <v>1207</v>
      </c>
      <c r="R542" s="37" t="s">
        <v>58</v>
      </c>
      <c r="S542" s="37"/>
      <c r="T542" s="31"/>
    </row>
    <row r="543" spans="1:20" s="23" customFormat="1">
      <c r="A543" s="31"/>
      <c r="B543" s="32"/>
      <c r="C543" s="33"/>
      <c r="D543" s="32" t="s">
        <v>1208</v>
      </c>
      <c r="E543" s="33" t="s">
        <v>116</v>
      </c>
      <c r="F543" s="34">
        <v>1</v>
      </c>
      <c r="G543" s="35">
        <v>0</v>
      </c>
      <c r="H543" s="35">
        <v>0</v>
      </c>
      <c r="I543" s="35">
        <f>Tabla1[[#This Row],[P.U. M.N.]]*Tabla1[[#This Row],[CANTIDADES DE REFERENCIA]]</f>
        <v>0</v>
      </c>
      <c r="J543" s="35">
        <f>Tabla1[[#This Row],[P.U. USD]]*Tabla1[[#This Row],[CANTIDADES DE REFERENCIA]]</f>
        <v>0</v>
      </c>
      <c r="K543" s="36"/>
      <c r="L543" s="36"/>
      <c r="M543" s="36"/>
      <c r="N543" s="37" t="s">
        <v>1176</v>
      </c>
      <c r="O543" s="37"/>
      <c r="P543" s="40"/>
      <c r="Q543" s="37" t="s">
        <v>1209</v>
      </c>
      <c r="R543" s="37" t="s">
        <v>58</v>
      </c>
      <c r="S543" s="37"/>
      <c r="T543" s="31"/>
    </row>
    <row r="544" spans="1:20" s="23" customFormat="1">
      <c r="A544" s="31"/>
      <c r="B544" s="32"/>
      <c r="C544" s="33"/>
      <c r="D544" s="32" t="s">
        <v>1210</v>
      </c>
      <c r="E544" s="33" t="s">
        <v>135</v>
      </c>
      <c r="F544" s="34">
        <v>1</v>
      </c>
      <c r="G544" s="35">
        <v>0</v>
      </c>
      <c r="H544" s="35">
        <v>0</v>
      </c>
      <c r="I544" s="35">
        <f>Tabla1[[#This Row],[P.U. M.N.]]*Tabla1[[#This Row],[CANTIDADES DE REFERENCIA]]</f>
        <v>0</v>
      </c>
      <c r="J544" s="35">
        <f>Tabla1[[#This Row],[P.U. USD]]*Tabla1[[#This Row],[CANTIDADES DE REFERENCIA]]</f>
        <v>0</v>
      </c>
      <c r="K544" s="36"/>
      <c r="L544" s="36"/>
      <c r="M544" s="36"/>
      <c r="N544" s="37" t="s">
        <v>1176</v>
      </c>
      <c r="O544" s="37"/>
      <c r="P544" s="40"/>
      <c r="Q544" s="37" t="s">
        <v>1211</v>
      </c>
      <c r="R544" s="37" t="s">
        <v>58</v>
      </c>
      <c r="S544" s="37"/>
      <c r="T544" s="31"/>
    </row>
    <row r="545" spans="1:20" s="23" customFormat="1">
      <c r="A545" s="31"/>
      <c r="B545" s="32"/>
      <c r="C545" s="33"/>
      <c r="D545" s="32" t="s">
        <v>1212</v>
      </c>
      <c r="E545" s="33" t="s">
        <v>135</v>
      </c>
      <c r="F545" s="34">
        <v>1</v>
      </c>
      <c r="G545" s="35">
        <v>0</v>
      </c>
      <c r="H545" s="35">
        <v>0</v>
      </c>
      <c r="I545" s="35">
        <f>Tabla1[[#This Row],[P.U. M.N.]]*Tabla1[[#This Row],[CANTIDADES DE REFERENCIA]]</f>
        <v>0</v>
      </c>
      <c r="J545" s="35">
        <f>Tabla1[[#This Row],[P.U. USD]]*Tabla1[[#This Row],[CANTIDADES DE REFERENCIA]]</f>
        <v>0</v>
      </c>
      <c r="K545" s="36"/>
      <c r="L545" s="36"/>
      <c r="M545" s="36"/>
      <c r="N545" s="37" t="s">
        <v>1176</v>
      </c>
      <c r="O545" s="37"/>
      <c r="P545" s="40"/>
      <c r="Q545" s="37" t="s">
        <v>1213</v>
      </c>
      <c r="R545" s="37" t="s">
        <v>58</v>
      </c>
      <c r="S545" s="37"/>
      <c r="T545" s="31"/>
    </row>
    <row r="546" spans="1:20" s="23" customFormat="1">
      <c r="A546" s="31"/>
      <c r="B546" s="32"/>
      <c r="C546" s="33"/>
      <c r="D546" s="32" t="s">
        <v>1214</v>
      </c>
      <c r="E546" s="33" t="s">
        <v>116</v>
      </c>
      <c r="F546" s="34">
        <v>1</v>
      </c>
      <c r="G546" s="35">
        <v>0</v>
      </c>
      <c r="H546" s="35">
        <v>0</v>
      </c>
      <c r="I546" s="35">
        <f>Tabla1[[#This Row],[P.U. M.N.]]*Tabla1[[#This Row],[CANTIDADES DE REFERENCIA]]</f>
        <v>0</v>
      </c>
      <c r="J546" s="35">
        <f>Tabla1[[#This Row],[P.U. USD]]*Tabla1[[#This Row],[CANTIDADES DE REFERENCIA]]</f>
        <v>0</v>
      </c>
      <c r="K546" s="36"/>
      <c r="L546" s="36"/>
      <c r="M546" s="36"/>
      <c r="N546" s="37" t="s">
        <v>1176</v>
      </c>
      <c r="O546" s="37"/>
      <c r="P546" s="40"/>
      <c r="Q546" s="37" t="s">
        <v>1215</v>
      </c>
      <c r="R546" s="37" t="s">
        <v>58</v>
      </c>
      <c r="S546" s="37"/>
      <c r="T546" s="31"/>
    </row>
    <row r="547" spans="1:20" s="23" customFormat="1">
      <c r="A547" s="31"/>
      <c r="B547" s="32"/>
      <c r="C547" s="33"/>
      <c r="D547" s="32" t="s">
        <v>1216</v>
      </c>
      <c r="E547" s="33" t="s">
        <v>116</v>
      </c>
      <c r="F547" s="34">
        <v>1</v>
      </c>
      <c r="G547" s="35">
        <v>0</v>
      </c>
      <c r="H547" s="35">
        <v>0</v>
      </c>
      <c r="I547" s="35">
        <f>Tabla1[[#This Row],[P.U. M.N.]]*Tabla1[[#This Row],[CANTIDADES DE REFERENCIA]]</f>
        <v>0</v>
      </c>
      <c r="J547" s="35">
        <f>Tabla1[[#This Row],[P.U. USD]]*Tabla1[[#This Row],[CANTIDADES DE REFERENCIA]]</f>
        <v>0</v>
      </c>
      <c r="K547" s="36"/>
      <c r="L547" s="36"/>
      <c r="M547" s="36"/>
      <c r="N547" s="37" t="s">
        <v>1176</v>
      </c>
      <c r="O547" s="37"/>
      <c r="P547" s="40"/>
      <c r="Q547" s="37" t="s">
        <v>1217</v>
      </c>
      <c r="R547" s="37" t="s">
        <v>58</v>
      </c>
      <c r="S547" s="37"/>
      <c r="T547" s="31"/>
    </row>
    <row r="548" spans="1:20" s="23" customFormat="1">
      <c r="A548" s="31"/>
      <c r="B548" s="32"/>
      <c r="C548" s="33"/>
      <c r="D548" s="32" t="s">
        <v>1218</v>
      </c>
      <c r="E548" s="33" t="s">
        <v>116</v>
      </c>
      <c r="F548" s="34">
        <v>1</v>
      </c>
      <c r="G548" s="35">
        <v>0</v>
      </c>
      <c r="H548" s="35">
        <v>0</v>
      </c>
      <c r="I548" s="35">
        <f>Tabla1[[#This Row],[P.U. M.N.]]*Tabla1[[#This Row],[CANTIDADES DE REFERENCIA]]</f>
        <v>0</v>
      </c>
      <c r="J548" s="35">
        <f>Tabla1[[#This Row],[P.U. USD]]*Tabla1[[#This Row],[CANTIDADES DE REFERENCIA]]</f>
        <v>0</v>
      </c>
      <c r="K548" s="36"/>
      <c r="L548" s="36"/>
      <c r="M548" s="36"/>
      <c r="N548" s="37" t="s">
        <v>1176</v>
      </c>
      <c r="O548" s="37"/>
      <c r="P548" s="40"/>
      <c r="Q548" s="37" t="s">
        <v>1219</v>
      </c>
      <c r="R548" s="37" t="s">
        <v>58</v>
      </c>
      <c r="S548" s="37"/>
      <c r="T548" s="31"/>
    </row>
    <row r="549" spans="1:20" s="23" customFormat="1">
      <c r="A549" s="31"/>
      <c r="B549" s="32"/>
      <c r="C549" s="33"/>
      <c r="D549" s="32" t="s">
        <v>1220</v>
      </c>
      <c r="E549" s="33" t="s">
        <v>116</v>
      </c>
      <c r="F549" s="34">
        <v>1</v>
      </c>
      <c r="G549" s="35">
        <v>0</v>
      </c>
      <c r="H549" s="35">
        <v>0</v>
      </c>
      <c r="I549" s="35">
        <f>Tabla1[[#This Row],[P.U. M.N.]]*Tabla1[[#This Row],[CANTIDADES DE REFERENCIA]]</f>
        <v>0</v>
      </c>
      <c r="J549" s="35">
        <f>Tabla1[[#This Row],[P.U. USD]]*Tabla1[[#This Row],[CANTIDADES DE REFERENCIA]]</f>
        <v>0</v>
      </c>
      <c r="K549" s="36"/>
      <c r="L549" s="36"/>
      <c r="M549" s="36"/>
      <c r="N549" s="37" t="s">
        <v>1176</v>
      </c>
      <c r="O549" s="37"/>
      <c r="P549" s="40"/>
      <c r="Q549" s="37" t="s">
        <v>1221</v>
      </c>
      <c r="R549" s="37" t="s">
        <v>58</v>
      </c>
      <c r="S549" s="37"/>
      <c r="T549" s="31"/>
    </row>
    <row r="550" spans="1:20" s="23" customFormat="1">
      <c r="A550" s="31"/>
      <c r="B550" s="32"/>
      <c r="C550" s="33"/>
      <c r="D550" s="32" t="s">
        <v>1222</v>
      </c>
      <c r="E550" s="33" t="s">
        <v>116</v>
      </c>
      <c r="F550" s="34">
        <v>1</v>
      </c>
      <c r="G550" s="35">
        <v>0</v>
      </c>
      <c r="H550" s="35">
        <v>0</v>
      </c>
      <c r="I550" s="35">
        <f>Tabla1[[#This Row],[P.U. M.N.]]*Tabla1[[#This Row],[CANTIDADES DE REFERENCIA]]</f>
        <v>0</v>
      </c>
      <c r="J550" s="35">
        <f>Tabla1[[#This Row],[P.U. USD]]*Tabla1[[#This Row],[CANTIDADES DE REFERENCIA]]</f>
        <v>0</v>
      </c>
      <c r="K550" s="36"/>
      <c r="L550" s="36"/>
      <c r="M550" s="36"/>
      <c r="N550" s="37" t="s">
        <v>1176</v>
      </c>
      <c r="O550" s="37"/>
      <c r="P550" s="40"/>
      <c r="Q550" s="37" t="s">
        <v>1223</v>
      </c>
      <c r="R550" s="37" t="s">
        <v>58</v>
      </c>
      <c r="S550" s="37"/>
      <c r="T550" s="31"/>
    </row>
    <row r="551" spans="1:20" s="23" customFormat="1">
      <c r="A551" s="31"/>
      <c r="B551" s="32"/>
      <c r="C551" s="33"/>
      <c r="D551" s="32" t="s">
        <v>1224</v>
      </c>
      <c r="E551" s="33" t="s">
        <v>116</v>
      </c>
      <c r="F551" s="34">
        <v>1</v>
      </c>
      <c r="G551" s="35">
        <v>0</v>
      </c>
      <c r="H551" s="35">
        <v>0</v>
      </c>
      <c r="I551" s="35">
        <f>Tabla1[[#This Row],[P.U. M.N.]]*Tabla1[[#This Row],[CANTIDADES DE REFERENCIA]]</f>
        <v>0</v>
      </c>
      <c r="J551" s="35">
        <f>Tabla1[[#This Row],[P.U. USD]]*Tabla1[[#This Row],[CANTIDADES DE REFERENCIA]]</f>
        <v>0</v>
      </c>
      <c r="K551" s="36"/>
      <c r="L551" s="36"/>
      <c r="M551" s="36"/>
      <c r="N551" s="37" t="s">
        <v>1176</v>
      </c>
      <c r="O551" s="37"/>
      <c r="P551" s="40"/>
      <c r="Q551" s="37" t="s">
        <v>1225</v>
      </c>
      <c r="R551" s="37" t="s">
        <v>58</v>
      </c>
      <c r="S551" s="37"/>
      <c r="T551" s="31"/>
    </row>
    <row r="552" spans="1:20" s="23" customFormat="1">
      <c r="A552" s="31"/>
      <c r="B552" s="32"/>
      <c r="C552" s="33"/>
      <c r="D552" s="32" t="s">
        <v>1226</v>
      </c>
      <c r="E552" s="33" t="s">
        <v>116</v>
      </c>
      <c r="F552" s="34">
        <v>1</v>
      </c>
      <c r="G552" s="35">
        <v>0</v>
      </c>
      <c r="H552" s="35">
        <v>0</v>
      </c>
      <c r="I552" s="35">
        <f>Tabla1[[#This Row],[P.U. M.N.]]*Tabla1[[#This Row],[CANTIDADES DE REFERENCIA]]</f>
        <v>0</v>
      </c>
      <c r="J552" s="35">
        <f>Tabla1[[#This Row],[P.U. USD]]*Tabla1[[#This Row],[CANTIDADES DE REFERENCIA]]</f>
        <v>0</v>
      </c>
      <c r="K552" s="36"/>
      <c r="L552" s="36"/>
      <c r="M552" s="36"/>
      <c r="N552" s="37" t="s">
        <v>1176</v>
      </c>
      <c r="O552" s="37"/>
      <c r="P552" s="40"/>
      <c r="Q552" s="37" t="s">
        <v>1227</v>
      </c>
      <c r="R552" s="37" t="s">
        <v>58</v>
      </c>
      <c r="S552" s="37"/>
      <c r="T552" s="31"/>
    </row>
    <row r="553" spans="1:20" s="23" customFormat="1">
      <c r="A553" s="31"/>
      <c r="B553" s="32"/>
      <c r="C553" s="33"/>
      <c r="D553" s="32" t="s">
        <v>1228</v>
      </c>
      <c r="E553" s="33" t="s">
        <v>116</v>
      </c>
      <c r="F553" s="34">
        <v>1</v>
      </c>
      <c r="G553" s="35">
        <v>0</v>
      </c>
      <c r="H553" s="35">
        <v>0</v>
      </c>
      <c r="I553" s="35">
        <f>Tabla1[[#This Row],[P.U. M.N.]]*Tabla1[[#This Row],[CANTIDADES DE REFERENCIA]]</f>
        <v>0</v>
      </c>
      <c r="J553" s="35">
        <f>Tabla1[[#This Row],[P.U. USD]]*Tabla1[[#This Row],[CANTIDADES DE REFERENCIA]]</f>
        <v>0</v>
      </c>
      <c r="K553" s="36"/>
      <c r="L553" s="36"/>
      <c r="M553" s="36"/>
      <c r="N553" s="37" t="s">
        <v>1176</v>
      </c>
      <c r="O553" s="37"/>
      <c r="P553" s="40"/>
      <c r="Q553" s="37" t="s">
        <v>1229</v>
      </c>
      <c r="R553" s="37" t="s">
        <v>58</v>
      </c>
      <c r="S553" s="37"/>
      <c r="T553" s="31"/>
    </row>
    <row r="554" spans="1:20" s="23" customFormat="1">
      <c r="A554" s="31"/>
      <c r="B554" s="32"/>
      <c r="C554" s="33"/>
      <c r="D554" s="32" t="s">
        <v>1230</v>
      </c>
      <c r="E554" s="33" t="s">
        <v>116</v>
      </c>
      <c r="F554" s="34">
        <v>1</v>
      </c>
      <c r="G554" s="35">
        <v>0</v>
      </c>
      <c r="H554" s="35">
        <v>0</v>
      </c>
      <c r="I554" s="35">
        <f>Tabla1[[#This Row],[P.U. M.N.]]*Tabla1[[#This Row],[CANTIDADES DE REFERENCIA]]</f>
        <v>0</v>
      </c>
      <c r="J554" s="35">
        <f>Tabla1[[#This Row],[P.U. USD]]*Tabla1[[#This Row],[CANTIDADES DE REFERENCIA]]</f>
        <v>0</v>
      </c>
      <c r="K554" s="36"/>
      <c r="L554" s="36"/>
      <c r="M554" s="36"/>
      <c r="N554" s="37" t="s">
        <v>1176</v>
      </c>
      <c r="O554" s="37"/>
      <c r="P554" s="40"/>
      <c r="Q554" s="37" t="s">
        <v>1231</v>
      </c>
      <c r="R554" s="37" t="s">
        <v>58</v>
      </c>
      <c r="S554" s="37"/>
      <c r="T554" s="31"/>
    </row>
    <row r="555" spans="1:20" s="23" customFormat="1">
      <c r="A555" s="31"/>
      <c r="B555" s="32"/>
      <c r="C555" s="33"/>
      <c r="D555" s="32" t="s">
        <v>1232</v>
      </c>
      <c r="E555" s="33" t="s">
        <v>116</v>
      </c>
      <c r="F555" s="34">
        <v>1</v>
      </c>
      <c r="G555" s="35">
        <v>0</v>
      </c>
      <c r="H555" s="35">
        <v>0</v>
      </c>
      <c r="I555" s="35">
        <f>Tabla1[[#This Row],[P.U. M.N.]]*Tabla1[[#This Row],[CANTIDADES DE REFERENCIA]]</f>
        <v>0</v>
      </c>
      <c r="J555" s="35">
        <f>Tabla1[[#This Row],[P.U. USD]]*Tabla1[[#This Row],[CANTIDADES DE REFERENCIA]]</f>
        <v>0</v>
      </c>
      <c r="K555" s="36"/>
      <c r="L555" s="36"/>
      <c r="M555" s="36"/>
      <c r="N555" s="37" t="s">
        <v>1176</v>
      </c>
      <c r="O555" s="37"/>
      <c r="P555" s="40"/>
      <c r="Q555" s="37" t="s">
        <v>1233</v>
      </c>
      <c r="R555" s="37" t="s">
        <v>58</v>
      </c>
      <c r="S555" s="37"/>
      <c r="T555" s="31"/>
    </row>
    <row r="556" spans="1:20" s="23" customFormat="1">
      <c r="A556" s="31"/>
      <c r="B556" s="32"/>
      <c r="C556" s="33"/>
      <c r="D556" s="32" t="s">
        <v>1234</v>
      </c>
      <c r="E556" s="33" t="s">
        <v>116</v>
      </c>
      <c r="F556" s="34">
        <v>1</v>
      </c>
      <c r="G556" s="35">
        <v>0</v>
      </c>
      <c r="H556" s="35">
        <v>0</v>
      </c>
      <c r="I556" s="35">
        <f>Tabla1[[#This Row],[P.U. M.N.]]*Tabla1[[#This Row],[CANTIDADES DE REFERENCIA]]</f>
        <v>0</v>
      </c>
      <c r="J556" s="35">
        <f>Tabla1[[#This Row],[P.U. USD]]*Tabla1[[#This Row],[CANTIDADES DE REFERENCIA]]</f>
        <v>0</v>
      </c>
      <c r="K556" s="36"/>
      <c r="L556" s="36"/>
      <c r="M556" s="36"/>
      <c r="N556" s="37" t="s">
        <v>1176</v>
      </c>
      <c r="O556" s="37"/>
      <c r="P556" s="40"/>
      <c r="Q556" s="37" t="s">
        <v>1235</v>
      </c>
      <c r="R556" s="37" t="s">
        <v>58</v>
      </c>
      <c r="S556" s="37"/>
      <c r="T556" s="31"/>
    </row>
    <row r="557" spans="1:20" s="23" customFormat="1">
      <c r="A557" s="31"/>
      <c r="B557" s="32"/>
      <c r="C557" s="33"/>
      <c r="D557" s="32" t="s">
        <v>1236</v>
      </c>
      <c r="E557" s="33" t="s">
        <v>116</v>
      </c>
      <c r="F557" s="34">
        <v>1</v>
      </c>
      <c r="G557" s="35">
        <v>0</v>
      </c>
      <c r="H557" s="35">
        <v>0</v>
      </c>
      <c r="I557" s="35">
        <f>Tabla1[[#This Row],[P.U. M.N.]]*Tabla1[[#This Row],[CANTIDADES DE REFERENCIA]]</f>
        <v>0</v>
      </c>
      <c r="J557" s="35">
        <f>Tabla1[[#This Row],[P.U. USD]]*Tabla1[[#This Row],[CANTIDADES DE REFERENCIA]]</f>
        <v>0</v>
      </c>
      <c r="K557" s="36"/>
      <c r="L557" s="36"/>
      <c r="M557" s="36"/>
      <c r="N557" s="37" t="s">
        <v>1176</v>
      </c>
      <c r="O557" s="37"/>
      <c r="P557" s="40"/>
      <c r="Q557" s="37" t="s">
        <v>1237</v>
      </c>
      <c r="R557" s="37" t="s">
        <v>58</v>
      </c>
      <c r="S557" s="37"/>
      <c r="T557" s="31"/>
    </row>
    <row r="558" spans="1:20" s="23" customFormat="1">
      <c r="A558" s="31"/>
      <c r="B558" s="32"/>
      <c r="C558" s="33"/>
      <c r="D558" s="32" t="s">
        <v>1238</v>
      </c>
      <c r="E558" s="33" t="s">
        <v>116</v>
      </c>
      <c r="F558" s="34">
        <v>1</v>
      </c>
      <c r="G558" s="35">
        <v>0</v>
      </c>
      <c r="H558" s="35">
        <v>0</v>
      </c>
      <c r="I558" s="35">
        <f>Tabla1[[#This Row],[P.U. M.N.]]*Tabla1[[#This Row],[CANTIDADES DE REFERENCIA]]</f>
        <v>0</v>
      </c>
      <c r="J558" s="35">
        <f>Tabla1[[#This Row],[P.U. USD]]*Tabla1[[#This Row],[CANTIDADES DE REFERENCIA]]</f>
        <v>0</v>
      </c>
      <c r="K558" s="36"/>
      <c r="L558" s="36"/>
      <c r="M558" s="36"/>
      <c r="N558" s="37" t="s">
        <v>1176</v>
      </c>
      <c r="O558" s="37"/>
      <c r="P558" s="40"/>
      <c r="Q558" s="37" t="s">
        <v>1239</v>
      </c>
      <c r="R558" s="37" t="s">
        <v>58</v>
      </c>
      <c r="S558" s="37"/>
      <c r="T558" s="31"/>
    </row>
    <row r="559" spans="1:20" s="23" customFormat="1">
      <c r="A559" s="31"/>
      <c r="B559" s="32"/>
      <c r="C559" s="33"/>
      <c r="D559" s="32" t="s">
        <v>1240</v>
      </c>
      <c r="E559" s="33" t="s">
        <v>116</v>
      </c>
      <c r="F559" s="34">
        <v>1</v>
      </c>
      <c r="G559" s="35">
        <v>0</v>
      </c>
      <c r="H559" s="35">
        <v>0</v>
      </c>
      <c r="I559" s="35">
        <f>Tabla1[[#This Row],[P.U. M.N.]]*Tabla1[[#This Row],[CANTIDADES DE REFERENCIA]]</f>
        <v>0</v>
      </c>
      <c r="J559" s="35">
        <f>Tabla1[[#This Row],[P.U. USD]]*Tabla1[[#This Row],[CANTIDADES DE REFERENCIA]]</f>
        <v>0</v>
      </c>
      <c r="K559" s="36"/>
      <c r="L559" s="36"/>
      <c r="M559" s="36"/>
      <c r="N559" s="37" t="s">
        <v>1176</v>
      </c>
      <c r="O559" s="37"/>
      <c r="P559" s="40"/>
      <c r="Q559" s="37" t="s">
        <v>1241</v>
      </c>
      <c r="R559" s="37" t="s">
        <v>58</v>
      </c>
      <c r="S559" s="37"/>
      <c r="T559" s="31"/>
    </row>
    <row r="560" spans="1:20" s="23" customFormat="1">
      <c r="A560" s="31"/>
      <c r="B560" s="32"/>
      <c r="C560" s="33"/>
      <c r="D560" s="32" t="s">
        <v>1242</v>
      </c>
      <c r="E560" s="33" t="s">
        <v>116</v>
      </c>
      <c r="F560" s="34">
        <v>1</v>
      </c>
      <c r="G560" s="35">
        <v>0</v>
      </c>
      <c r="H560" s="35">
        <v>0</v>
      </c>
      <c r="I560" s="35">
        <f>Tabla1[[#This Row],[P.U. M.N.]]*Tabla1[[#This Row],[CANTIDADES DE REFERENCIA]]</f>
        <v>0</v>
      </c>
      <c r="J560" s="35">
        <f>Tabla1[[#This Row],[P.U. USD]]*Tabla1[[#This Row],[CANTIDADES DE REFERENCIA]]</f>
        <v>0</v>
      </c>
      <c r="K560" s="36"/>
      <c r="L560" s="36"/>
      <c r="M560" s="36"/>
      <c r="N560" s="37" t="s">
        <v>1176</v>
      </c>
      <c r="O560" s="37"/>
      <c r="P560" s="40"/>
      <c r="Q560" s="37" t="s">
        <v>1243</v>
      </c>
      <c r="R560" s="37" t="s">
        <v>58</v>
      </c>
      <c r="S560" s="37"/>
      <c r="T560" s="31"/>
    </row>
    <row r="561" spans="1:20" s="23" customFormat="1">
      <c r="A561" s="31"/>
      <c r="B561" s="32"/>
      <c r="C561" s="33"/>
      <c r="D561" s="32" t="s">
        <v>1244</v>
      </c>
      <c r="E561" s="33" t="s">
        <v>116</v>
      </c>
      <c r="F561" s="34">
        <v>1</v>
      </c>
      <c r="G561" s="35">
        <v>0</v>
      </c>
      <c r="H561" s="35">
        <v>0</v>
      </c>
      <c r="I561" s="35">
        <f>Tabla1[[#This Row],[P.U. M.N.]]*Tabla1[[#This Row],[CANTIDADES DE REFERENCIA]]</f>
        <v>0</v>
      </c>
      <c r="J561" s="35">
        <f>Tabla1[[#This Row],[P.U. USD]]*Tabla1[[#This Row],[CANTIDADES DE REFERENCIA]]</f>
        <v>0</v>
      </c>
      <c r="K561" s="36"/>
      <c r="L561" s="36"/>
      <c r="M561" s="36"/>
      <c r="N561" s="37" t="s">
        <v>1176</v>
      </c>
      <c r="O561" s="37"/>
      <c r="P561" s="40"/>
      <c r="Q561" s="37" t="s">
        <v>1245</v>
      </c>
      <c r="R561" s="37" t="s">
        <v>58</v>
      </c>
      <c r="S561" s="37"/>
      <c r="T561" s="31"/>
    </row>
    <row r="562" spans="1:20" s="23" customFormat="1">
      <c r="A562" s="31"/>
      <c r="B562" s="32"/>
      <c r="C562" s="33"/>
      <c r="D562" s="32" t="s">
        <v>1246</v>
      </c>
      <c r="E562" s="33" t="s">
        <v>116</v>
      </c>
      <c r="F562" s="34">
        <v>1</v>
      </c>
      <c r="G562" s="35">
        <v>0</v>
      </c>
      <c r="H562" s="35">
        <v>0</v>
      </c>
      <c r="I562" s="35">
        <f>Tabla1[[#This Row],[P.U. M.N.]]*Tabla1[[#This Row],[CANTIDADES DE REFERENCIA]]</f>
        <v>0</v>
      </c>
      <c r="J562" s="35">
        <f>Tabla1[[#This Row],[P.U. USD]]*Tabla1[[#This Row],[CANTIDADES DE REFERENCIA]]</f>
        <v>0</v>
      </c>
      <c r="K562" s="36"/>
      <c r="L562" s="36"/>
      <c r="M562" s="36"/>
      <c r="N562" s="37" t="s">
        <v>1176</v>
      </c>
      <c r="O562" s="37"/>
      <c r="P562" s="40"/>
      <c r="Q562" s="37" t="s">
        <v>1247</v>
      </c>
      <c r="R562" s="37" t="s">
        <v>58</v>
      </c>
      <c r="S562" s="37"/>
      <c r="T562" s="31"/>
    </row>
    <row r="563" spans="1:20" s="23" customFormat="1">
      <c r="A563" s="31"/>
      <c r="B563" s="32"/>
      <c r="C563" s="33"/>
      <c r="D563" s="32" t="s">
        <v>1248</v>
      </c>
      <c r="E563" s="33" t="s">
        <v>116</v>
      </c>
      <c r="F563" s="34">
        <v>1</v>
      </c>
      <c r="G563" s="35">
        <v>0</v>
      </c>
      <c r="H563" s="35">
        <v>0</v>
      </c>
      <c r="I563" s="35">
        <f>Tabla1[[#This Row],[P.U. M.N.]]*Tabla1[[#This Row],[CANTIDADES DE REFERENCIA]]</f>
        <v>0</v>
      </c>
      <c r="J563" s="35">
        <f>Tabla1[[#This Row],[P.U. USD]]*Tabla1[[#This Row],[CANTIDADES DE REFERENCIA]]</f>
        <v>0</v>
      </c>
      <c r="K563" s="36"/>
      <c r="L563" s="36"/>
      <c r="M563" s="36"/>
      <c r="N563" s="37" t="s">
        <v>1176</v>
      </c>
      <c r="O563" s="37"/>
      <c r="P563" s="40"/>
      <c r="Q563" s="37" t="s">
        <v>1249</v>
      </c>
      <c r="R563" s="37" t="s">
        <v>58</v>
      </c>
      <c r="S563" s="37"/>
      <c r="T563" s="31"/>
    </row>
    <row r="564" spans="1:20" s="23" customFormat="1">
      <c r="A564" s="31"/>
      <c r="B564" s="32"/>
      <c r="C564" s="33"/>
      <c r="D564" s="32" t="s">
        <v>1250</v>
      </c>
      <c r="E564" s="33" t="s">
        <v>116</v>
      </c>
      <c r="F564" s="34">
        <v>1</v>
      </c>
      <c r="G564" s="35">
        <v>0</v>
      </c>
      <c r="H564" s="35">
        <v>0</v>
      </c>
      <c r="I564" s="35">
        <f>Tabla1[[#This Row],[P.U. M.N.]]*Tabla1[[#This Row],[CANTIDADES DE REFERENCIA]]</f>
        <v>0</v>
      </c>
      <c r="J564" s="35">
        <f>Tabla1[[#This Row],[P.U. USD]]*Tabla1[[#This Row],[CANTIDADES DE REFERENCIA]]</f>
        <v>0</v>
      </c>
      <c r="K564" s="36"/>
      <c r="L564" s="36"/>
      <c r="M564" s="36"/>
      <c r="N564" s="37" t="s">
        <v>1176</v>
      </c>
      <c r="O564" s="37"/>
      <c r="P564" s="40"/>
      <c r="Q564" s="37" t="s">
        <v>1251</v>
      </c>
      <c r="R564" s="37" t="s">
        <v>58</v>
      </c>
      <c r="S564" s="37"/>
      <c r="T564" s="31"/>
    </row>
    <row r="565" spans="1:20" s="23" customFormat="1">
      <c r="A565" s="31"/>
      <c r="B565" s="32"/>
      <c r="C565" s="33"/>
      <c r="D565" s="32" t="s">
        <v>1252</v>
      </c>
      <c r="E565" s="33" t="s">
        <v>116</v>
      </c>
      <c r="F565" s="34">
        <v>1</v>
      </c>
      <c r="G565" s="35">
        <v>0</v>
      </c>
      <c r="H565" s="35">
        <v>0</v>
      </c>
      <c r="I565" s="35">
        <f>Tabla1[[#This Row],[P.U. M.N.]]*Tabla1[[#This Row],[CANTIDADES DE REFERENCIA]]</f>
        <v>0</v>
      </c>
      <c r="J565" s="35">
        <f>Tabla1[[#This Row],[P.U. USD]]*Tabla1[[#This Row],[CANTIDADES DE REFERENCIA]]</f>
        <v>0</v>
      </c>
      <c r="K565" s="36"/>
      <c r="L565" s="36"/>
      <c r="M565" s="36"/>
      <c r="N565" s="37" t="s">
        <v>1176</v>
      </c>
      <c r="O565" s="37"/>
      <c r="P565" s="40"/>
      <c r="Q565" s="37" t="s">
        <v>1253</v>
      </c>
      <c r="R565" s="37" t="s">
        <v>58</v>
      </c>
      <c r="S565" s="37"/>
      <c r="T565" s="31"/>
    </row>
    <row r="566" spans="1:20" s="23" customFormat="1">
      <c r="A566" s="31"/>
      <c r="B566" s="32"/>
      <c r="C566" s="33"/>
      <c r="D566" s="32" t="s">
        <v>1254</v>
      </c>
      <c r="E566" s="33" t="s">
        <v>116</v>
      </c>
      <c r="F566" s="34">
        <v>1</v>
      </c>
      <c r="G566" s="35">
        <v>0</v>
      </c>
      <c r="H566" s="35">
        <v>0</v>
      </c>
      <c r="I566" s="35">
        <f>Tabla1[[#This Row],[P.U. M.N.]]*Tabla1[[#This Row],[CANTIDADES DE REFERENCIA]]</f>
        <v>0</v>
      </c>
      <c r="J566" s="35">
        <f>Tabla1[[#This Row],[P.U. USD]]*Tabla1[[#This Row],[CANTIDADES DE REFERENCIA]]</f>
        <v>0</v>
      </c>
      <c r="K566" s="36"/>
      <c r="L566" s="36"/>
      <c r="M566" s="36"/>
      <c r="N566" s="37" t="s">
        <v>1176</v>
      </c>
      <c r="O566" s="37"/>
      <c r="P566" s="40"/>
      <c r="Q566" s="37" t="s">
        <v>1255</v>
      </c>
      <c r="R566" s="37" t="s">
        <v>58</v>
      </c>
      <c r="S566" s="37"/>
      <c r="T566" s="31"/>
    </row>
    <row r="567" spans="1:20" s="23" customFormat="1">
      <c r="A567" s="31"/>
      <c r="B567" s="32"/>
      <c r="C567" s="33"/>
      <c r="D567" s="32" t="s">
        <v>1256</v>
      </c>
      <c r="E567" s="33" t="s">
        <v>116</v>
      </c>
      <c r="F567" s="34">
        <v>1</v>
      </c>
      <c r="G567" s="35">
        <v>0</v>
      </c>
      <c r="H567" s="35">
        <v>0</v>
      </c>
      <c r="I567" s="35">
        <f>Tabla1[[#This Row],[P.U. M.N.]]*Tabla1[[#This Row],[CANTIDADES DE REFERENCIA]]</f>
        <v>0</v>
      </c>
      <c r="J567" s="35">
        <f>Tabla1[[#This Row],[P.U. USD]]*Tabla1[[#This Row],[CANTIDADES DE REFERENCIA]]</f>
        <v>0</v>
      </c>
      <c r="K567" s="36"/>
      <c r="L567" s="36"/>
      <c r="M567" s="36"/>
      <c r="N567" s="37" t="s">
        <v>1176</v>
      </c>
      <c r="O567" s="37"/>
      <c r="P567" s="40"/>
      <c r="Q567" s="37" t="s">
        <v>1257</v>
      </c>
      <c r="R567" s="37" t="s">
        <v>58</v>
      </c>
      <c r="S567" s="37"/>
      <c r="T567" s="31"/>
    </row>
    <row r="568" spans="1:20" s="23" customFormat="1">
      <c r="A568" s="31"/>
      <c r="B568" s="32"/>
      <c r="C568" s="33"/>
      <c r="D568" s="32" t="s">
        <v>1258</v>
      </c>
      <c r="E568" s="33" t="s">
        <v>116</v>
      </c>
      <c r="F568" s="34">
        <v>1</v>
      </c>
      <c r="G568" s="35">
        <v>0</v>
      </c>
      <c r="H568" s="35">
        <v>0</v>
      </c>
      <c r="I568" s="35">
        <f>Tabla1[[#This Row],[P.U. M.N.]]*Tabla1[[#This Row],[CANTIDADES DE REFERENCIA]]</f>
        <v>0</v>
      </c>
      <c r="J568" s="35">
        <f>Tabla1[[#This Row],[P.U. USD]]*Tabla1[[#This Row],[CANTIDADES DE REFERENCIA]]</f>
        <v>0</v>
      </c>
      <c r="K568" s="36"/>
      <c r="L568" s="36"/>
      <c r="M568" s="36"/>
      <c r="N568" s="37" t="s">
        <v>1176</v>
      </c>
      <c r="O568" s="37"/>
      <c r="P568" s="40"/>
      <c r="Q568" s="37" t="s">
        <v>1259</v>
      </c>
      <c r="R568" s="37" t="s">
        <v>58</v>
      </c>
      <c r="S568" s="37"/>
      <c r="T568" s="31"/>
    </row>
    <row r="569" spans="1:20" s="23" customFormat="1">
      <c r="A569" s="31"/>
      <c r="B569" s="32"/>
      <c r="C569" s="33"/>
      <c r="D569" s="32" t="s">
        <v>1260</v>
      </c>
      <c r="E569" s="33" t="s">
        <v>116</v>
      </c>
      <c r="F569" s="34">
        <v>1</v>
      </c>
      <c r="G569" s="35">
        <v>0</v>
      </c>
      <c r="H569" s="35">
        <v>0</v>
      </c>
      <c r="I569" s="35">
        <f>Tabla1[[#This Row],[P.U. M.N.]]*Tabla1[[#This Row],[CANTIDADES DE REFERENCIA]]</f>
        <v>0</v>
      </c>
      <c r="J569" s="35">
        <f>Tabla1[[#This Row],[P.U. USD]]*Tabla1[[#This Row],[CANTIDADES DE REFERENCIA]]</f>
        <v>0</v>
      </c>
      <c r="K569" s="36"/>
      <c r="L569" s="36"/>
      <c r="M569" s="36"/>
      <c r="N569" s="37" t="s">
        <v>1176</v>
      </c>
      <c r="O569" s="37"/>
      <c r="P569" s="40"/>
      <c r="Q569" s="37" t="s">
        <v>1261</v>
      </c>
      <c r="R569" s="37" t="s">
        <v>58</v>
      </c>
      <c r="S569" s="37"/>
      <c r="T569" s="31"/>
    </row>
    <row r="570" spans="1:20" s="23" customFormat="1">
      <c r="A570" s="31"/>
      <c r="B570" s="32"/>
      <c r="C570" s="33"/>
      <c r="D570" s="32" t="s">
        <v>1262</v>
      </c>
      <c r="E570" s="33" t="s">
        <v>116</v>
      </c>
      <c r="F570" s="34">
        <v>1</v>
      </c>
      <c r="G570" s="35">
        <v>0</v>
      </c>
      <c r="H570" s="35">
        <v>0</v>
      </c>
      <c r="I570" s="35">
        <f>Tabla1[[#This Row],[P.U. M.N.]]*Tabla1[[#This Row],[CANTIDADES DE REFERENCIA]]</f>
        <v>0</v>
      </c>
      <c r="J570" s="35">
        <f>Tabla1[[#This Row],[P.U. USD]]*Tabla1[[#This Row],[CANTIDADES DE REFERENCIA]]</f>
        <v>0</v>
      </c>
      <c r="K570" s="36"/>
      <c r="L570" s="36"/>
      <c r="M570" s="36"/>
      <c r="N570" s="37" t="s">
        <v>1176</v>
      </c>
      <c r="O570" s="37"/>
      <c r="P570" s="40"/>
      <c r="Q570" s="37" t="s">
        <v>1263</v>
      </c>
      <c r="R570" s="37" t="s">
        <v>58</v>
      </c>
      <c r="S570" s="37"/>
      <c r="T570" s="31"/>
    </row>
    <row r="571" spans="1:20" s="23" customFormat="1">
      <c r="A571" s="31"/>
      <c r="B571" s="32"/>
      <c r="C571" s="33"/>
      <c r="D571" s="32" t="s">
        <v>1264</v>
      </c>
      <c r="E571" s="33" t="s">
        <v>116</v>
      </c>
      <c r="F571" s="34">
        <v>1</v>
      </c>
      <c r="G571" s="35">
        <v>0</v>
      </c>
      <c r="H571" s="35">
        <v>0</v>
      </c>
      <c r="I571" s="35">
        <f>Tabla1[[#This Row],[P.U. M.N.]]*Tabla1[[#This Row],[CANTIDADES DE REFERENCIA]]</f>
        <v>0</v>
      </c>
      <c r="J571" s="35">
        <f>Tabla1[[#This Row],[P.U. USD]]*Tabla1[[#This Row],[CANTIDADES DE REFERENCIA]]</f>
        <v>0</v>
      </c>
      <c r="K571" s="36"/>
      <c r="L571" s="36"/>
      <c r="M571" s="36"/>
      <c r="N571" s="37" t="s">
        <v>1176</v>
      </c>
      <c r="O571" s="37"/>
      <c r="P571" s="40"/>
      <c r="Q571" s="37" t="s">
        <v>1265</v>
      </c>
      <c r="R571" s="37" t="s">
        <v>58</v>
      </c>
      <c r="S571" s="37"/>
      <c r="T571" s="31"/>
    </row>
    <row r="572" spans="1:20" s="23" customFormat="1">
      <c r="A572" s="31"/>
      <c r="B572" s="32"/>
      <c r="C572" s="33"/>
      <c r="D572" s="32" t="s">
        <v>1266</v>
      </c>
      <c r="E572" s="33" t="s">
        <v>116</v>
      </c>
      <c r="F572" s="34">
        <v>1</v>
      </c>
      <c r="G572" s="35">
        <v>0</v>
      </c>
      <c r="H572" s="35">
        <v>0</v>
      </c>
      <c r="I572" s="35">
        <f>Tabla1[[#This Row],[P.U. M.N.]]*Tabla1[[#This Row],[CANTIDADES DE REFERENCIA]]</f>
        <v>0</v>
      </c>
      <c r="J572" s="35">
        <f>Tabla1[[#This Row],[P.U. USD]]*Tabla1[[#This Row],[CANTIDADES DE REFERENCIA]]</f>
        <v>0</v>
      </c>
      <c r="K572" s="36"/>
      <c r="L572" s="36"/>
      <c r="M572" s="36"/>
      <c r="N572" s="37" t="s">
        <v>1176</v>
      </c>
      <c r="O572" s="37"/>
      <c r="P572" s="40"/>
      <c r="Q572" s="37" t="s">
        <v>1267</v>
      </c>
      <c r="R572" s="37" t="s">
        <v>58</v>
      </c>
      <c r="S572" s="37"/>
      <c r="T572" s="31"/>
    </row>
    <row r="573" spans="1:20" s="23" customFormat="1">
      <c r="A573" s="31"/>
      <c r="B573" s="32"/>
      <c r="C573" s="33"/>
      <c r="D573" s="32" t="s">
        <v>1268</v>
      </c>
      <c r="E573" s="33" t="s">
        <v>116</v>
      </c>
      <c r="F573" s="34">
        <v>1</v>
      </c>
      <c r="G573" s="35">
        <v>0</v>
      </c>
      <c r="H573" s="35">
        <v>0</v>
      </c>
      <c r="I573" s="35">
        <f>Tabla1[[#This Row],[P.U. M.N.]]*Tabla1[[#This Row],[CANTIDADES DE REFERENCIA]]</f>
        <v>0</v>
      </c>
      <c r="J573" s="35">
        <f>Tabla1[[#This Row],[P.U. USD]]*Tabla1[[#This Row],[CANTIDADES DE REFERENCIA]]</f>
        <v>0</v>
      </c>
      <c r="K573" s="36"/>
      <c r="L573" s="36"/>
      <c r="M573" s="36"/>
      <c r="N573" s="37" t="s">
        <v>1176</v>
      </c>
      <c r="O573" s="37"/>
      <c r="P573" s="40"/>
      <c r="Q573" s="37" t="s">
        <v>1269</v>
      </c>
      <c r="R573" s="37" t="s">
        <v>58</v>
      </c>
      <c r="S573" s="37"/>
      <c r="T573" s="31"/>
    </row>
    <row r="574" spans="1:20" s="23" customFormat="1">
      <c r="A574" s="31"/>
      <c r="B574" s="32"/>
      <c r="C574" s="33"/>
      <c r="D574" s="32" t="s">
        <v>1270</v>
      </c>
      <c r="E574" s="33" t="s">
        <v>116</v>
      </c>
      <c r="F574" s="34">
        <v>1</v>
      </c>
      <c r="G574" s="35">
        <v>0</v>
      </c>
      <c r="H574" s="35">
        <v>0</v>
      </c>
      <c r="I574" s="35">
        <f>Tabla1[[#This Row],[P.U. M.N.]]*Tabla1[[#This Row],[CANTIDADES DE REFERENCIA]]</f>
        <v>0</v>
      </c>
      <c r="J574" s="35">
        <f>Tabla1[[#This Row],[P.U. USD]]*Tabla1[[#This Row],[CANTIDADES DE REFERENCIA]]</f>
        <v>0</v>
      </c>
      <c r="K574" s="36"/>
      <c r="L574" s="36"/>
      <c r="M574" s="36"/>
      <c r="N574" s="37" t="s">
        <v>1176</v>
      </c>
      <c r="O574" s="37"/>
      <c r="P574" s="40"/>
      <c r="Q574" s="37" t="s">
        <v>1271</v>
      </c>
      <c r="R574" s="37" t="s">
        <v>58</v>
      </c>
      <c r="S574" s="37"/>
      <c r="T574" s="31"/>
    </row>
    <row r="575" spans="1:20" s="23" customFormat="1">
      <c r="A575" s="31"/>
      <c r="B575" s="32"/>
      <c r="C575" s="33"/>
      <c r="D575" s="32" t="s">
        <v>1272</v>
      </c>
      <c r="E575" s="33" t="s">
        <v>116</v>
      </c>
      <c r="F575" s="34">
        <v>1</v>
      </c>
      <c r="G575" s="35">
        <v>0</v>
      </c>
      <c r="H575" s="35">
        <v>0</v>
      </c>
      <c r="I575" s="35">
        <f>Tabla1[[#This Row],[P.U. M.N.]]*Tabla1[[#This Row],[CANTIDADES DE REFERENCIA]]</f>
        <v>0</v>
      </c>
      <c r="J575" s="35">
        <f>Tabla1[[#This Row],[P.U. USD]]*Tabla1[[#This Row],[CANTIDADES DE REFERENCIA]]</f>
        <v>0</v>
      </c>
      <c r="K575" s="36"/>
      <c r="L575" s="36"/>
      <c r="M575" s="36"/>
      <c r="N575" s="37" t="s">
        <v>1176</v>
      </c>
      <c r="O575" s="37"/>
      <c r="P575" s="40"/>
      <c r="Q575" s="37" t="s">
        <v>1273</v>
      </c>
      <c r="R575" s="37" t="s">
        <v>58</v>
      </c>
      <c r="S575" s="37"/>
      <c r="T575" s="31"/>
    </row>
    <row r="576" spans="1:20" s="23" customFormat="1">
      <c r="A576" s="31"/>
      <c r="B576" s="32"/>
      <c r="C576" s="33"/>
      <c r="D576" s="32" t="s">
        <v>1274</v>
      </c>
      <c r="E576" s="33" t="s">
        <v>116</v>
      </c>
      <c r="F576" s="34">
        <v>1</v>
      </c>
      <c r="G576" s="35">
        <v>0</v>
      </c>
      <c r="H576" s="35">
        <v>0</v>
      </c>
      <c r="I576" s="35">
        <f>Tabla1[[#This Row],[P.U. M.N.]]*Tabla1[[#This Row],[CANTIDADES DE REFERENCIA]]</f>
        <v>0</v>
      </c>
      <c r="J576" s="35">
        <f>Tabla1[[#This Row],[P.U. USD]]*Tabla1[[#This Row],[CANTIDADES DE REFERENCIA]]</f>
        <v>0</v>
      </c>
      <c r="K576" s="36"/>
      <c r="L576" s="36"/>
      <c r="M576" s="36"/>
      <c r="N576" s="37" t="s">
        <v>1176</v>
      </c>
      <c r="O576" s="37"/>
      <c r="P576" s="40"/>
      <c r="Q576" s="37" t="s">
        <v>1275</v>
      </c>
      <c r="R576" s="37" t="s">
        <v>58</v>
      </c>
      <c r="S576" s="37"/>
      <c r="T576" s="31"/>
    </row>
    <row r="577" spans="1:20">
      <c r="A577" s="31"/>
      <c r="B577" s="32"/>
      <c r="C577" s="33"/>
      <c r="D577" s="32" t="s">
        <v>1276</v>
      </c>
      <c r="E577" s="33" t="s">
        <v>42</v>
      </c>
      <c r="F577" s="34">
        <v>1</v>
      </c>
      <c r="G577" s="35">
        <v>0</v>
      </c>
      <c r="H577" s="35">
        <v>0</v>
      </c>
      <c r="I577" s="35">
        <f>Tabla1[[#This Row],[P.U. M.N.]]*Tabla1[[#This Row],[CANTIDADES DE REFERENCIA]]</f>
        <v>0</v>
      </c>
      <c r="J577" s="35">
        <f>Tabla1[[#This Row],[P.U. USD]]*Tabla1[[#This Row],[CANTIDADES DE REFERENCIA]]</f>
        <v>0</v>
      </c>
      <c r="K577" s="36"/>
      <c r="L577" s="36"/>
      <c r="M577" s="36"/>
      <c r="N577" s="37" t="s">
        <v>1277</v>
      </c>
      <c r="O577" s="37" t="s">
        <v>1278</v>
      </c>
      <c r="P577" s="39"/>
      <c r="Q577" s="37" t="s">
        <v>1279</v>
      </c>
      <c r="R577" s="37"/>
      <c r="S577" s="37" t="s">
        <v>1280</v>
      </c>
      <c r="T577" s="31"/>
    </row>
    <row r="578" spans="1:20">
      <c r="A578" s="31"/>
      <c r="B578" s="32"/>
      <c r="C578" s="33"/>
      <c r="D578" s="32" t="s">
        <v>1281</v>
      </c>
      <c r="E578" s="33" t="s">
        <v>135</v>
      </c>
      <c r="F578" s="34">
        <v>1</v>
      </c>
      <c r="G578" s="35">
        <v>0</v>
      </c>
      <c r="H578" s="35">
        <v>0</v>
      </c>
      <c r="I578" s="35">
        <f>Tabla1[[#This Row],[P.U. M.N.]]*Tabla1[[#This Row],[CANTIDADES DE REFERENCIA]]</f>
        <v>0</v>
      </c>
      <c r="J578" s="35">
        <f>Tabla1[[#This Row],[P.U. USD]]*Tabla1[[#This Row],[CANTIDADES DE REFERENCIA]]</f>
        <v>0</v>
      </c>
      <c r="K578" s="36"/>
      <c r="L578" s="36"/>
      <c r="M578" s="36"/>
      <c r="N578" s="37" t="s">
        <v>1277</v>
      </c>
      <c r="O578" s="37" t="s">
        <v>1278</v>
      </c>
      <c r="P578" s="39"/>
      <c r="Q578" s="37" t="s">
        <v>1282</v>
      </c>
      <c r="R578" s="37"/>
      <c r="S578" s="37" t="s">
        <v>1280</v>
      </c>
      <c r="T578" s="31"/>
    </row>
    <row r="579" spans="1:20">
      <c r="A579" s="31"/>
      <c r="B579" s="32"/>
      <c r="C579" s="33"/>
      <c r="D579" s="32" t="s">
        <v>1283</v>
      </c>
      <c r="E579" s="33" t="s">
        <v>116</v>
      </c>
      <c r="F579" s="34">
        <v>1</v>
      </c>
      <c r="G579" s="35">
        <v>0</v>
      </c>
      <c r="H579" s="35">
        <v>0</v>
      </c>
      <c r="I579" s="35">
        <f>Tabla1[[#This Row],[P.U. M.N.]]*Tabla1[[#This Row],[CANTIDADES DE REFERENCIA]]</f>
        <v>0</v>
      </c>
      <c r="J579" s="35">
        <f>Tabla1[[#This Row],[P.U. USD]]*Tabla1[[#This Row],[CANTIDADES DE REFERENCIA]]</f>
        <v>0</v>
      </c>
      <c r="K579" s="36"/>
      <c r="L579" s="36"/>
      <c r="M579" s="36"/>
      <c r="N579" s="37" t="s">
        <v>1277</v>
      </c>
      <c r="O579" s="37" t="s">
        <v>1278</v>
      </c>
      <c r="P579" s="39"/>
      <c r="Q579" s="37" t="s">
        <v>1284</v>
      </c>
      <c r="R579" s="37"/>
      <c r="S579" s="37" t="s">
        <v>1280</v>
      </c>
      <c r="T579" s="31"/>
    </row>
    <row r="580" spans="1:20">
      <c r="A580" s="31"/>
      <c r="B580" s="32"/>
      <c r="C580" s="33"/>
      <c r="D580" s="32" t="s">
        <v>1285</v>
      </c>
      <c r="E580" s="33" t="s">
        <v>116</v>
      </c>
      <c r="F580" s="34">
        <v>1</v>
      </c>
      <c r="G580" s="35">
        <v>0</v>
      </c>
      <c r="H580" s="35">
        <v>0</v>
      </c>
      <c r="I580" s="35">
        <f>Tabla1[[#This Row],[P.U. M.N.]]*Tabla1[[#This Row],[CANTIDADES DE REFERENCIA]]</f>
        <v>0</v>
      </c>
      <c r="J580" s="35">
        <f>Tabla1[[#This Row],[P.U. USD]]*Tabla1[[#This Row],[CANTIDADES DE REFERENCIA]]</f>
        <v>0</v>
      </c>
      <c r="K580" s="36"/>
      <c r="L580" s="36"/>
      <c r="M580" s="36"/>
      <c r="N580" s="37" t="s">
        <v>1277</v>
      </c>
      <c r="O580" s="37" t="s">
        <v>1278</v>
      </c>
      <c r="P580" s="39"/>
      <c r="Q580" s="37" t="s">
        <v>1286</v>
      </c>
      <c r="R580" s="37"/>
      <c r="S580" s="37" t="s">
        <v>1280</v>
      </c>
      <c r="T580" s="31"/>
    </row>
    <row r="581" spans="1:20">
      <c r="A581" s="31"/>
      <c r="B581" s="32"/>
      <c r="C581" s="33"/>
      <c r="D581" s="32" t="s">
        <v>1287</v>
      </c>
      <c r="E581" s="33" t="s">
        <v>135</v>
      </c>
      <c r="F581" s="34">
        <v>1</v>
      </c>
      <c r="G581" s="35">
        <v>0</v>
      </c>
      <c r="H581" s="35">
        <v>0</v>
      </c>
      <c r="I581" s="35">
        <f>Tabla1[[#This Row],[P.U. M.N.]]*Tabla1[[#This Row],[CANTIDADES DE REFERENCIA]]</f>
        <v>0</v>
      </c>
      <c r="J581" s="35">
        <f>Tabla1[[#This Row],[P.U. USD]]*Tabla1[[#This Row],[CANTIDADES DE REFERENCIA]]</f>
        <v>0</v>
      </c>
      <c r="K581" s="36"/>
      <c r="L581" s="36"/>
      <c r="M581" s="36"/>
      <c r="N581" s="37" t="s">
        <v>1277</v>
      </c>
      <c r="O581" s="37" t="s">
        <v>1278</v>
      </c>
      <c r="P581" s="39"/>
      <c r="Q581" s="37" t="s">
        <v>1288</v>
      </c>
      <c r="R581" s="37"/>
      <c r="S581" s="37" t="s">
        <v>1280</v>
      </c>
      <c r="T581" s="31"/>
    </row>
    <row r="582" spans="1:20">
      <c r="A582" s="31"/>
      <c r="B582" s="32"/>
      <c r="C582" s="33"/>
      <c r="D582" s="32" t="s">
        <v>1289</v>
      </c>
      <c r="E582" s="33" t="s">
        <v>135</v>
      </c>
      <c r="F582" s="34">
        <v>1</v>
      </c>
      <c r="G582" s="35">
        <v>0</v>
      </c>
      <c r="H582" s="35">
        <v>0</v>
      </c>
      <c r="I582" s="35">
        <f>Tabla1[[#This Row],[P.U. M.N.]]*Tabla1[[#This Row],[CANTIDADES DE REFERENCIA]]</f>
        <v>0</v>
      </c>
      <c r="J582" s="35">
        <f>Tabla1[[#This Row],[P.U. USD]]*Tabla1[[#This Row],[CANTIDADES DE REFERENCIA]]</f>
        <v>0</v>
      </c>
      <c r="K582" s="36"/>
      <c r="L582" s="36"/>
      <c r="M582" s="36"/>
      <c r="N582" s="37" t="s">
        <v>1277</v>
      </c>
      <c r="O582" s="37" t="s">
        <v>1278</v>
      </c>
      <c r="P582" s="39"/>
      <c r="Q582" s="37" t="s">
        <v>1290</v>
      </c>
      <c r="R582" s="37"/>
      <c r="S582" s="37" t="s">
        <v>1280</v>
      </c>
      <c r="T582" s="31"/>
    </row>
    <row r="583" spans="1:20">
      <c r="A583" s="31"/>
      <c r="B583" s="32"/>
      <c r="C583" s="33"/>
      <c r="D583" s="32" t="s">
        <v>1291</v>
      </c>
      <c r="E583" s="33" t="s">
        <v>135</v>
      </c>
      <c r="F583" s="34">
        <v>1</v>
      </c>
      <c r="G583" s="35">
        <v>0</v>
      </c>
      <c r="H583" s="35">
        <v>0</v>
      </c>
      <c r="I583" s="35">
        <f>Tabla1[[#This Row],[P.U. M.N.]]*Tabla1[[#This Row],[CANTIDADES DE REFERENCIA]]</f>
        <v>0</v>
      </c>
      <c r="J583" s="35">
        <f>Tabla1[[#This Row],[P.U. USD]]*Tabla1[[#This Row],[CANTIDADES DE REFERENCIA]]</f>
        <v>0</v>
      </c>
      <c r="K583" s="36"/>
      <c r="L583" s="36"/>
      <c r="M583" s="36"/>
      <c r="N583" s="37" t="s">
        <v>1277</v>
      </c>
      <c r="O583" s="37" t="s">
        <v>1278</v>
      </c>
      <c r="P583" s="39"/>
      <c r="Q583" s="37" t="s">
        <v>1292</v>
      </c>
      <c r="R583" s="37"/>
      <c r="S583" s="37" t="s">
        <v>1280</v>
      </c>
      <c r="T583" s="31"/>
    </row>
    <row r="584" spans="1:20">
      <c r="A584" s="31"/>
      <c r="B584" s="32"/>
      <c r="C584" s="33"/>
      <c r="D584" s="32" t="s">
        <v>1293</v>
      </c>
      <c r="E584" s="33" t="s">
        <v>135</v>
      </c>
      <c r="F584" s="34">
        <v>1</v>
      </c>
      <c r="G584" s="35">
        <v>0</v>
      </c>
      <c r="H584" s="35">
        <v>0</v>
      </c>
      <c r="I584" s="35">
        <f>Tabla1[[#This Row],[P.U. M.N.]]*Tabla1[[#This Row],[CANTIDADES DE REFERENCIA]]</f>
        <v>0</v>
      </c>
      <c r="J584" s="35">
        <f>Tabla1[[#This Row],[P.U. USD]]*Tabla1[[#This Row],[CANTIDADES DE REFERENCIA]]</f>
        <v>0</v>
      </c>
      <c r="K584" s="36"/>
      <c r="L584" s="36"/>
      <c r="M584" s="36"/>
      <c r="N584" s="37" t="s">
        <v>1277</v>
      </c>
      <c r="O584" s="37" t="s">
        <v>1278</v>
      </c>
      <c r="P584" s="39"/>
      <c r="Q584" s="37" t="s">
        <v>1294</v>
      </c>
      <c r="R584" s="37"/>
      <c r="S584" s="37" t="s">
        <v>1280</v>
      </c>
      <c r="T584" s="31"/>
    </row>
    <row r="585" spans="1:20">
      <c r="A585" s="31"/>
      <c r="B585" s="32"/>
      <c r="C585" s="33"/>
      <c r="D585" s="32" t="s">
        <v>1295</v>
      </c>
      <c r="E585" s="33" t="s">
        <v>135</v>
      </c>
      <c r="F585" s="34">
        <v>1</v>
      </c>
      <c r="G585" s="35">
        <v>0</v>
      </c>
      <c r="H585" s="35">
        <v>0</v>
      </c>
      <c r="I585" s="35">
        <f>Tabla1[[#This Row],[P.U. M.N.]]*Tabla1[[#This Row],[CANTIDADES DE REFERENCIA]]</f>
        <v>0</v>
      </c>
      <c r="J585" s="35">
        <f>Tabla1[[#This Row],[P.U. USD]]*Tabla1[[#This Row],[CANTIDADES DE REFERENCIA]]</f>
        <v>0</v>
      </c>
      <c r="K585" s="36"/>
      <c r="L585" s="36"/>
      <c r="M585" s="36"/>
      <c r="N585" s="37" t="s">
        <v>1277</v>
      </c>
      <c r="O585" s="37" t="s">
        <v>1278</v>
      </c>
      <c r="P585" s="39"/>
      <c r="Q585" s="37" t="s">
        <v>1296</v>
      </c>
      <c r="R585" s="37"/>
      <c r="S585" s="37" t="s">
        <v>1280</v>
      </c>
      <c r="T585" s="31"/>
    </row>
    <row r="586" spans="1:20">
      <c r="A586" s="31"/>
      <c r="B586" s="32"/>
      <c r="C586" s="33"/>
      <c r="D586" s="32" t="s">
        <v>1297</v>
      </c>
      <c r="E586" s="33" t="s">
        <v>116</v>
      </c>
      <c r="F586" s="34">
        <v>1</v>
      </c>
      <c r="G586" s="35">
        <v>0</v>
      </c>
      <c r="H586" s="35">
        <v>0</v>
      </c>
      <c r="I586" s="35">
        <f>Tabla1[[#This Row],[P.U. M.N.]]*Tabla1[[#This Row],[CANTIDADES DE REFERENCIA]]</f>
        <v>0</v>
      </c>
      <c r="J586" s="35">
        <f>Tabla1[[#This Row],[P.U. USD]]*Tabla1[[#This Row],[CANTIDADES DE REFERENCIA]]</f>
        <v>0</v>
      </c>
      <c r="K586" s="36"/>
      <c r="L586" s="36"/>
      <c r="M586" s="36"/>
      <c r="N586" s="37" t="s">
        <v>1277</v>
      </c>
      <c r="O586" s="37" t="s">
        <v>1278</v>
      </c>
      <c r="P586" s="39"/>
      <c r="Q586" s="37" t="s">
        <v>1298</v>
      </c>
      <c r="R586" s="37"/>
      <c r="S586" s="37" t="s">
        <v>1280</v>
      </c>
      <c r="T586" s="31"/>
    </row>
    <row r="587" spans="1:20">
      <c r="A587" s="31"/>
      <c r="B587" s="32"/>
      <c r="C587" s="33"/>
      <c r="D587" s="32" t="s">
        <v>1299</v>
      </c>
      <c r="E587" s="33" t="s">
        <v>116</v>
      </c>
      <c r="F587" s="34">
        <v>1</v>
      </c>
      <c r="G587" s="35">
        <v>0</v>
      </c>
      <c r="H587" s="35">
        <v>0</v>
      </c>
      <c r="I587" s="35">
        <f>Tabla1[[#This Row],[P.U. M.N.]]*Tabla1[[#This Row],[CANTIDADES DE REFERENCIA]]</f>
        <v>0</v>
      </c>
      <c r="J587" s="35">
        <f>Tabla1[[#This Row],[P.U. USD]]*Tabla1[[#This Row],[CANTIDADES DE REFERENCIA]]</f>
        <v>0</v>
      </c>
      <c r="K587" s="36"/>
      <c r="L587" s="36"/>
      <c r="M587" s="36"/>
      <c r="N587" s="37" t="s">
        <v>1277</v>
      </c>
      <c r="O587" s="37" t="s">
        <v>1278</v>
      </c>
      <c r="P587" s="39"/>
      <c r="Q587" s="37" t="s">
        <v>1300</v>
      </c>
      <c r="R587" s="37"/>
      <c r="S587" s="37" t="s">
        <v>1280</v>
      </c>
      <c r="T587" s="31"/>
    </row>
    <row r="588" spans="1:20">
      <c r="A588" s="31"/>
      <c r="B588" s="32"/>
      <c r="C588" s="33"/>
      <c r="D588" s="32" t="s">
        <v>1301</v>
      </c>
      <c r="E588" s="33" t="s">
        <v>116</v>
      </c>
      <c r="F588" s="34">
        <v>1</v>
      </c>
      <c r="G588" s="35">
        <v>0</v>
      </c>
      <c r="H588" s="35">
        <v>0</v>
      </c>
      <c r="I588" s="35">
        <f>Tabla1[[#This Row],[P.U. M.N.]]*Tabla1[[#This Row],[CANTIDADES DE REFERENCIA]]</f>
        <v>0</v>
      </c>
      <c r="J588" s="35">
        <f>Tabla1[[#This Row],[P.U. USD]]*Tabla1[[#This Row],[CANTIDADES DE REFERENCIA]]</f>
        <v>0</v>
      </c>
      <c r="K588" s="36"/>
      <c r="L588" s="36"/>
      <c r="M588" s="36"/>
      <c r="N588" s="37" t="s">
        <v>1277</v>
      </c>
      <c r="O588" s="37" t="s">
        <v>1278</v>
      </c>
      <c r="P588" s="39"/>
      <c r="Q588" s="37" t="s">
        <v>1302</v>
      </c>
      <c r="R588" s="37"/>
      <c r="S588" s="37" t="s">
        <v>1280</v>
      </c>
      <c r="T588" s="31"/>
    </row>
    <row r="589" spans="1:20">
      <c r="A589" s="31"/>
      <c r="B589" s="32"/>
      <c r="C589" s="33"/>
      <c r="D589" s="32" t="s">
        <v>1303</v>
      </c>
      <c r="E589" s="33" t="s">
        <v>116</v>
      </c>
      <c r="F589" s="34">
        <v>1</v>
      </c>
      <c r="G589" s="35">
        <v>0</v>
      </c>
      <c r="H589" s="35">
        <v>0</v>
      </c>
      <c r="I589" s="35">
        <f>Tabla1[[#This Row],[P.U. M.N.]]*Tabla1[[#This Row],[CANTIDADES DE REFERENCIA]]</f>
        <v>0</v>
      </c>
      <c r="J589" s="35">
        <f>Tabla1[[#This Row],[P.U. USD]]*Tabla1[[#This Row],[CANTIDADES DE REFERENCIA]]</f>
        <v>0</v>
      </c>
      <c r="K589" s="36"/>
      <c r="L589" s="36"/>
      <c r="M589" s="36"/>
      <c r="N589" s="37" t="s">
        <v>1277</v>
      </c>
      <c r="O589" s="37" t="s">
        <v>1278</v>
      </c>
      <c r="P589" s="39"/>
      <c r="Q589" s="37" t="s">
        <v>1304</v>
      </c>
      <c r="R589" s="37"/>
      <c r="S589" s="37" t="s">
        <v>1280</v>
      </c>
      <c r="T589" s="31"/>
    </row>
    <row r="590" spans="1:20">
      <c r="A590" s="31"/>
      <c r="B590" s="32"/>
      <c r="C590" s="33"/>
      <c r="D590" s="32" t="s">
        <v>1305</v>
      </c>
      <c r="E590" s="33" t="s">
        <v>116</v>
      </c>
      <c r="F590" s="34">
        <v>1</v>
      </c>
      <c r="G590" s="35">
        <v>0</v>
      </c>
      <c r="H590" s="35">
        <v>0</v>
      </c>
      <c r="I590" s="35">
        <f>Tabla1[[#This Row],[P.U. M.N.]]*Tabla1[[#This Row],[CANTIDADES DE REFERENCIA]]</f>
        <v>0</v>
      </c>
      <c r="J590" s="35">
        <f>Tabla1[[#This Row],[P.U. USD]]*Tabla1[[#This Row],[CANTIDADES DE REFERENCIA]]</f>
        <v>0</v>
      </c>
      <c r="K590" s="36"/>
      <c r="L590" s="36"/>
      <c r="M590" s="36"/>
      <c r="N590" s="37" t="s">
        <v>1277</v>
      </c>
      <c r="O590" s="37" t="s">
        <v>1278</v>
      </c>
      <c r="P590" s="39"/>
      <c r="Q590" s="37" t="s">
        <v>1306</v>
      </c>
      <c r="R590" s="37"/>
      <c r="S590" s="37" t="s">
        <v>1280</v>
      </c>
      <c r="T590" s="31"/>
    </row>
    <row r="591" spans="1:20">
      <c r="A591" s="31"/>
      <c r="B591" s="32"/>
      <c r="C591" s="33"/>
      <c r="D591" s="32" t="s">
        <v>1307</v>
      </c>
      <c r="E591" s="33" t="s">
        <v>116</v>
      </c>
      <c r="F591" s="34">
        <v>1</v>
      </c>
      <c r="G591" s="35">
        <v>0</v>
      </c>
      <c r="H591" s="35">
        <v>0</v>
      </c>
      <c r="I591" s="35">
        <f>Tabla1[[#This Row],[P.U. M.N.]]*Tabla1[[#This Row],[CANTIDADES DE REFERENCIA]]</f>
        <v>0</v>
      </c>
      <c r="J591" s="35">
        <f>Tabla1[[#This Row],[P.U. USD]]*Tabla1[[#This Row],[CANTIDADES DE REFERENCIA]]</f>
        <v>0</v>
      </c>
      <c r="K591" s="36"/>
      <c r="L591" s="36"/>
      <c r="M591" s="36"/>
      <c r="N591" s="37" t="s">
        <v>1277</v>
      </c>
      <c r="O591" s="37" t="s">
        <v>1278</v>
      </c>
      <c r="P591" s="39"/>
      <c r="Q591" s="37" t="s">
        <v>1308</v>
      </c>
      <c r="R591" s="37"/>
      <c r="S591" s="37" t="s">
        <v>1280</v>
      </c>
      <c r="T591" s="31"/>
    </row>
    <row r="592" spans="1:20">
      <c r="A592" s="31"/>
      <c r="B592" s="32"/>
      <c r="C592" s="33"/>
      <c r="D592" s="32" t="s">
        <v>1309</v>
      </c>
      <c r="E592" s="33" t="s">
        <v>116</v>
      </c>
      <c r="F592" s="34">
        <v>1</v>
      </c>
      <c r="G592" s="35">
        <v>0</v>
      </c>
      <c r="H592" s="35">
        <v>0</v>
      </c>
      <c r="I592" s="35">
        <f>Tabla1[[#This Row],[P.U. M.N.]]*Tabla1[[#This Row],[CANTIDADES DE REFERENCIA]]</f>
        <v>0</v>
      </c>
      <c r="J592" s="35">
        <f>Tabla1[[#This Row],[P.U. USD]]*Tabla1[[#This Row],[CANTIDADES DE REFERENCIA]]</f>
        <v>0</v>
      </c>
      <c r="K592" s="36"/>
      <c r="L592" s="36"/>
      <c r="M592" s="36"/>
      <c r="N592" s="37" t="s">
        <v>1277</v>
      </c>
      <c r="O592" s="37" t="s">
        <v>1278</v>
      </c>
      <c r="P592" s="39"/>
      <c r="Q592" s="37" t="s">
        <v>1310</v>
      </c>
      <c r="R592" s="37"/>
      <c r="S592" s="37" t="s">
        <v>1280</v>
      </c>
      <c r="T592" s="31"/>
    </row>
    <row r="593" spans="1:20">
      <c r="A593" s="31"/>
      <c r="B593" s="32"/>
      <c r="C593" s="33"/>
      <c r="D593" s="32" t="s">
        <v>1311</v>
      </c>
      <c r="E593" s="33" t="s">
        <v>116</v>
      </c>
      <c r="F593" s="34">
        <v>1</v>
      </c>
      <c r="G593" s="35">
        <v>0</v>
      </c>
      <c r="H593" s="35">
        <v>0</v>
      </c>
      <c r="I593" s="35">
        <f>Tabla1[[#This Row],[P.U. M.N.]]*Tabla1[[#This Row],[CANTIDADES DE REFERENCIA]]</f>
        <v>0</v>
      </c>
      <c r="J593" s="35">
        <f>Tabla1[[#This Row],[P.U. USD]]*Tabla1[[#This Row],[CANTIDADES DE REFERENCIA]]</f>
        <v>0</v>
      </c>
      <c r="K593" s="36"/>
      <c r="L593" s="36"/>
      <c r="M593" s="36"/>
      <c r="N593" s="37" t="s">
        <v>1277</v>
      </c>
      <c r="O593" s="37" t="s">
        <v>1278</v>
      </c>
      <c r="P593" s="39"/>
      <c r="Q593" s="37" t="s">
        <v>1312</v>
      </c>
      <c r="R593" s="37"/>
      <c r="S593" s="37" t="s">
        <v>1280</v>
      </c>
      <c r="T593" s="31"/>
    </row>
    <row r="594" spans="1:20">
      <c r="A594" s="31"/>
      <c r="B594" s="32"/>
      <c r="C594" s="33"/>
      <c r="D594" s="32" t="s">
        <v>1313</v>
      </c>
      <c r="E594" s="33" t="s">
        <v>116</v>
      </c>
      <c r="F594" s="34">
        <v>1</v>
      </c>
      <c r="G594" s="35">
        <v>0</v>
      </c>
      <c r="H594" s="35">
        <v>0</v>
      </c>
      <c r="I594" s="35">
        <f>Tabla1[[#This Row],[P.U. M.N.]]*Tabla1[[#This Row],[CANTIDADES DE REFERENCIA]]</f>
        <v>0</v>
      </c>
      <c r="J594" s="35">
        <f>Tabla1[[#This Row],[P.U. USD]]*Tabla1[[#This Row],[CANTIDADES DE REFERENCIA]]</f>
        <v>0</v>
      </c>
      <c r="K594" s="36"/>
      <c r="L594" s="36"/>
      <c r="M594" s="36"/>
      <c r="N594" s="37" t="s">
        <v>1277</v>
      </c>
      <c r="O594" s="37" t="s">
        <v>1278</v>
      </c>
      <c r="P594" s="39"/>
      <c r="Q594" s="37" t="s">
        <v>1314</v>
      </c>
      <c r="R594" s="37"/>
      <c r="S594" s="37" t="s">
        <v>1280</v>
      </c>
      <c r="T594" s="31"/>
    </row>
    <row r="595" spans="1:20">
      <c r="A595" s="31"/>
      <c r="B595" s="32"/>
      <c r="C595" s="33"/>
      <c r="D595" s="32" t="s">
        <v>1315</v>
      </c>
      <c r="E595" s="33" t="s">
        <v>116</v>
      </c>
      <c r="F595" s="34">
        <v>1</v>
      </c>
      <c r="G595" s="35">
        <v>0</v>
      </c>
      <c r="H595" s="35">
        <v>0</v>
      </c>
      <c r="I595" s="35">
        <f>Tabla1[[#This Row],[P.U. M.N.]]*Tabla1[[#This Row],[CANTIDADES DE REFERENCIA]]</f>
        <v>0</v>
      </c>
      <c r="J595" s="35">
        <f>Tabla1[[#This Row],[P.U. USD]]*Tabla1[[#This Row],[CANTIDADES DE REFERENCIA]]</f>
        <v>0</v>
      </c>
      <c r="K595" s="36"/>
      <c r="L595" s="36"/>
      <c r="M595" s="36"/>
      <c r="N595" s="37" t="s">
        <v>1277</v>
      </c>
      <c r="O595" s="37" t="s">
        <v>1278</v>
      </c>
      <c r="P595" s="39"/>
      <c r="Q595" s="37" t="s">
        <v>1316</v>
      </c>
      <c r="R595" s="37"/>
      <c r="S595" s="37" t="s">
        <v>1280</v>
      </c>
      <c r="T595" s="31"/>
    </row>
    <row r="596" spans="1:20">
      <c r="A596" s="31"/>
      <c r="B596" s="32"/>
      <c r="C596" s="33"/>
      <c r="D596" s="32" t="s">
        <v>1317</v>
      </c>
      <c r="E596" s="33" t="s">
        <v>135</v>
      </c>
      <c r="F596" s="34">
        <v>1</v>
      </c>
      <c r="G596" s="35">
        <v>0</v>
      </c>
      <c r="H596" s="35">
        <v>0</v>
      </c>
      <c r="I596" s="35">
        <f>Tabla1[[#This Row],[P.U. M.N.]]*Tabla1[[#This Row],[CANTIDADES DE REFERENCIA]]</f>
        <v>0</v>
      </c>
      <c r="J596" s="35">
        <f>Tabla1[[#This Row],[P.U. USD]]*Tabla1[[#This Row],[CANTIDADES DE REFERENCIA]]</f>
        <v>0</v>
      </c>
      <c r="K596" s="36"/>
      <c r="L596" s="36"/>
      <c r="M596" s="36"/>
      <c r="N596" s="37" t="s">
        <v>1277</v>
      </c>
      <c r="O596" s="37" t="s">
        <v>1278</v>
      </c>
      <c r="P596" s="39"/>
      <c r="Q596" s="37" t="s">
        <v>1318</v>
      </c>
      <c r="R596" s="37"/>
      <c r="S596" s="37" t="s">
        <v>1280</v>
      </c>
      <c r="T596" s="31"/>
    </row>
    <row r="597" spans="1:20">
      <c r="A597" s="31"/>
      <c r="B597" s="32"/>
      <c r="C597" s="33"/>
      <c r="D597" s="32" t="s">
        <v>1319</v>
      </c>
      <c r="E597" s="33" t="s">
        <v>116</v>
      </c>
      <c r="F597" s="34">
        <v>1</v>
      </c>
      <c r="G597" s="35">
        <v>0</v>
      </c>
      <c r="H597" s="35">
        <v>0</v>
      </c>
      <c r="I597" s="35">
        <f>Tabla1[[#This Row],[P.U. M.N.]]*Tabla1[[#This Row],[CANTIDADES DE REFERENCIA]]</f>
        <v>0</v>
      </c>
      <c r="J597" s="35">
        <f>Tabla1[[#This Row],[P.U. USD]]*Tabla1[[#This Row],[CANTIDADES DE REFERENCIA]]</f>
        <v>0</v>
      </c>
      <c r="K597" s="36"/>
      <c r="L597" s="36"/>
      <c r="M597" s="36"/>
      <c r="N597" s="37" t="s">
        <v>1277</v>
      </c>
      <c r="O597" s="37" t="s">
        <v>1278</v>
      </c>
      <c r="P597" s="39"/>
      <c r="Q597" s="37" t="s">
        <v>1320</v>
      </c>
      <c r="R597" s="37"/>
      <c r="S597" s="37" t="s">
        <v>1280</v>
      </c>
      <c r="T597" s="31"/>
    </row>
    <row r="598" spans="1:20">
      <c r="A598" s="31"/>
      <c r="B598" s="32"/>
      <c r="C598" s="33"/>
      <c r="D598" s="32" t="s">
        <v>1321</v>
      </c>
      <c r="E598" s="33" t="s">
        <v>116</v>
      </c>
      <c r="F598" s="34">
        <v>1</v>
      </c>
      <c r="G598" s="35">
        <v>0</v>
      </c>
      <c r="H598" s="35">
        <v>0</v>
      </c>
      <c r="I598" s="35">
        <f>Tabla1[[#This Row],[P.U. M.N.]]*Tabla1[[#This Row],[CANTIDADES DE REFERENCIA]]</f>
        <v>0</v>
      </c>
      <c r="J598" s="35">
        <f>Tabla1[[#This Row],[P.U. USD]]*Tabla1[[#This Row],[CANTIDADES DE REFERENCIA]]</f>
        <v>0</v>
      </c>
      <c r="K598" s="36"/>
      <c r="L598" s="36"/>
      <c r="M598" s="36"/>
      <c r="N598" s="37" t="s">
        <v>1277</v>
      </c>
      <c r="O598" s="37" t="s">
        <v>1278</v>
      </c>
      <c r="P598" s="39"/>
      <c r="Q598" s="37" t="s">
        <v>1322</v>
      </c>
      <c r="R598" s="37"/>
      <c r="S598" s="37" t="s">
        <v>1280</v>
      </c>
      <c r="T598" s="31"/>
    </row>
    <row r="599" spans="1:20">
      <c r="A599" s="31"/>
      <c r="B599" s="32"/>
      <c r="C599" s="33"/>
      <c r="D599" s="32" t="s">
        <v>1323</v>
      </c>
      <c r="E599" s="33" t="s">
        <v>116</v>
      </c>
      <c r="F599" s="34">
        <v>1</v>
      </c>
      <c r="G599" s="35">
        <v>0</v>
      </c>
      <c r="H599" s="35">
        <v>0</v>
      </c>
      <c r="I599" s="35">
        <f>Tabla1[[#This Row],[P.U. M.N.]]*Tabla1[[#This Row],[CANTIDADES DE REFERENCIA]]</f>
        <v>0</v>
      </c>
      <c r="J599" s="35">
        <f>Tabla1[[#This Row],[P.U. USD]]*Tabla1[[#This Row],[CANTIDADES DE REFERENCIA]]</f>
        <v>0</v>
      </c>
      <c r="K599" s="36"/>
      <c r="L599" s="36"/>
      <c r="M599" s="36"/>
      <c r="N599" s="37" t="s">
        <v>1277</v>
      </c>
      <c r="O599" s="37" t="s">
        <v>1278</v>
      </c>
      <c r="P599" s="39"/>
      <c r="Q599" s="37" t="s">
        <v>1324</v>
      </c>
      <c r="R599" s="37"/>
      <c r="S599" s="37" t="s">
        <v>1280</v>
      </c>
      <c r="T599" s="31"/>
    </row>
    <row r="600" spans="1:20">
      <c r="A600" s="31"/>
      <c r="B600" s="32"/>
      <c r="C600" s="33"/>
      <c r="D600" s="32" t="s">
        <v>1325</v>
      </c>
      <c r="E600" s="33" t="s">
        <v>116</v>
      </c>
      <c r="F600" s="34">
        <v>1</v>
      </c>
      <c r="G600" s="35">
        <v>0</v>
      </c>
      <c r="H600" s="35">
        <v>0</v>
      </c>
      <c r="I600" s="35">
        <f>Tabla1[[#This Row],[P.U. M.N.]]*Tabla1[[#This Row],[CANTIDADES DE REFERENCIA]]</f>
        <v>0</v>
      </c>
      <c r="J600" s="35">
        <f>Tabla1[[#This Row],[P.U. USD]]*Tabla1[[#This Row],[CANTIDADES DE REFERENCIA]]</f>
        <v>0</v>
      </c>
      <c r="K600" s="36"/>
      <c r="L600" s="36"/>
      <c r="M600" s="36"/>
      <c r="N600" s="37" t="s">
        <v>1277</v>
      </c>
      <c r="O600" s="37" t="s">
        <v>1278</v>
      </c>
      <c r="P600" s="39"/>
      <c r="Q600" s="37" t="s">
        <v>1326</v>
      </c>
      <c r="R600" s="37"/>
      <c r="S600" s="37" t="s">
        <v>1280</v>
      </c>
      <c r="T600" s="31"/>
    </row>
    <row r="601" spans="1:20">
      <c r="A601" s="31"/>
      <c r="B601" s="32"/>
      <c r="C601" s="33"/>
      <c r="D601" s="32" t="s">
        <v>1327</v>
      </c>
      <c r="E601" s="33" t="s">
        <v>116</v>
      </c>
      <c r="F601" s="34">
        <v>1</v>
      </c>
      <c r="G601" s="35">
        <v>0</v>
      </c>
      <c r="H601" s="35">
        <v>0</v>
      </c>
      <c r="I601" s="35">
        <f>Tabla1[[#This Row],[P.U. M.N.]]*Tabla1[[#This Row],[CANTIDADES DE REFERENCIA]]</f>
        <v>0</v>
      </c>
      <c r="J601" s="35">
        <f>Tabla1[[#This Row],[P.U. USD]]*Tabla1[[#This Row],[CANTIDADES DE REFERENCIA]]</f>
        <v>0</v>
      </c>
      <c r="K601" s="36"/>
      <c r="L601" s="36"/>
      <c r="M601" s="36"/>
      <c r="N601" s="37" t="s">
        <v>1277</v>
      </c>
      <c r="O601" s="37" t="s">
        <v>1278</v>
      </c>
      <c r="P601" s="39"/>
      <c r="Q601" s="37" t="s">
        <v>1328</v>
      </c>
      <c r="R601" s="37"/>
      <c r="S601" s="37" t="s">
        <v>1280</v>
      </c>
      <c r="T601" s="31"/>
    </row>
    <row r="602" spans="1:20">
      <c r="A602" s="31"/>
      <c r="B602" s="32"/>
      <c r="C602" s="33"/>
      <c r="D602" s="32" t="s">
        <v>1329</v>
      </c>
      <c r="E602" s="33" t="s">
        <v>42</v>
      </c>
      <c r="F602" s="34">
        <v>1</v>
      </c>
      <c r="G602" s="35">
        <v>0</v>
      </c>
      <c r="H602" s="35">
        <v>0</v>
      </c>
      <c r="I602" s="35">
        <f>Tabla1[[#This Row],[P.U. M.N.]]*Tabla1[[#This Row],[CANTIDADES DE REFERENCIA]]</f>
        <v>0</v>
      </c>
      <c r="J602" s="35">
        <f>Tabla1[[#This Row],[P.U. USD]]*Tabla1[[#This Row],[CANTIDADES DE REFERENCIA]]</f>
        <v>0</v>
      </c>
      <c r="K602" s="36"/>
      <c r="L602" s="36"/>
      <c r="M602" s="36"/>
      <c r="N602" s="37" t="s">
        <v>1277</v>
      </c>
      <c r="O602" s="37" t="s">
        <v>1278</v>
      </c>
      <c r="P602" s="39"/>
      <c r="Q602" s="37" t="s">
        <v>1330</v>
      </c>
      <c r="R602" s="37"/>
      <c r="S602" s="37" t="s">
        <v>1280</v>
      </c>
      <c r="T602" s="31"/>
    </row>
    <row r="603" spans="1:20">
      <c r="A603" s="31"/>
      <c r="B603" s="32"/>
      <c r="C603" s="33"/>
      <c r="D603" s="32" t="s">
        <v>1331</v>
      </c>
      <c r="E603" s="33" t="s">
        <v>116</v>
      </c>
      <c r="F603" s="34">
        <v>1</v>
      </c>
      <c r="G603" s="35">
        <v>0</v>
      </c>
      <c r="H603" s="35">
        <v>0</v>
      </c>
      <c r="I603" s="35">
        <f>Tabla1[[#This Row],[P.U. M.N.]]*Tabla1[[#This Row],[CANTIDADES DE REFERENCIA]]</f>
        <v>0</v>
      </c>
      <c r="J603" s="35">
        <f>Tabla1[[#This Row],[P.U. USD]]*Tabla1[[#This Row],[CANTIDADES DE REFERENCIA]]</f>
        <v>0</v>
      </c>
      <c r="K603" s="36"/>
      <c r="L603" s="36"/>
      <c r="M603" s="36"/>
      <c r="N603" s="37" t="s">
        <v>1277</v>
      </c>
      <c r="O603" s="37" t="s">
        <v>1278</v>
      </c>
      <c r="P603" s="39"/>
      <c r="Q603" s="37" t="s">
        <v>1332</v>
      </c>
      <c r="R603" s="37"/>
      <c r="S603" s="37" t="s">
        <v>1280</v>
      </c>
      <c r="T603" s="31"/>
    </row>
    <row r="604" spans="1:20">
      <c r="A604" s="31"/>
      <c r="B604" s="32"/>
      <c r="C604" s="33"/>
      <c r="D604" s="32" t="s">
        <v>1333</v>
      </c>
      <c r="E604" s="33" t="s">
        <v>116</v>
      </c>
      <c r="F604" s="34">
        <v>1</v>
      </c>
      <c r="G604" s="35">
        <v>0</v>
      </c>
      <c r="H604" s="35">
        <v>0</v>
      </c>
      <c r="I604" s="35">
        <f>Tabla1[[#This Row],[P.U. M.N.]]*Tabla1[[#This Row],[CANTIDADES DE REFERENCIA]]</f>
        <v>0</v>
      </c>
      <c r="J604" s="35">
        <f>Tabla1[[#This Row],[P.U. USD]]*Tabla1[[#This Row],[CANTIDADES DE REFERENCIA]]</f>
        <v>0</v>
      </c>
      <c r="K604" s="36"/>
      <c r="L604" s="36"/>
      <c r="M604" s="36"/>
      <c r="N604" s="37" t="s">
        <v>1277</v>
      </c>
      <c r="O604" s="37" t="s">
        <v>1278</v>
      </c>
      <c r="P604" s="39"/>
      <c r="Q604" s="37" t="s">
        <v>1334</v>
      </c>
      <c r="R604" s="37"/>
      <c r="S604" s="37" t="s">
        <v>1280</v>
      </c>
      <c r="T604" s="31"/>
    </row>
    <row r="605" spans="1:20">
      <c r="A605" s="31"/>
      <c r="B605" s="32"/>
      <c r="C605" s="33"/>
      <c r="D605" s="32" t="s">
        <v>1335</v>
      </c>
      <c r="E605" s="33" t="s">
        <v>116</v>
      </c>
      <c r="F605" s="34">
        <v>1</v>
      </c>
      <c r="G605" s="35">
        <v>0</v>
      </c>
      <c r="H605" s="35">
        <v>0</v>
      </c>
      <c r="I605" s="35">
        <f>Tabla1[[#This Row],[P.U. M.N.]]*Tabla1[[#This Row],[CANTIDADES DE REFERENCIA]]</f>
        <v>0</v>
      </c>
      <c r="J605" s="35">
        <f>Tabla1[[#This Row],[P.U. USD]]*Tabla1[[#This Row],[CANTIDADES DE REFERENCIA]]</f>
        <v>0</v>
      </c>
      <c r="K605" s="36"/>
      <c r="L605" s="36"/>
      <c r="M605" s="36"/>
      <c r="N605" s="37" t="s">
        <v>1277</v>
      </c>
      <c r="O605" s="37" t="s">
        <v>1278</v>
      </c>
      <c r="P605" s="39"/>
      <c r="Q605" s="37" t="s">
        <v>1336</v>
      </c>
      <c r="R605" s="37"/>
      <c r="S605" s="37" t="s">
        <v>1280</v>
      </c>
      <c r="T605" s="31"/>
    </row>
    <row r="606" spans="1:20">
      <c r="A606" s="31"/>
      <c r="B606" s="32"/>
      <c r="C606" s="33"/>
      <c r="D606" s="32" t="s">
        <v>1337</v>
      </c>
      <c r="E606" s="33" t="s">
        <v>116</v>
      </c>
      <c r="F606" s="34">
        <v>1</v>
      </c>
      <c r="G606" s="35">
        <v>0</v>
      </c>
      <c r="H606" s="35">
        <v>0</v>
      </c>
      <c r="I606" s="35">
        <f>Tabla1[[#This Row],[P.U. M.N.]]*Tabla1[[#This Row],[CANTIDADES DE REFERENCIA]]</f>
        <v>0</v>
      </c>
      <c r="J606" s="35">
        <f>Tabla1[[#This Row],[P.U. USD]]*Tabla1[[#This Row],[CANTIDADES DE REFERENCIA]]</f>
        <v>0</v>
      </c>
      <c r="K606" s="36"/>
      <c r="L606" s="36"/>
      <c r="M606" s="36"/>
      <c r="N606" s="37" t="s">
        <v>1277</v>
      </c>
      <c r="O606" s="37" t="s">
        <v>1278</v>
      </c>
      <c r="P606" s="39"/>
      <c r="Q606" s="37" t="s">
        <v>1338</v>
      </c>
      <c r="R606" s="37"/>
      <c r="S606" s="37" t="s">
        <v>1280</v>
      </c>
      <c r="T606" s="31"/>
    </row>
    <row r="607" spans="1:20">
      <c r="A607" s="31"/>
      <c r="B607" s="32"/>
      <c r="C607" s="33"/>
      <c r="D607" s="32" t="s">
        <v>1339</v>
      </c>
      <c r="E607" s="33" t="s">
        <v>116</v>
      </c>
      <c r="F607" s="34">
        <v>1</v>
      </c>
      <c r="G607" s="35">
        <v>0</v>
      </c>
      <c r="H607" s="35">
        <v>0</v>
      </c>
      <c r="I607" s="35">
        <f>Tabla1[[#This Row],[P.U. M.N.]]*Tabla1[[#This Row],[CANTIDADES DE REFERENCIA]]</f>
        <v>0</v>
      </c>
      <c r="J607" s="35">
        <f>Tabla1[[#This Row],[P.U. USD]]*Tabla1[[#This Row],[CANTIDADES DE REFERENCIA]]</f>
        <v>0</v>
      </c>
      <c r="K607" s="36"/>
      <c r="L607" s="36"/>
      <c r="M607" s="36"/>
      <c r="N607" s="37" t="s">
        <v>1277</v>
      </c>
      <c r="O607" s="37" t="s">
        <v>1278</v>
      </c>
      <c r="P607" s="39"/>
      <c r="Q607" s="37" t="s">
        <v>1340</v>
      </c>
      <c r="R607" s="37"/>
      <c r="S607" s="37" t="s">
        <v>1280</v>
      </c>
      <c r="T607" s="31"/>
    </row>
    <row r="608" spans="1:20">
      <c r="A608" s="31"/>
      <c r="B608" s="32"/>
      <c r="C608" s="33"/>
      <c r="D608" s="32" t="s">
        <v>1341</v>
      </c>
      <c r="E608" s="33" t="s">
        <v>116</v>
      </c>
      <c r="F608" s="34">
        <v>1</v>
      </c>
      <c r="G608" s="35">
        <v>0</v>
      </c>
      <c r="H608" s="35">
        <v>0</v>
      </c>
      <c r="I608" s="35">
        <f>Tabla1[[#This Row],[P.U. M.N.]]*Tabla1[[#This Row],[CANTIDADES DE REFERENCIA]]</f>
        <v>0</v>
      </c>
      <c r="J608" s="35">
        <f>Tabla1[[#This Row],[P.U. USD]]*Tabla1[[#This Row],[CANTIDADES DE REFERENCIA]]</f>
        <v>0</v>
      </c>
      <c r="K608" s="36"/>
      <c r="L608" s="36"/>
      <c r="M608" s="36"/>
      <c r="N608" s="37" t="s">
        <v>1277</v>
      </c>
      <c r="O608" s="37" t="s">
        <v>1278</v>
      </c>
      <c r="P608" s="39"/>
      <c r="Q608" s="37" t="s">
        <v>1342</v>
      </c>
      <c r="R608" s="37"/>
      <c r="S608" s="37" t="s">
        <v>1280</v>
      </c>
      <c r="T608" s="31"/>
    </row>
    <row r="609" spans="1:20">
      <c r="A609" s="31"/>
      <c r="B609" s="32"/>
      <c r="C609" s="33"/>
      <c r="D609" s="32" t="s">
        <v>1343</v>
      </c>
      <c r="E609" s="33" t="s">
        <v>116</v>
      </c>
      <c r="F609" s="34">
        <v>1</v>
      </c>
      <c r="G609" s="35">
        <v>0</v>
      </c>
      <c r="H609" s="35">
        <v>0</v>
      </c>
      <c r="I609" s="35">
        <f>Tabla1[[#This Row],[P.U. M.N.]]*Tabla1[[#This Row],[CANTIDADES DE REFERENCIA]]</f>
        <v>0</v>
      </c>
      <c r="J609" s="35">
        <f>Tabla1[[#This Row],[P.U. USD]]*Tabla1[[#This Row],[CANTIDADES DE REFERENCIA]]</f>
        <v>0</v>
      </c>
      <c r="K609" s="36"/>
      <c r="L609" s="36"/>
      <c r="M609" s="36"/>
      <c r="N609" s="37" t="s">
        <v>1277</v>
      </c>
      <c r="O609" s="37" t="s">
        <v>1278</v>
      </c>
      <c r="P609" s="39"/>
      <c r="Q609" s="37" t="s">
        <v>1344</v>
      </c>
      <c r="R609" s="37"/>
      <c r="S609" s="37" t="s">
        <v>1280</v>
      </c>
      <c r="T609" s="31"/>
    </row>
    <row r="610" spans="1:20">
      <c r="A610" s="31"/>
      <c r="B610" s="32"/>
      <c r="C610" s="33"/>
      <c r="D610" s="32" t="s">
        <v>1345</v>
      </c>
      <c r="E610" s="33" t="s">
        <v>116</v>
      </c>
      <c r="F610" s="34">
        <v>1</v>
      </c>
      <c r="G610" s="35">
        <v>0</v>
      </c>
      <c r="H610" s="35">
        <v>0</v>
      </c>
      <c r="I610" s="35">
        <f>Tabla1[[#This Row],[P.U. M.N.]]*Tabla1[[#This Row],[CANTIDADES DE REFERENCIA]]</f>
        <v>0</v>
      </c>
      <c r="J610" s="35">
        <f>Tabla1[[#This Row],[P.U. USD]]*Tabla1[[#This Row],[CANTIDADES DE REFERENCIA]]</f>
        <v>0</v>
      </c>
      <c r="K610" s="36"/>
      <c r="L610" s="36"/>
      <c r="M610" s="36"/>
      <c r="N610" s="37" t="s">
        <v>1277</v>
      </c>
      <c r="O610" s="37" t="s">
        <v>1278</v>
      </c>
      <c r="P610" s="39"/>
      <c r="Q610" s="37" t="s">
        <v>1346</v>
      </c>
      <c r="R610" s="37"/>
      <c r="S610" s="37" t="s">
        <v>1280</v>
      </c>
      <c r="T610" s="31"/>
    </row>
    <row r="611" spans="1:20">
      <c r="A611" s="31"/>
      <c r="B611" s="32"/>
      <c r="C611" s="33"/>
      <c r="D611" s="32" t="s">
        <v>1347</v>
      </c>
      <c r="E611" s="33" t="s">
        <v>135</v>
      </c>
      <c r="F611" s="34">
        <v>1</v>
      </c>
      <c r="G611" s="35">
        <v>0</v>
      </c>
      <c r="H611" s="35">
        <v>0</v>
      </c>
      <c r="I611" s="35">
        <f>Tabla1[[#This Row],[P.U. M.N.]]*Tabla1[[#This Row],[CANTIDADES DE REFERENCIA]]</f>
        <v>0</v>
      </c>
      <c r="J611" s="35">
        <f>Tabla1[[#This Row],[P.U. USD]]*Tabla1[[#This Row],[CANTIDADES DE REFERENCIA]]</f>
        <v>0</v>
      </c>
      <c r="K611" s="36"/>
      <c r="L611" s="36"/>
      <c r="M611" s="36"/>
      <c r="N611" s="37" t="s">
        <v>1277</v>
      </c>
      <c r="O611" s="37" t="s">
        <v>1278</v>
      </c>
      <c r="P611" s="39"/>
      <c r="Q611" s="37" t="s">
        <v>1348</v>
      </c>
      <c r="R611" s="37"/>
      <c r="S611" s="37" t="s">
        <v>1280</v>
      </c>
      <c r="T611" s="31"/>
    </row>
    <row r="612" spans="1:20">
      <c r="A612" s="31"/>
      <c r="B612" s="32"/>
      <c r="C612" s="33"/>
      <c r="D612" s="32" t="s">
        <v>1349</v>
      </c>
      <c r="E612" s="33" t="s">
        <v>116</v>
      </c>
      <c r="F612" s="34">
        <v>1</v>
      </c>
      <c r="G612" s="35">
        <v>0</v>
      </c>
      <c r="H612" s="35">
        <v>0</v>
      </c>
      <c r="I612" s="35">
        <f>Tabla1[[#This Row],[P.U. M.N.]]*Tabla1[[#This Row],[CANTIDADES DE REFERENCIA]]</f>
        <v>0</v>
      </c>
      <c r="J612" s="35">
        <f>Tabla1[[#This Row],[P.U. USD]]*Tabla1[[#This Row],[CANTIDADES DE REFERENCIA]]</f>
        <v>0</v>
      </c>
      <c r="K612" s="36"/>
      <c r="L612" s="36"/>
      <c r="M612" s="36"/>
      <c r="N612" s="37" t="s">
        <v>1277</v>
      </c>
      <c r="O612" s="37" t="s">
        <v>1278</v>
      </c>
      <c r="P612" s="39"/>
      <c r="Q612" s="37" t="s">
        <v>1350</v>
      </c>
      <c r="R612" s="37"/>
      <c r="S612" s="37" t="s">
        <v>1280</v>
      </c>
      <c r="T612" s="31"/>
    </row>
    <row r="613" spans="1:20">
      <c r="A613" s="31"/>
      <c r="B613" s="32"/>
      <c r="C613" s="33"/>
      <c r="D613" s="32" t="s">
        <v>1351</v>
      </c>
      <c r="E613" s="33" t="s">
        <v>116</v>
      </c>
      <c r="F613" s="34">
        <v>1</v>
      </c>
      <c r="G613" s="35">
        <v>0</v>
      </c>
      <c r="H613" s="35">
        <v>0</v>
      </c>
      <c r="I613" s="35">
        <f>Tabla1[[#This Row],[P.U. M.N.]]*Tabla1[[#This Row],[CANTIDADES DE REFERENCIA]]</f>
        <v>0</v>
      </c>
      <c r="J613" s="35">
        <f>Tabla1[[#This Row],[P.U. USD]]*Tabla1[[#This Row],[CANTIDADES DE REFERENCIA]]</f>
        <v>0</v>
      </c>
      <c r="K613" s="36"/>
      <c r="L613" s="36"/>
      <c r="M613" s="36"/>
      <c r="N613" s="37" t="s">
        <v>1277</v>
      </c>
      <c r="O613" s="37" t="s">
        <v>1278</v>
      </c>
      <c r="P613" s="39"/>
      <c r="Q613" s="37" t="s">
        <v>1352</v>
      </c>
      <c r="R613" s="37"/>
      <c r="S613" s="37" t="s">
        <v>1280</v>
      </c>
      <c r="T613" s="31"/>
    </row>
    <row r="614" spans="1:20">
      <c r="A614" s="31"/>
      <c r="B614" s="32"/>
      <c r="C614" s="33"/>
      <c r="D614" s="32" t="s">
        <v>1353</v>
      </c>
      <c r="E614" s="33" t="s">
        <v>116</v>
      </c>
      <c r="F614" s="34">
        <v>1</v>
      </c>
      <c r="G614" s="35">
        <v>0</v>
      </c>
      <c r="H614" s="35">
        <v>0</v>
      </c>
      <c r="I614" s="35">
        <f>Tabla1[[#This Row],[P.U. M.N.]]*Tabla1[[#This Row],[CANTIDADES DE REFERENCIA]]</f>
        <v>0</v>
      </c>
      <c r="J614" s="35">
        <f>Tabla1[[#This Row],[P.U. USD]]*Tabla1[[#This Row],[CANTIDADES DE REFERENCIA]]</f>
        <v>0</v>
      </c>
      <c r="K614" s="36"/>
      <c r="L614" s="36"/>
      <c r="M614" s="36"/>
      <c r="N614" s="37" t="s">
        <v>1277</v>
      </c>
      <c r="O614" s="37" t="s">
        <v>1278</v>
      </c>
      <c r="P614" s="39"/>
      <c r="Q614" s="37" t="s">
        <v>1354</v>
      </c>
      <c r="R614" s="37"/>
      <c r="S614" s="37" t="s">
        <v>1280</v>
      </c>
      <c r="T614" s="31"/>
    </row>
    <row r="615" spans="1:20">
      <c r="A615" s="31"/>
      <c r="B615" s="32"/>
      <c r="C615" s="33"/>
      <c r="D615" s="32" t="s">
        <v>1355</v>
      </c>
      <c r="E615" s="33" t="s">
        <v>116</v>
      </c>
      <c r="F615" s="34">
        <v>1</v>
      </c>
      <c r="G615" s="35">
        <v>0</v>
      </c>
      <c r="H615" s="35">
        <v>0</v>
      </c>
      <c r="I615" s="35">
        <f>Tabla1[[#This Row],[P.U. M.N.]]*Tabla1[[#This Row],[CANTIDADES DE REFERENCIA]]</f>
        <v>0</v>
      </c>
      <c r="J615" s="35">
        <f>Tabla1[[#This Row],[P.U. USD]]*Tabla1[[#This Row],[CANTIDADES DE REFERENCIA]]</f>
        <v>0</v>
      </c>
      <c r="K615" s="36"/>
      <c r="L615" s="36"/>
      <c r="M615" s="36"/>
      <c r="N615" s="37" t="s">
        <v>1277</v>
      </c>
      <c r="O615" s="37" t="s">
        <v>1278</v>
      </c>
      <c r="P615" s="39"/>
      <c r="Q615" s="37" t="s">
        <v>1356</v>
      </c>
      <c r="R615" s="37"/>
      <c r="S615" s="37" t="s">
        <v>1280</v>
      </c>
      <c r="T615" s="31"/>
    </row>
    <row r="616" spans="1:20">
      <c r="A616" s="31"/>
      <c r="B616" s="32"/>
      <c r="C616" s="33"/>
      <c r="D616" s="32" t="s">
        <v>1357</v>
      </c>
      <c r="E616" s="33" t="s">
        <v>116</v>
      </c>
      <c r="F616" s="34">
        <v>1</v>
      </c>
      <c r="G616" s="35">
        <v>0</v>
      </c>
      <c r="H616" s="35">
        <v>0</v>
      </c>
      <c r="I616" s="35">
        <f>Tabla1[[#This Row],[P.U. M.N.]]*Tabla1[[#This Row],[CANTIDADES DE REFERENCIA]]</f>
        <v>0</v>
      </c>
      <c r="J616" s="35">
        <f>Tabla1[[#This Row],[P.U. USD]]*Tabla1[[#This Row],[CANTIDADES DE REFERENCIA]]</f>
        <v>0</v>
      </c>
      <c r="K616" s="36"/>
      <c r="L616" s="36"/>
      <c r="M616" s="36"/>
      <c r="N616" s="37" t="s">
        <v>1277</v>
      </c>
      <c r="O616" s="37" t="s">
        <v>1278</v>
      </c>
      <c r="P616" s="39"/>
      <c r="Q616" s="37" t="s">
        <v>1358</v>
      </c>
      <c r="R616" s="37"/>
      <c r="S616" s="37" t="s">
        <v>1280</v>
      </c>
      <c r="T616" s="31"/>
    </row>
    <row r="617" spans="1:20">
      <c r="A617" s="31"/>
      <c r="B617" s="32"/>
      <c r="C617" s="33"/>
      <c r="D617" s="32" t="s">
        <v>1359</v>
      </c>
      <c r="E617" s="33" t="s">
        <v>116</v>
      </c>
      <c r="F617" s="34">
        <v>1</v>
      </c>
      <c r="G617" s="35">
        <v>0</v>
      </c>
      <c r="H617" s="35">
        <v>0</v>
      </c>
      <c r="I617" s="35">
        <f>Tabla1[[#This Row],[P.U. M.N.]]*Tabla1[[#This Row],[CANTIDADES DE REFERENCIA]]</f>
        <v>0</v>
      </c>
      <c r="J617" s="35">
        <f>Tabla1[[#This Row],[P.U. USD]]*Tabla1[[#This Row],[CANTIDADES DE REFERENCIA]]</f>
        <v>0</v>
      </c>
      <c r="K617" s="36"/>
      <c r="L617" s="36"/>
      <c r="M617" s="36"/>
      <c r="N617" s="37" t="s">
        <v>1277</v>
      </c>
      <c r="O617" s="37" t="s">
        <v>1278</v>
      </c>
      <c r="P617" s="39"/>
      <c r="Q617" s="37" t="s">
        <v>1360</v>
      </c>
      <c r="R617" s="37"/>
      <c r="S617" s="37" t="s">
        <v>1280</v>
      </c>
      <c r="T617" s="31"/>
    </row>
    <row r="618" spans="1:20">
      <c r="A618" s="31"/>
      <c r="B618" s="32"/>
      <c r="C618" s="33"/>
      <c r="D618" s="32" t="s">
        <v>1361</v>
      </c>
      <c r="E618" s="33" t="s">
        <v>116</v>
      </c>
      <c r="F618" s="34">
        <v>1</v>
      </c>
      <c r="G618" s="35">
        <v>0</v>
      </c>
      <c r="H618" s="35">
        <v>0</v>
      </c>
      <c r="I618" s="35">
        <f>Tabla1[[#This Row],[P.U. M.N.]]*Tabla1[[#This Row],[CANTIDADES DE REFERENCIA]]</f>
        <v>0</v>
      </c>
      <c r="J618" s="35">
        <f>Tabla1[[#This Row],[P.U. USD]]*Tabla1[[#This Row],[CANTIDADES DE REFERENCIA]]</f>
        <v>0</v>
      </c>
      <c r="K618" s="36"/>
      <c r="L618" s="36"/>
      <c r="M618" s="36"/>
      <c r="N618" s="37" t="s">
        <v>1277</v>
      </c>
      <c r="O618" s="37" t="s">
        <v>1278</v>
      </c>
      <c r="P618" s="39"/>
      <c r="Q618" s="37" t="s">
        <v>1362</v>
      </c>
      <c r="R618" s="37"/>
      <c r="S618" s="37" t="s">
        <v>1280</v>
      </c>
      <c r="T618" s="31"/>
    </row>
    <row r="619" spans="1:20">
      <c r="A619" s="31"/>
      <c r="B619" s="32"/>
      <c r="C619" s="33"/>
      <c r="D619" s="32" t="s">
        <v>1363</v>
      </c>
      <c r="E619" s="33" t="s">
        <v>116</v>
      </c>
      <c r="F619" s="34">
        <v>1</v>
      </c>
      <c r="G619" s="35">
        <v>0</v>
      </c>
      <c r="H619" s="35">
        <v>0</v>
      </c>
      <c r="I619" s="35">
        <f>Tabla1[[#This Row],[P.U. M.N.]]*Tabla1[[#This Row],[CANTIDADES DE REFERENCIA]]</f>
        <v>0</v>
      </c>
      <c r="J619" s="35">
        <f>Tabla1[[#This Row],[P.U. USD]]*Tabla1[[#This Row],[CANTIDADES DE REFERENCIA]]</f>
        <v>0</v>
      </c>
      <c r="K619" s="36"/>
      <c r="L619" s="36"/>
      <c r="M619" s="36"/>
      <c r="N619" s="37" t="s">
        <v>1277</v>
      </c>
      <c r="O619" s="37" t="s">
        <v>1278</v>
      </c>
      <c r="P619" s="39"/>
      <c r="Q619" s="37" t="s">
        <v>1364</v>
      </c>
      <c r="R619" s="37"/>
      <c r="S619" s="37" t="s">
        <v>1280</v>
      </c>
      <c r="T619" s="31"/>
    </row>
    <row r="620" spans="1:20">
      <c r="A620" s="31"/>
      <c r="B620" s="32"/>
      <c r="C620" s="33"/>
      <c r="D620" s="32" t="s">
        <v>1365</v>
      </c>
      <c r="E620" s="33" t="s">
        <v>116</v>
      </c>
      <c r="F620" s="34">
        <v>1</v>
      </c>
      <c r="G620" s="35">
        <v>0</v>
      </c>
      <c r="H620" s="35">
        <v>0</v>
      </c>
      <c r="I620" s="35">
        <f>Tabla1[[#This Row],[P.U. M.N.]]*Tabla1[[#This Row],[CANTIDADES DE REFERENCIA]]</f>
        <v>0</v>
      </c>
      <c r="J620" s="35">
        <f>Tabla1[[#This Row],[P.U. USD]]*Tabla1[[#This Row],[CANTIDADES DE REFERENCIA]]</f>
        <v>0</v>
      </c>
      <c r="K620" s="36"/>
      <c r="L620" s="36"/>
      <c r="M620" s="36"/>
      <c r="N620" s="37" t="s">
        <v>1277</v>
      </c>
      <c r="O620" s="37" t="s">
        <v>1278</v>
      </c>
      <c r="P620" s="39"/>
      <c r="Q620" s="37" t="s">
        <v>1366</v>
      </c>
      <c r="R620" s="37"/>
      <c r="S620" s="37" t="s">
        <v>1280</v>
      </c>
      <c r="T620" s="31"/>
    </row>
    <row r="621" spans="1:20">
      <c r="A621" s="31"/>
      <c r="B621" s="32"/>
      <c r="C621" s="33"/>
      <c r="D621" s="32" t="s">
        <v>1367</v>
      </c>
      <c r="E621" s="33" t="s">
        <v>116</v>
      </c>
      <c r="F621" s="34">
        <v>1</v>
      </c>
      <c r="G621" s="35">
        <v>0</v>
      </c>
      <c r="H621" s="35">
        <v>0</v>
      </c>
      <c r="I621" s="35">
        <f>Tabla1[[#This Row],[P.U. M.N.]]*Tabla1[[#This Row],[CANTIDADES DE REFERENCIA]]</f>
        <v>0</v>
      </c>
      <c r="J621" s="35">
        <f>Tabla1[[#This Row],[P.U. USD]]*Tabla1[[#This Row],[CANTIDADES DE REFERENCIA]]</f>
        <v>0</v>
      </c>
      <c r="K621" s="36"/>
      <c r="L621" s="36"/>
      <c r="M621" s="36"/>
      <c r="N621" s="37" t="s">
        <v>1277</v>
      </c>
      <c r="O621" s="37" t="s">
        <v>1278</v>
      </c>
      <c r="P621" s="39"/>
      <c r="Q621" s="37" t="s">
        <v>1368</v>
      </c>
      <c r="R621" s="37"/>
      <c r="S621" s="37" t="s">
        <v>1280</v>
      </c>
      <c r="T621" s="31"/>
    </row>
    <row r="622" spans="1:20">
      <c r="A622" s="31"/>
      <c r="B622" s="32"/>
      <c r="C622" s="33"/>
      <c r="D622" s="32" t="s">
        <v>1369</v>
      </c>
      <c r="E622" s="33" t="s">
        <v>116</v>
      </c>
      <c r="F622" s="34">
        <v>1</v>
      </c>
      <c r="G622" s="35">
        <v>0</v>
      </c>
      <c r="H622" s="35">
        <v>0</v>
      </c>
      <c r="I622" s="35">
        <f>Tabla1[[#This Row],[P.U. M.N.]]*Tabla1[[#This Row],[CANTIDADES DE REFERENCIA]]</f>
        <v>0</v>
      </c>
      <c r="J622" s="35">
        <f>Tabla1[[#This Row],[P.U. USD]]*Tabla1[[#This Row],[CANTIDADES DE REFERENCIA]]</f>
        <v>0</v>
      </c>
      <c r="K622" s="36"/>
      <c r="L622" s="36"/>
      <c r="M622" s="36"/>
      <c r="N622" s="37" t="s">
        <v>1277</v>
      </c>
      <c r="O622" s="37" t="s">
        <v>1278</v>
      </c>
      <c r="P622" s="39"/>
      <c r="Q622" s="37" t="s">
        <v>1370</v>
      </c>
      <c r="R622" s="37"/>
      <c r="S622" s="37" t="s">
        <v>1280</v>
      </c>
      <c r="T622" s="31"/>
    </row>
    <row r="623" spans="1:20">
      <c r="A623" s="31"/>
      <c r="B623" s="32"/>
      <c r="C623" s="33"/>
      <c r="D623" s="32" t="s">
        <v>1371</v>
      </c>
      <c r="E623" s="33" t="s">
        <v>116</v>
      </c>
      <c r="F623" s="34">
        <v>1</v>
      </c>
      <c r="G623" s="35">
        <v>0</v>
      </c>
      <c r="H623" s="35">
        <v>0</v>
      </c>
      <c r="I623" s="35">
        <f>Tabla1[[#This Row],[P.U. M.N.]]*Tabla1[[#This Row],[CANTIDADES DE REFERENCIA]]</f>
        <v>0</v>
      </c>
      <c r="J623" s="35">
        <f>Tabla1[[#This Row],[P.U. USD]]*Tabla1[[#This Row],[CANTIDADES DE REFERENCIA]]</f>
        <v>0</v>
      </c>
      <c r="K623" s="36"/>
      <c r="L623" s="36"/>
      <c r="M623" s="36"/>
      <c r="N623" s="37" t="s">
        <v>1277</v>
      </c>
      <c r="O623" s="37" t="s">
        <v>1278</v>
      </c>
      <c r="P623" s="39"/>
      <c r="Q623" s="37" t="s">
        <v>1372</v>
      </c>
      <c r="R623" s="37"/>
      <c r="S623" s="37" t="s">
        <v>1280</v>
      </c>
      <c r="T623" s="31"/>
    </row>
    <row r="624" spans="1:20">
      <c r="A624" s="31"/>
      <c r="B624" s="32"/>
      <c r="C624" s="33"/>
      <c r="D624" s="32" t="s">
        <v>1373</v>
      </c>
      <c r="E624" s="33" t="s">
        <v>116</v>
      </c>
      <c r="F624" s="34">
        <v>1</v>
      </c>
      <c r="G624" s="35">
        <v>0</v>
      </c>
      <c r="H624" s="35">
        <v>0</v>
      </c>
      <c r="I624" s="35">
        <f>Tabla1[[#This Row],[P.U. M.N.]]*Tabla1[[#This Row],[CANTIDADES DE REFERENCIA]]</f>
        <v>0</v>
      </c>
      <c r="J624" s="35">
        <f>Tabla1[[#This Row],[P.U. USD]]*Tabla1[[#This Row],[CANTIDADES DE REFERENCIA]]</f>
        <v>0</v>
      </c>
      <c r="K624" s="36"/>
      <c r="L624" s="36"/>
      <c r="M624" s="36"/>
      <c r="N624" s="37" t="s">
        <v>1277</v>
      </c>
      <c r="O624" s="37" t="s">
        <v>1278</v>
      </c>
      <c r="P624" s="39"/>
      <c r="Q624" s="37" t="s">
        <v>1374</v>
      </c>
      <c r="R624" s="37"/>
      <c r="S624" s="37" t="s">
        <v>1280</v>
      </c>
      <c r="T624" s="31"/>
    </row>
    <row r="625" spans="1:20">
      <c r="A625" s="31"/>
      <c r="B625" s="32"/>
      <c r="C625" s="33"/>
      <c r="D625" s="32" t="s">
        <v>1375</v>
      </c>
      <c r="E625" s="33" t="s">
        <v>116</v>
      </c>
      <c r="F625" s="34">
        <v>1</v>
      </c>
      <c r="G625" s="35">
        <v>0</v>
      </c>
      <c r="H625" s="35">
        <v>0</v>
      </c>
      <c r="I625" s="35">
        <f>Tabla1[[#This Row],[P.U. M.N.]]*Tabla1[[#This Row],[CANTIDADES DE REFERENCIA]]</f>
        <v>0</v>
      </c>
      <c r="J625" s="35">
        <f>Tabla1[[#This Row],[P.U. USD]]*Tabla1[[#This Row],[CANTIDADES DE REFERENCIA]]</f>
        <v>0</v>
      </c>
      <c r="K625" s="36"/>
      <c r="L625" s="36"/>
      <c r="M625" s="36"/>
      <c r="N625" s="37" t="s">
        <v>1277</v>
      </c>
      <c r="O625" s="37" t="s">
        <v>1278</v>
      </c>
      <c r="P625" s="39"/>
      <c r="Q625" s="37" t="s">
        <v>1376</v>
      </c>
      <c r="R625" s="37"/>
      <c r="S625" s="37" t="s">
        <v>1280</v>
      </c>
      <c r="T625" s="31"/>
    </row>
    <row r="626" spans="1:20">
      <c r="A626" s="31"/>
      <c r="B626" s="32"/>
      <c r="C626" s="33"/>
      <c r="D626" s="32" t="s">
        <v>1377</v>
      </c>
      <c r="E626" s="33" t="s">
        <v>116</v>
      </c>
      <c r="F626" s="34">
        <v>1</v>
      </c>
      <c r="G626" s="35">
        <v>0</v>
      </c>
      <c r="H626" s="35">
        <v>0</v>
      </c>
      <c r="I626" s="35">
        <f>Tabla1[[#This Row],[P.U. M.N.]]*Tabla1[[#This Row],[CANTIDADES DE REFERENCIA]]</f>
        <v>0</v>
      </c>
      <c r="J626" s="35">
        <f>Tabla1[[#This Row],[P.U. USD]]*Tabla1[[#This Row],[CANTIDADES DE REFERENCIA]]</f>
        <v>0</v>
      </c>
      <c r="K626" s="36"/>
      <c r="L626" s="36"/>
      <c r="M626" s="36"/>
      <c r="N626" s="37" t="s">
        <v>1277</v>
      </c>
      <c r="O626" s="37" t="s">
        <v>1278</v>
      </c>
      <c r="P626" s="39"/>
      <c r="Q626" s="37" t="s">
        <v>1378</v>
      </c>
      <c r="R626" s="37"/>
      <c r="S626" s="37" t="s">
        <v>1280</v>
      </c>
      <c r="T626" s="31"/>
    </row>
    <row r="627" spans="1:20">
      <c r="A627" s="31"/>
      <c r="B627" s="32"/>
      <c r="C627" s="33"/>
      <c r="D627" s="32" t="s">
        <v>1379</v>
      </c>
      <c r="E627" s="33" t="s">
        <v>116</v>
      </c>
      <c r="F627" s="34">
        <v>1</v>
      </c>
      <c r="G627" s="35">
        <v>0</v>
      </c>
      <c r="H627" s="35">
        <v>0</v>
      </c>
      <c r="I627" s="35">
        <f>Tabla1[[#This Row],[P.U. M.N.]]*Tabla1[[#This Row],[CANTIDADES DE REFERENCIA]]</f>
        <v>0</v>
      </c>
      <c r="J627" s="35">
        <f>Tabla1[[#This Row],[P.U. USD]]*Tabla1[[#This Row],[CANTIDADES DE REFERENCIA]]</f>
        <v>0</v>
      </c>
      <c r="K627" s="36"/>
      <c r="L627" s="36"/>
      <c r="M627" s="36"/>
      <c r="N627" s="37" t="s">
        <v>1277</v>
      </c>
      <c r="O627" s="37" t="s">
        <v>1278</v>
      </c>
      <c r="P627" s="39"/>
      <c r="Q627" s="37" t="s">
        <v>1380</v>
      </c>
      <c r="R627" s="37"/>
      <c r="S627" s="37" t="s">
        <v>1280</v>
      </c>
      <c r="T627" s="31"/>
    </row>
    <row r="628" spans="1:20">
      <c r="A628" s="31"/>
      <c r="B628" s="32"/>
      <c r="C628" s="33"/>
      <c r="D628" s="32" t="s">
        <v>1381</v>
      </c>
      <c r="E628" s="33" t="s">
        <v>116</v>
      </c>
      <c r="F628" s="34">
        <v>1</v>
      </c>
      <c r="G628" s="35">
        <v>0</v>
      </c>
      <c r="H628" s="35">
        <v>0</v>
      </c>
      <c r="I628" s="35">
        <f>Tabla1[[#This Row],[P.U. M.N.]]*Tabla1[[#This Row],[CANTIDADES DE REFERENCIA]]</f>
        <v>0</v>
      </c>
      <c r="J628" s="35">
        <f>Tabla1[[#This Row],[P.U. USD]]*Tabla1[[#This Row],[CANTIDADES DE REFERENCIA]]</f>
        <v>0</v>
      </c>
      <c r="K628" s="36"/>
      <c r="L628" s="36"/>
      <c r="M628" s="36"/>
      <c r="N628" s="37" t="s">
        <v>1176</v>
      </c>
      <c r="O628" s="37" t="s">
        <v>1382</v>
      </c>
      <c r="P628" s="39"/>
      <c r="Q628" s="37" t="s">
        <v>1383</v>
      </c>
      <c r="R628" s="37"/>
      <c r="S628" s="37" t="s">
        <v>1384</v>
      </c>
      <c r="T628" s="31"/>
    </row>
    <row r="629" spans="1:20">
      <c r="A629" s="31"/>
      <c r="B629" s="32"/>
      <c r="C629" s="33"/>
      <c r="D629" s="32" t="s">
        <v>1385</v>
      </c>
      <c r="E629" s="33" t="s">
        <v>116</v>
      </c>
      <c r="F629" s="34">
        <v>1</v>
      </c>
      <c r="G629" s="35">
        <v>0</v>
      </c>
      <c r="H629" s="35">
        <v>0</v>
      </c>
      <c r="I629" s="35">
        <f>Tabla1[[#This Row],[P.U. M.N.]]*Tabla1[[#This Row],[CANTIDADES DE REFERENCIA]]</f>
        <v>0</v>
      </c>
      <c r="J629" s="35">
        <f>Tabla1[[#This Row],[P.U. USD]]*Tabla1[[#This Row],[CANTIDADES DE REFERENCIA]]</f>
        <v>0</v>
      </c>
      <c r="K629" s="36"/>
      <c r="L629" s="36"/>
      <c r="M629" s="36"/>
      <c r="N629" s="37" t="s">
        <v>1176</v>
      </c>
      <c r="O629" s="37" t="s">
        <v>1382</v>
      </c>
      <c r="P629" s="39"/>
      <c r="Q629" s="37" t="s">
        <v>1386</v>
      </c>
      <c r="R629" s="37"/>
      <c r="S629" s="37" t="s">
        <v>1384</v>
      </c>
      <c r="T629" s="31"/>
    </row>
    <row r="630" spans="1:20">
      <c r="A630" s="31"/>
      <c r="B630" s="32"/>
      <c r="C630" s="33"/>
      <c r="D630" s="32" t="s">
        <v>1387</v>
      </c>
      <c r="E630" s="33" t="s">
        <v>116</v>
      </c>
      <c r="F630" s="34">
        <v>1</v>
      </c>
      <c r="G630" s="35">
        <v>0</v>
      </c>
      <c r="H630" s="35">
        <v>0</v>
      </c>
      <c r="I630" s="35">
        <f>Tabla1[[#This Row],[P.U. M.N.]]*Tabla1[[#This Row],[CANTIDADES DE REFERENCIA]]</f>
        <v>0</v>
      </c>
      <c r="J630" s="35">
        <f>Tabla1[[#This Row],[P.U. USD]]*Tabla1[[#This Row],[CANTIDADES DE REFERENCIA]]</f>
        <v>0</v>
      </c>
      <c r="K630" s="36"/>
      <c r="L630" s="36"/>
      <c r="M630" s="36"/>
      <c r="N630" s="37" t="s">
        <v>1176</v>
      </c>
      <c r="O630" s="37" t="s">
        <v>1382</v>
      </c>
      <c r="P630" s="39"/>
      <c r="Q630" s="37" t="s">
        <v>1388</v>
      </c>
      <c r="R630" s="37"/>
      <c r="S630" s="37" t="s">
        <v>1384</v>
      </c>
      <c r="T630" s="31"/>
    </row>
    <row r="631" spans="1:20">
      <c r="A631" s="31"/>
      <c r="B631" s="32"/>
      <c r="C631" s="33"/>
      <c r="D631" s="32" t="s">
        <v>1389</v>
      </c>
      <c r="E631" s="33" t="s">
        <v>116</v>
      </c>
      <c r="F631" s="34">
        <v>1</v>
      </c>
      <c r="G631" s="35">
        <v>0</v>
      </c>
      <c r="H631" s="35">
        <v>0</v>
      </c>
      <c r="I631" s="35">
        <f>Tabla1[[#This Row],[P.U. M.N.]]*Tabla1[[#This Row],[CANTIDADES DE REFERENCIA]]</f>
        <v>0</v>
      </c>
      <c r="J631" s="35">
        <f>Tabla1[[#This Row],[P.U. USD]]*Tabla1[[#This Row],[CANTIDADES DE REFERENCIA]]</f>
        <v>0</v>
      </c>
      <c r="K631" s="36"/>
      <c r="L631" s="36"/>
      <c r="M631" s="36"/>
      <c r="N631" s="37" t="s">
        <v>1176</v>
      </c>
      <c r="O631" s="37" t="s">
        <v>1382</v>
      </c>
      <c r="P631" s="39"/>
      <c r="Q631" s="37" t="s">
        <v>1390</v>
      </c>
      <c r="R631" s="37"/>
      <c r="S631" s="37" t="s">
        <v>1384</v>
      </c>
      <c r="T631" s="31"/>
    </row>
    <row r="632" spans="1:20">
      <c r="A632" s="31"/>
      <c r="B632" s="32"/>
      <c r="C632" s="33"/>
      <c r="D632" s="32" t="s">
        <v>1391</v>
      </c>
      <c r="E632" s="33" t="s">
        <v>116</v>
      </c>
      <c r="F632" s="34">
        <v>1</v>
      </c>
      <c r="G632" s="35">
        <v>0</v>
      </c>
      <c r="H632" s="35">
        <v>0</v>
      </c>
      <c r="I632" s="35">
        <f>Tabla1[[#This Row],[P.U. M.N.]]*Tabla1[[#This Row],[CANTIDADES DE REFERENCIA]]</f>
        <v>0</v>
      </c>
      <c r="J632" s="35">
        <f>Tabla1[[#This Row],[P.U. USD]]*Tabla1[[#This Row],[CANTIDADES DE REFERENCIA]]</f>
        <v>0</v>
      </c>
      <c r="K632" s="36"/>
      <c r="L632" s="36"/>
      <c r="M632" s="36"/>
      <c r="N632" s="37" t="s">
        <v>1176</v>
      </c>
      <c r="O632" s="37" t="s">
        <v>1382</v>
      </c>
      <c r="P632" s="39"/>
      <c r="Q632" s="37" t="s">
        <v>1392</v>
      </c>
      <c r="R632" s="37"/>
      <c r="S632" s="37" t="s">
        <v>1384</v>
      </c>
      <c r="T632" s="31"/>
    </row>
    <row r="633" spans="1:20">
      <c r="A633" s="31"/>
      <c r="B633" s="32"/>
      <c r="C633" s="33"/>
      <c r="D633" s="32" t="s">
        <v>1393</v>
      </c>
      <c r="E633" s="33" t="s">
        <v>116</v>
      </c>
      <c r="F633" s="34">
        <v>1</v>
      </c>
      <c r="G633" s="35">
        <v>0</v>
      </c>
      <c r="H633" s="35">
        <v>0</v>
      </c>
      <c r="I633" s="35">
        <f>Tabla1[[#This Row],[P.U. M.N.]]*Tabla1[[#This Row],[CANTIDADES DE REFERENCIA]]</f>
        <v>0</v>
      </c>
      <c r="J633" s="35">
        <f>Tabla1[[#This Row],[P.U. USD]]*Tabla1[[#This Row],[CANTIDADES DE REFERENCIA]]</f>
        <v>0</v>
      </c>
      <c r="K633" s="36"/>
      <c r="L633" s="36"/>
      <c r="M633" s="36"/>
      <c r="N633" s="37" t="s">
        <v>1176</v>
      </c>
      <c r="O633" s="37" t="s">
        <v>1382</v>
      </c>
      <c r="P633" s="39"/>
      <c r="Q633" s="37" t="s">
        <v>1394</v>
      </c>
      <c r="R633" s="37"/>
      <c r="S633" s="37" t="s">
        <v>1384</v>
      </c>
      <c r="T633" s="31"/>
    </row>
    <row r="634" spans="1:20">
      <c r="A634" s="31"/>
      <c r="B634" s="32"/>
      <c r="C634" s="33"/>
      <c r="D634" s="32" t="s">
        <v>1395</v>
      </c>
      <c r="E634" s="33" t="s">
        <v>116</v>
      </c>
      <c r="F634" s="34">
        <v>1</v>
      </c>
      <c r="G634" s="35">
        <v>0</v>
      </c>
      <c r="H634" s="35">
        <v>0</v>
      </c>
      <c r="I634" s="35">
        <f>Tabla1[[#This Row],[P.U. M.N.]]*Tabla1[[#This Row],[CANTIDADES DE REFERENCIA]]</f>
        <v>0</v>
      </c>
      <c r="J634" s="35">
        <f>Tabla1[[#This Row],[P.U. USD]]*Tabla1[[#This Row],[CANTIDADES DE REFERENCIA]]</f>
        <v>0</v>
      </c>
      <c r="K634" s="36"/>
      <c r="L634" s="36"/>
      <c r="M634" s="36"/>
      <c r="N634" s="37" t="s">
        <v>1176</v>
      </c>
      <c r="O634" s="37" t="s">
        <v>1382</v>
      </c>
      <c r="P634" s="39"/>
      <c r="Q634" s="37" t="s">
        <v>1396</v>
      </c>
      <c r="R634" s="37"/>
      <c r="S634" s="37" t="s">
        <v>1384</v>
      </c>
      <c r="T634" s="31"/>
    </row>
    <row r="635" spans="1:20">
      <c r="A635" s="31"/>
      <c r="B635" s="32"/>
      <c r="C635" s="33"/>
      <c r="D635" s="32" t="s">
        <v>1397</v>
      </c>
      <c r="E635" s="33" t="s">
        <v>54</v>
      </c>
      <c r="F635" s="34">
        <v>1</v>
      </c>
      <c r="G635" s="35">
        <v>0</v>
      </c>
      <c r="H635" s="35">
        <v>0</v>
      </c>
      <c r="I635" s="35">
        <f>Tabla1[[#This Row],[P.U. M.N.]]*Tabla1[[#This Row],[CANTIDADES DE REFERENCIA]]</f>
        <v>0</v>
      </c>
      <c r="J635" s="35">
        <f>Tabla1[[#This Row],[P.U. USD]]*Tabla1[[#This Row],[CANTIDADES DE REFERENCIA]]</f>
        <v>0</v>
      </c>
      <c r="K635" s="36"/>
      <c r="L635" s="36"/>
      <c r="M635" s="36"/>
      <c r="N635" s="37" t="s">
        <v>1176</v>
      </c>
      <c r="O635" s="37" t="s">
        <v>1382</v>
      </c>
      <c r="P635" s="39"/>
      <c r="Q635" s="37" t="s">
        <v>1398</v>
      </c>
      <c r="R635" s="37"/>
      <c r="S635" s="37" t="s">
        <v>1384</v>
      </c>
      <c r="T635" s="31"/>
    </row>
    <row r="636" spans="1:20">
      <c r="A636" s="31"/>
      <c r="B636" s="32"/>
      <c r="C636" s="33"/>
      <c r="D636" s="32" t="s">
        <v>1399</v>
      </c>
      <c r="E636" s="33" t="s">
        <v>54</v>
      </c>
      <c r="F636" s="34">
        <v>1</v>
      </c>
      <c r="G636" s="35">
        <v>0</v>
      </c>
      <c r="H636" s="35">
        <v>0</v>
      </c>
      <c r="I636" s="35">
        <f>Tabla1[[#This Row],[P.U. M.N.]]*Tabla1[[#This Row],[CANTIDADES DE REFERENCIA]]</f>
        <v>0</v>
      </c>
      <c r="J636" s="35">
        <f>Tabla1[[#This Row],[P.U. USD]]*Tabla1[[#This Row],[CANTIDADES DE REFERENCIA]]</f>
        <v>0</v>
      </c>
      <c r="K636" s="36"/>
      <c r="L636" s="36"/>
      <c r="M636" s="36"/>
      <c r="N636" s="37" t="s">
        <v>1176</v>
      </c>
      <c r="O636" s="37" t="s">
        <v>1382</v>
      </c>
      <c r="P636" s="39"/>
      <c r="Q636" s="37" t="s">
        <v>1400</v>
      </c>
      <c r="R636" s="37"/>
      <c r="S636" s="37" t="s">
        <v>1384</v>
      </c>
      <c r="T636" s="31"/>
    </row>
    <row r="637" spans="1:20">
      <c r="A637" s="31"/>
      <c r="B637" s="32"/>
      <c r="C637" s="33"/>
      <c r="D637" s="32" t="s">
        <v>1401</v>
      </c>
      <c r="E637" s="33" t="s">
        <v>54</v>
      </c>
      <c r="F637" s="34">
        <v>1</v>
      </c>
      <c r="G637" s="35">
        <v>0</v>
      </c>
      <c r="H637" s="35">
        <v>0</v>
      </c>
      <c r="I637" s="35">
        <f>Tabla1[[#This Row],[P.U. M.N.]]*Tabla1[[#This Row],[CANTIDADES DE REFERENCIA]]</f>
        <v>0</v>
      </c>
      <c r="J637" s="35">
        <f>Tabla1[[#This Row],[P.U. USD]]*Tabla1[[#This Row],[CANTIDADES DE REFERENCIA]]</f>
        <v>0</v>
      </c>
      <c r="K637" s="36"/>
      <c r="L637" s="36"/>
      <c r="M637" s="36"/>
      <c r="N637" s="37" t="s">
        <v>1176</v>
      </c>
      <c r="O637" s="37" t="s">
        <v>1382</v>
      </c>
      <c r="P637" s="39"/>
      <c r="Q637" s="37" t="s">
        <v>1402</v>
      </c>
      <c r="R637" s="37"/>
      <c r="S637" s="37" t="s">
        <v>1384</v>
      </c>
      <c r="T637" s="31"/>
    </row>
    <row r="638" spans="1:20">
      <c r="A638" s="31"/>
      <c r="B638" s="32"/>
      <c r="C638" s="33"/>
      <c r="D638" s="32" t="s">
        <v>1403</v>
      </c>
      <c r="E638" s="33" t="s">
        <v>54</v>
      </c>
      <c r="F638" s="34">
        <v>1</v>
      </c>
      <c r="G638" s="35">
        <v>0</v>
      </c>
      <c r="H638" s="35">
        <v>0</v>
      </c>
      <c r="I638" s="35">
        <f>Tabla1[[#This Row],[P.U. M.N.]]*Tabla1[[#This Row],[CANTIDADES DE REFERENCIA]]</f>
        <v>0</v>
      </c>
      <c r="J638" s="35">
        <f>Tabla1[[#This Row],[P.U. USD]]*Tabla1[[#This Row],[CANTIDADES DE REFERENCIA]]</f>
        <v>0</v>
      </c>
      <c r="K638" s="36"/>
      <c r="L638" s="36"/>
      <c r="M638" s="36"/>
      <c r="N638" s="37" t="s">
        <v>1176</v>
      </c>
      <c r="O638" s="37" t="s">
        <v>1382</v>
      </c>
      <c r="P638" s="39"/>
      <c r="Q638" s="37" t="s">
        <v>1404</v>
      </c>
      <c r="R638" s="37"/>
      <c r="S638" s="37" t="s">
        <v>1384</v>
      </c>
      <c r="T638" s="31"/>
    </row>
    <row r="639" spans="1:20">
      <c r="A639" s="31"/>
      <c r="B639" s="32"/>
      <c r="C639" s="33"/>
      <c r="D639" s="32" t="s">
        <v>1405</v>
      </c>
      <c r="E639" s="33" t="s">
        <v>116</v>
      </c>
      <c r="F639" s="34">
        <v>1</v>
      </c>
      <c r="G639" s="35">
        <v>0</v>
      </c>
      <c r="H639" s="35">
        <v>0</v>
      </c>
      <c r="I639" s="35">
        <f>Tabla1[[#This Row],[P.U. M.N.]]*Tabla1[[#This Row],[CANTIDADES DE REFERENCIA]]</f>
        <v>0</v>
      </c>
      <c r="J639" s="35">
        <f>Tabla1[[#This Row],[P.U. USD]]*Tabla1[[#This Row],[CANTIDADES DE REFERENCIA]]</f>
        <v>0</v>
      </c>
      <c r="K639" s="36"/>
      <c r="L639" s="36"/>
      <c r="M639" s="36"/>
      <c r="N639" s="37" t="s">
        <v>1176</v>
      </c>
      <c r="O639" s="37" t="s">
        <v>1382</v>
      </c>
      <c r="P639" s="39"/>
      <c r="Q639" s="37" t="s">
        <v>1406</v>
      </c>
      <c r="R639" s="37"/>
      <c r="S639" s="37" t="s">
        <v>1384</v>
      </c>
      <c r="T639" s="31"/>
    </row>
    <row r="640" spans="1:20">
      <c r="A640" s="31"/>
      <c r="B640" s="32"/>
      <c r="C640" s="33"/>
      <c r="D640" s="32" t="s">
        <v>1407</v>
      </c>
      <c r="E640" s="33" t="s">
        <v>116</v>
      </c>
      <c r="F640" s="34">
        <v>1</v>
      </c>
      <c r="G640" s="35">
        <v>0</v>
      </c>
      <c r="H640" s="35">
        <v>0</v>
      </c>
      <c r="I640" s="35">
        <f>Tabla1[[#This Row],[P.U. M.N.]]*Tabla1[[#This Row],[CANTIDADES DE REFERENCIA]]</f>
        <v>0</v>
      </c>
      <c r="J640" s="35">
        <f>Tabla1[[#This Row],[P.U. USD]]*Tabla1[[#This Row],[CANTIDADES DE REFERENCIA]]</f>
        <v>0</v>
      </c>
      <c r="K640" s="36"/>
      <c r="L640" s="36"/>
      <c r="M640" s="36"/>
      <c r="N640" s="37" t="s">
        <v>1176</v>
      </c>
      <c r="O640" s="37" t="s">
        <v>1382</v>
      </c>
      <c r="P640" s="39"/>
      <c r="Q640" s="37" t="s">
        <v>1408</v>
      </c>
      <c r="R640" s="37"/>
      <c r="S640" s="37" t="s">
        <v>1384</v>
      </c>
      <c r="T640" s="31"/>
    </row>
    <row r="641" spans="1:20">
      <c r="A641" s="31"/>
      <c r="B641" s="32"/>
      <c r="C641" s="33"/>
      <c r="D641" s="32" t="s">
        <v>1409</v>
      </c>
      <c r="E641" s="33" t="s">
        <v>116</v>
      </c>
      <c r="F641" s="34">
        <v>1</v>
      </c>
      <c r="G641" s="35">
        <v>0</v>
      </c>
      <c r="H641" s="35">
        <v>0</v>
      </c>
      <c r="I641" s="35">
        <f>Tabla1[[#This Row],[P.U. M.N.]]*Tabla1[[#This Row],[CANTIDADES DE REFERENCIA]]</f>
        <v>0</v>
      </c>
      <c r="J641" s="35">
        <f>Tabla1[[#This Row],[P.U. USD]]*Tabla1[[#This Row],[CANTIDADES DE REFERENCIA]]</f>
        <v>0</v>
      </c>
      <c r="K641" s="36"/>
      <c r="L641" s="36"/>
      <c r="M641" s="36"/>
      <c r="N641" s="37" t="s">
        <v>1176</v>
      </c>
      <c r="O641" s="37" t="s">
        <v>1382</v>
      </c>
      <c r="P641" s="39"/>
      <c r="Q641" s="37" t="s">
        <v>1410</v>
      </c>
      <c r="R641" s="37"/>
      <c r="S641" s="37" t="s">
        <v>1384</v>
      </c>
      <c r="T641" s="31"/>
    </row>
    <row r="642" spans="1:20">
      <c r="A642" s="31"/>
      <c r="B642" s="32"/>
      <c r="C642" s="33"/>
      <c r="D642" s="32" t="s">
        <v>1411</v>
      </c>
      <c r="E642" s="33" t="s">
        <v>116</v>
      </c>
      <c r="F642" s="34">
        <v>1</v>
      </c>
      <c r="G642" s="35">
        <v>0</v>
      </c>
      <c r="H642" s="35">
        <v>0</v>
      </c>
      <c r="I642" s="35">
        <f>Tabla1[[#This Row],[P.U. M.N.]]*Tabla1[[#This Row],[CANTIDADES DE REFERENCIA]]</f>
        <v>0</v>
      </c>
      <c r="J642" s="35">
        <f>Tabla1[[#This Row],[P.U. USD]]*Tabla1[[#This Row],[CANTIDADES DE REFERENCIA]]</f>
        <v>0</v>
      </c>
      <c r="K642" s="36"/>
      <c r="L642" s="36"/>
      <c r="M642" s="36"/>
      <c r="N642" s="37" t="s">
        <v>1176</v>
      </c>
      <c r="O642" s="37" t="s">
        <v>1382</v>
      </c>
      <c r="P642" s="39"/>
      <c r="Q642" s="37" t="s">
        <v>1412</v>
      </c>
      <c r="R642" s="37"/>
      <c r="S642" s="37" t="s">
        <v>1384</v>
      </c>
      <c r="T642" s="31"/>
    </row>
    <row r="643" spans="1:20">
      <c r="A643" s="31"/>
      <c r="B643" s="32"/>
      <c r="C643" s="33"/>
      <c r="D643" s="32" t="s">
        <v>1413</v>
      </c>
      <c r="E643" s="33" t="s">
        <v>116</v>
      </c>
      <c r="F643" s="34">
        <v>1</v>
      </c>
      <c r="G643" s="35">
        <v>0</v>
      </c>
      <c r="H643" s="35">
        <v>0</v>
      </c>
      <c r="I643" s="35">
        <f>Tabla1[[#This Row],[P.U. M.N.]]*Tabla1[[#This Row],[CANTIDADES DE REFERENCIA]]</f>
        <v>0</v>
      </c>
      <c r="J643" s="35">
        <f>Tabla1[[#This Row],[P.U. USD]]*Tabla1[[#This Row],[CANTIDADES DE REFERENCIA]]</f>
        <v>0</v>
      </c>
      <c r="K643" s="36"/>
      <c r="L643" s="36"/>
      <c r="M643" s="36"/>
      <c r="N643" s="37" t="s">
        <v>1176</v>
      </c>
      <c r="O643" s="37" t="s">
        <v>1382</v>
      </c>
      <c r="P643" s="39"/>
      <c r="Q643" s="37" t="s">
        <v>1414</v>
      </c>
      <c r="R643" s="37"/>
      <c r="S643" s="37" t="s">
        <v>1384</v>
      </c>
      <c r="T643" s="31"/>
    </row>
    <row r="644" spans="1:20">
      <c r="A644" s="31"/>
      <c r="B644" s="32"/>
      <c r="C644" s="33"/>
      <c r="D644" s="32" t="s">
        <v>1415</v>
      </c>
      <c r="E644" s="33" t="s">
        <v>116</v>
      </c>
      <c r="F644" s="34">
        <v>1</v>
      </c>
      <c r="G644" s="35">
        <v>0</v>
      </c>
      <c r="H644" s="35">
        <v>0</v>
      </c>
      <c r="I644" s="35">
        <f>Tabla1[[#This Row],[P.U. M.N.]]*Tabla1[[#This Row],[CANTIDADES DE REFERENCIA]]</f>
        <v>0</v>
      </c>
      <c r="J644" s="35">
        <f>Tabla1[[#This Row],[P.U. USD]]*Tabla1[[#This Row],[CANTIDADES DE REFERENCIA]]</f>
        <v>0</v>
      </c>
      <c r="K644" s="36"/>
      <c r="L644" s="36"/>
      <c r="M644" s="36"/>
      <c r="N644" s="37" t="s">
        <v>1176</v>
      </c>
      <c r="O644" s="37" t="s">
        <v>1382</v>
      </c>
      <c r="P644" s="39"/>
      <c r="Q644" s="37" t="s">
        <v>1416</v>
      </c>
      <c r="R644" s="37"/>
      <c r="S644" s="37" t="s">
        <v>1384</v>
      </c>
      <c r="T644" s="31"/>
    </row>
    <row r="645" spans="1:20">
      <c r="A645" s="31"/>
      <c r="B645" s="32"/>
      <c r="C645" s="33"/>
      <c r="D645" s="32" t="s">
        <v>1417</v>
      </c>
      <c r="E645" s="33" t="s">
        <v>135</v>
      </c>
      <c r="F645" s="34">
        <v>1</v>
      </c>
      <c r="G645" s="35">
        <v>0</v>
      </c>
      <c r="H645" s="35">
        <v>0</v>
      </c>
      <c r="I645" s="35">
        <f>Tabla1[[#This Row],[P.U. M.N.]]*Tabla1[[#This Row],[CANTIDADES DE REFERENCIA]]</f>
        <v>0</v>
      </c>
      <c r="J645" s="35">
        <f>Tabla1[[#This Row],[P.U. USD]]*Tabla1[[#This Row],[CANTIDADES DE REFERENCIA]]</f>
        <v>0</v>
      </c>
      <c r="K645" s="36"/>
      <c r="L645" s="36"/>
      <c r="M645" s="36"/>
      <c r="N645" s="37" t="s">
        <v>1176</v>
      </c>
      <c r="O645" s="37" t="s">
        <v>1382</v>
      </c>
      <c r="P645" s="39"/>
      <c r="Q645" s="37" t="s">
        <v>1418</v>
      </c>
      <c r="R645" s="37"/>
      <c r="S645" s="37" t="s">
        <v>1384</v>
      </c>
      <c r="T645" s="31"/>
    </row>
    <row r="646" spans="1:20">
      <c r="A646" s="31"/>
      <c r="B646" s="32"/>
      <c r="C646" s="33"/>
      <c r="D646" s="32" t="s">
        <v>1419</v>
      </c>
      <c r="E646" s="33" t="s">
        <v>135</v>
      </c>
      <c r="F646" s="34">
        <v>1</v>
      </c>
      <c r="G646" s="35">
        <v>0</v>
      </c>
      <c r="H646" s="35">
        <v>0</v>
      </c>
      <c r="I646" s="35">
        <f>Tabla1[[#This Row],[P.U. M.N.]]*Tabla1[[#This Row],[CANTIDADES DE REFERENCIA]]</f>
        <v>0</v>
      </c>
      <c r="J646" s="35">
        <f>Tabla1[[#This Row],[P.U. USD]]*Tabla1[[#This Row],[CANTIDADES DE REFERENCIA]]</f>
        <v>0</v>
      </c>
      <c r="K646" s="36"/>
      <c r="L646" s="36"/>
      <c r="M646" s="36"/>
      <c r="N646" s="37" t="s">
        <v>1176</v>
      </c>
      <c r="O646" s="37" t="s">
        <v>1382</v>
      </c>
      <c r="P646" s="39"/>
      <c r="Q646" s="37" t="s">
        <v>1420</v>
      </c>
      <c r="R646" s="37"/>
      <c r="S646" s="37" t="s">
        <v>1384</v>
      </c>
      <c r="T646" s="31"/>
    </row>
    <row r="647" spans="1:20">
      <c r="A647" s="31"/>
      <c r="B647" s="32"/>
      <c r="C647" s="33"/>
      <c r="D647" s="32" t="s">
        <v>1421</v>
      </c>
      <c r="E647" s="33" t="s">
        <v>116</v>
      </c>
      <c r="F647" s="34">
        <v>1</v>
      </c>
      <c r="G647" s="35">
        <v>0</v>
      </c>
      <c r="H647" s="35">
        <v>0</v>
      </c>
      <c r="I647" s="35">
        <f>Tabla1[[#This Row],[P.U. M.N.]]*Tabla1[[#This Row],[CANTIDADES DE REFERENCIA]]</f>
        <v>0</v>
      </c>
      <c r="J647" s="35">
        <f>Tabla1[[#This Row],[P.U. USD]]*Tabla1[[#This Row],[CANTIDADES DE REFERENCIA]]</f>
        <v>0</v>
      </c>
      <c r="K647" s="36"/>
      <c r="L647" s="36"/>
      <c r="M647" s="36"/>
      <c r="N647" s="37" t="s">
        <v>1176</v>
      </c>
      <c r="O647" s="37" t="s">
        <v>1382</v>
      </c>
      <c r="P647" s="39"/>
      <c r="Q647" s="37" t="s">
        <v>1422</v>
      </c>
      <c r="R647" s="37"/>
      <c r="S647" s="37" t="s">
        <v>1384</v>
      </c>
      <c r="T647" s="31"/>
    </row>
    <row r="648" spans="1:20">
      <c r="A648" s="31"/>
      <c r="B648" s="32"/>
      <c r="C648" s="33"/>
      <c r="D648" s="32" t="s">
        <v>1423</v>
      </c>
      <c r="E648" s="33" t="s">
        <v>116</v>
      </c>
      <c r="F648" s="34">
        <v>1</v>
      </c>
      <c r="G648" s="35">
        <v>0</v>
      </c>
      <c r="H648" s="35">
        <v>0</v>
      </c>
      <c r="I648" s="35">
        <f>Tabla1[[#This Row],[P.U. M.N.]]*Tabla1[[#This Row],[CANTIDADES DE REFERENCIA]]</f>
        <v>0</v>
      </c>
      <c r="J648" s="35">
        <f>Tabla1[[#This Row],[P.U. USD]]*Tabla1[[#This Row],[CANTIDADES DE REFERENCIA]]</f>
        <v>0</v>
      </c>
      <c r="K648" s="36"/>
      <c r="L648" s="36"/>
      <c r="M648" s="36"/>
      <c r="N648" s="37" t="s">
        <v>1176</v>
      </c>
      <c r="O648" s="37" t="s">
        <v>1382</v>
      </c>
      <c r="P648" s="39"/>
      <c r="Q648" s="37" t="s">
        <v>1424</v>
      </c>
      <c r="R648" s="37"/>
      <c r="S648" s="37" t="s">
        <v>1384</v>
      </c>
      <c r="T648" s="31"/>
    </row>
    <row r="649" spans="1:20">
      <c r="A649" s="31"/>
      <c r="B649" s="32"/>
      <c r="C649" s="33"/>
      <c r="D649" s="32" t="s">
        <v>1425</v>
      </c>
      <c r="E649" s="33" t="s">
        <v>116</v>
      </c>
      <c r="F649" s="34">
        <v>1</v>
      </c>
      <c r="G649" s="35">
        <v>0</v>
      </c>
      <c r="H649" s="35">
        <v>0</v>
      </c>
      <c r="I649" s="35">
        <f>Tabla1[[#This Row],[P.U. M.N.]]*Tabla1[[#This Row],[CANTIDADES DE REFERENCIA]]</f>
        <v>0</v>
      </c>
      <c r="J649" s="35">
        <f>Tabla1[[#This Row],[P.U. USD]]*Tabla1[[#This Row],[CANTIDADES DE REFERENCIA]]</f>
        <v>0</v>
      </c>
      <c r="K649" s="36"/>
      <c r="L649" s="36"/>
      <c r="M649" s="36"/>
      <c r="N649" s="37" t="s">
        <v>1176</v>
      </c>
      <c r="O649" s="37" t="s">
        <v>1382</v>
      </c>
      <c r="P649" s="39"/>
      <c r="Q649" s="37" t="s">
        <v>1426</v>
      </c>
      <c r="R649" s="37"/>
      <c r="S649" s="37" t="s">
        <v>1384</v>
      </c>
      <c r="T649" s="31"/>
    </row>
    <row r="650" spans="1:20">
      <c r="A650" s="31"/>
      <c r="B650" s="32"/>
      <c r="C650" s="33"/>
      <c r="D650" s="32" t="s">
        <v>1427</v>
      </c>
      <c r="E650" s="33" t="s">
        <v>116</v>
      </c>
      <c r="F650" s="34">
        <v>1</v>
      </c>
      <c r="G650" s="35">
        <v>0</v>
      </c>
      <c r="H650" s="35">
        <v>0</v>
      </c>
      <c r="I650" s="35">
        <f>Tabla1[[#This Row],[P.U. M.N.]]*Tabla1[[#This Row],[CANTIDADES DE REFERENCIA]]</f>
        <v>0</v>
      </c>
      <c r="J650" s="35">
        <f>Tabla1[[#This Row],[P.U. USD]]*Tabla1[[#This Row],[CANTIDADES DE REFERENCIA]]</f>
        <v>0</v>
      </c>
      <c r="K650" s="36"/>
      <c r="L650" s="36"/>
      <c r="M650" s="36"/>
      <c r="N650" s="37" t="s">
        <v>1176</v>
      </c>
      <c r="O650" s="37" t="s">
        <v>1382</v>
      </c>
      <c r="P650" s="39"/>
      <c r="Q650" s="37" t="s">
        <v>1428</v>
      </c>
      <c r="R650" s="37"/>
      <c r="S650" s="37" t="s">
        <v>1384</v>
      </c>
      <c r="T650" s="31"/>
    </row>
    <row r="651" spans="1:20">
      <c r="A651" s="31"/>
      <c r="B651" s="32"/>
      <c r="C651" s="33"/>
      <c r="D651" s="32" t="s">
        <v>1429</v>
      </c>
      <c r="E651" s="33" t="s">
        <v>116</v>
      </c>
      <c r="F651" s="34">
        <v>1</v>
      </c>
      <c r="G651" s="35">
        <v>0</v>
      </c>
      <c r="H651" s="35">
        <v>0</v>
      </c>
      <c r="I651" s="35">
        <f>Tabla1[[#This Row],[P.U. M.N.]]*Tabla1[[#This Row],[CANTIDADES DE REFERENCIA]]</f>
        <v>0</v>
      </c>
      <c r="J651" s="35">
        <f>Tabla1[[#This Row],[P.U. USD]]*Tabla1[[#This Row],[CANTIDADES DE REFERENCIA]]</f>
        <v>0</v>
      </c>
      <c r="K651" s="36"/>
      <c r="L651" s="36"/>
      <c r="M651" s="36"/>
      <c r="N651" s="37" t="s">
        <v>1176</v>
      </c>
      <c r="O651" s="37" t="s">
        <v>1382</v>
      </c>
      <c r="P651" s="39"/>
      <c r="Q651" s="37" t="s">
        <v>1430</v>
      </c>
      <c r="R651" s="37"/>
      <c r="S651" s="37" t="s">
        <v>1384</v>
      </c>
      <c r="T651" s="31"/>
    </row>
    <row r="652" spans="1:20">
      <c r="A652" s="31"/>
      <c r="B652" s="32"/>
      <c r="C652" s="33"/>
      <c r="D652" s="32" t="s">
        <v>1431</v>
      </c>
      <c r="E652" s="33" t="s">
        <v>116</v>
      </c>
      <c r="F652" s="34">
        <v>1</v>
      </c>
      <c r="G652" s="35">
        <v>0</v>
      </c>
      <c r="H652" s="35">
        <v>0</v>
      </c>
      <c r="I652" s="35">
        <f>Tabla1[[#This Row],[P.U. M.N.]]*Tabla1[[#This Row],[CANTIDADES DE REFERENCIA]]</f>
        <v>0</v>
      </c>
      <c r="J652" s="35">
        <f>Tabla1[[#This Row],[P.U. USD]]*Tabla1[[#This Row],[CANTIDADES DE REFERENCIA]]</f>
        <v>0</v>
      </c>
      <c r="K652" s="36"/>
      <c r="L652" s="36"/>
      <c r="M652" s="36"/>
      <c r="N652" s="37" t="s">
        <v>1176</v>
      </c>
      <c r="O652" s="37" t="s">
        <v>1382</v>
      </c>
      <c r="P652" s="39"/>
      <c r="Q652" s="37" t="s">
        <v>1432</v>
      </c>
      <c r="R652" s="37"/>
      <c r="S652" s="37" t="s">
        <v>1384</v>
      </c>
      <c r="T652" s="31"/>
    </row>
    <row r="653" spans="1:20">
      <c r="A653" s="31"/>
      <c r="B653" s="32"/>
      <c r="C653" s="33"/>
      <c r="D653" s="32" t="s">
        <v>1433</v>
      </c>
      <c r="E653" s="33" t="s">
        <v>116</v>
      </c>
      <c r="F653" s="34">
        <v>1</v>
      </c>
      <c r="G653" s="35">
        <v>0</v>
      </c>
      <c r="H653" s="35">
        <v>0</v>
      </c>
      <c r="I653" s="35">
        <f>Tabla1[[#This Row],[P.U. M.N.]]*Tabla1[[#This Row],[CANTIDADES DE REFERENCIA]]</f>
        <v>0</v>
      </c>
      <c r="J653" s="35">
        <f>Tabla1[[#This Row],[P.U. USD]]*Tabla1[[#This Row],[CANTIDADES DE REFERENCIA]]</f>
        <v>0</v>
      </c>
      <c r="K653" s="36"/>
      <c r="L653" s="36"/>
      <c r="M653" s="36"/>
      <c r="N653" s="37" t="s">
        <v>1176</v>
      </c>
      <c r="O653" s="37" t="s">
        <v>1382</v>
      </c>
      <c r="P653" s="39"/>
      <c r="Q653" s="37" t="s">
        <v>1434</v>
      </c>
      <c r="R653" s="37"/>
      <c r="S653" s="37" t="s">
        <v>1384</v>
      </c>
      <c r="T653" s="31"/>
    </row>
    <row r="654" spans="1:20">
      <c r="A654" s="31"/>
      <c r="B654" s="32"/>
      <c r="C654" s="33"/>
      <c r="D654" s="32" t="s">
        <v>1435</v>
      </c>
      <c r="E654" s="33" t="s">
        <v>116</v>
      </c>
      <c r="F654" s="34">
        <v>1</v>
      </c>
      <c r="G654" s="35">
        <v>0</v>
      </c>
      <c r="H654" s="35">
        <v>0</v>
      </c>
      <c r="I654" s="35">
        <f>Tabla1[[#This Row],[P.U. M.N.]]*Tabla1[[#This Row],[CANTIDADES DE REFERENCIA]]</f>
        <v>0</v>
      </c>
      <c r="J654" s="35">
        <f>Tabla1[[#This Row],[P.U. USD]]*Tabla1[[#This Row],[CANTIDADES DE REFERENCIA]]</f>
        <v>0</v>
      </c>
      <c r="K654" s="36"/>
      <c r="L654" s="36"/>
      <c r="M654" s="36"/>
      <c r="N654" s="37" t="s">
        <v>1176</v>
      </c>
      <c r="O654" s="37" t="s">
        <v>1382</v>
      </c>
      <c r="P654" s="39"/>
      <c r="Q654" s="37" t="s">
        <v>1436</v>
      </c>
      <c r="R654" s="37"/>
      <c r="S654" s="37" t="s">
        <v>1384</v>
      </c>
      <c r="T654" s="31"/>
    </row>
    <row r="655" spans="1:20">
      <c r="A655" s="31"/>
      <c r="B655" s="32"/>
      <c r="C655" s="33"/>
      <c r="D655" s="32" t="s">
        <v>1437</v>
      </c>
      <c r="E655" s="33" t="s">
        <v>116</v>
      </c>
      <c r="F655" s="34">
        <v>1</v>
      </c>
      <c r="G655" s="35">
        <v>0</v>
      </c>
      <c r="H655" s="35">
        <v>0</v>
      </c>
      <c r="I655" s="35">
        <f>Tabla1[[#This Row],[P.U. M.N.]]*Tabla1[[#This Row],[CANTIDADES DE REFERENCIA]]</f>
        <v>0</v>
      </c>
      <c r="J655" s="35">
        <f>Tabla1[[#This Row],[P.U. USD]]*Tabla1[[#This Row],[CANTIDADES DE REFERENCIA]]</f>
        <v>0</v>
      </c>
      <c r="K655" s="36"/>
      <c r="L655" s="36"/>
      <c r="M655" s="36"/>
      <c r="N655" s="37" t="s">
        <v>1176</v>
      </c>
      <c r="O655" s="37" t="s">
        <v>1382</v>
      </c>
      <c r="P655" s="39"/>
      <c r="Q655" s="37" t="s">
        <v>1438</v>
      </c>
      <c r="R655" s="37"/>
      <c r="S655" s="37" t="s">
        <v>1384</v>
      </c>
      <c r="T655" s="31"/>
    </row>
    <row r="656" spans="1:20">
      <c r="A656" s="31"/>
      <c r="B656" s="32"/>
      <c r="C656" s="33"/>
      <c r="D656" s="32" t="s">
        <v>1439</v>
      </c>
      <c r="E656" s="33" t="s">
        <v>116</v>
      </c>
      <c r="F656" s="34">
        <v>1</v>
      </c>
      <c r="G656" s="35">
        <v>0</v>
      </c>
      <c r="H656" s="35">
        <v>0</v>
      </c>
      <c r="I656" s="35">
        <f>Tabla1[[#This Row],[P.U. M.N.]]*Tabla1[[#This Row],[CANTIDADES DE REFERENCIA]]</f>
        <v>0</v>
      </c>
      <c r="J656" s="35">
        <f>Tabla1[[#This Row],[P.U. USD]]*Tabla1[[#This Row],[CANTIDADES DE REFERENCIA]]</f>
        <v>0</v>
      </c>
      <c r="K656" s="36"/>
      <c r="L656" s="36"/>
      <c r="M656" s="36"/>
      <c r="N656" s="37" t="s">
        <v>1176</v>
      </c>
      <c r="O656" s="37" t="s">
        <v>1382</v>
      </c>
      <c r="P656" s="39"/>
      <c r="Q656" s="37" t="s">
        <v>1440</v>
      </c>
      <c r="R656" s="37"/>
      <c r="S656" s="37" t="s">
        <v>1384</v>
      </c>
      <c r="T656" s="31"/>
    </row>
    <row r="657" spans="1:20">
      <c r="A657" s="31"/>
      <c r="B657" s="32"/>
      <c r="C657" s="33"/>
      <c r="D657" s="32" t="s">
        <v>1441</v>
      </c>
      <c r="E657" s="33" t="s">
        <v>116</v>
      </c>
      <c r="F657" s="34">
        <v>1</v>
      </c>
      <c r="G657" s="35">
        <v>0</v>
      </c>
      <c r="H657" s="35">
        <v>0</v>
      </c>
      <c r="I657" s="35">
        <f>Tabla1[[#This Row],[P.U. M.N.]]*Tabla1[[#This Row],[CANTIDADES DE REFERENCIA]]</f>
        <v>0</v>
      </c>
      <c r="J657" s="35">
        <f>Tabla1[[#This Row],[P.U. USD]]*Tabla1[[#This Row],[CANTIDADES DE REFERENCIA]]</f>
        <v>0</v>
      </c>
      <c r="K657" s="36"/>
      <c r="L657" s="36"/>
      <c r="M657" s="36"/>
      <c r="N657" s="37" t="s">
        <v>1176</v>
      </c>
      <c r="O657" s="37" t="s">
        <v>1382</v>
      </c>
      <c r="P657" s="39"/>
      <c r="Q657" s="37" t="s">
        <v>1442</v>
      </c>
      <c r="R657" s="37"/>
      <c r="S657" s="37" t="s">
        <v>1384</v>
      </c>
      <c r="T657" s="31"/>
    </row>
    <row r="658" spans="1:20">
      <c r="A658" s="31"/>
      <c r="B658" s="32"/>
      <c r="C658" s="33"/>
      <c r="D658" s="32" t="s">
        <v>1443</v>
      </c>
      <c r="E658" s="33" t="s">
        <v>116</v>
      </c>
      <c r="F658" s="34">
        <v>1</v>
      </c>
      <c r="G658" s="35">
        <v>0</v>
      </c>
      <c r="H658" s="35">
        <v>0</v>
      </c>
      <c r="I658" s="35">
        <f>Tabla1[[#This Row],[P.U. M.N.]]*Tabla1[[#This Row],[CANTIDADES DE REFERENCIA]]</f>
        <v>0</v>
      </c>
      <c r="J658" s="35">
        <f>Tabla1[[#This Row],[P.U. USD]]*Tabla1[[#This Row],[CANTIDADES DE REFERENCIA]]</f>
        <v>0</v>
      </c>
      <c r="K658" s="36"/>
      <c r="L658" s="36"/>
      <c r="M658" s="36"/>
      <c r="N658" s="37" t="s">
        <v>1176</v>
      </c>
      <c r="O658" s="37" t="s">
        <v>1382</v>
      </c>
      <c r="P658" s="39"/>
      <c r="Q658" s="37" t="s">
        <v>1444</v>
      </c>
      <c r="R658" s="37"/>
      <c r="S658" s="37" t="s">
        <v>1384</v>
      </c>
      <c r="T658" s="31"/>
    </row>
    <row r="659" spans="1:20">
      <c r="A659" s="31"/>
      <c r="B659" s="32"/>
      <c r="C659" s="33"/>
      <c r="D659" s="32" t="s">
        <v>1445</v>
      </c>
      <c r="E659" s="33" t="s">
        <v>116</v>
      </c>
      <c r="F659" s="34">
        <v>1</v>
      </c>
      <c r="G659" s="35">
        <v>0</v>
      </c>
      <c r="H659" s="35">
        <v>0</v>
      </c>
      <c r="I659" s="35">
        <f>Tabla1[[#This Row],[P.U. M.N.]]*Tabla1[[#This Row],[CANTIDADES DE REFERENCIA]]</f>
        <v>0</v>
      </c>
      <c r="J659" s="35">
        <f>Tabla1[[#This Row],[P.U. USD]]*Tabla1[[#This Row],[CANTIDADES DE REFERENCIA]]</f>
        <v>0</v>
      </c>
      <c r="K659" s="36"/>
      <c r="L659" s="36"/>
      <c r="M659" s="36"/>
      <c r="N659" s="37" t="s">
        <v>1176</v>
      </c>
      <c r="O659" s="37" t="s">
        <v>1382</v>
      </c>
      <c r="P659" s="39"/>
      <c r="Q659" s="37" t="s">
        <v>1446</v>
      </c>
      <c r="R659" s="37"/>
      <c r="S659" s="37" t="s">
        <v>1384</v>
      </c>
      <c r="T659" s="31"/>
    </row>
    <row r="660" spans="1:20">
      <c r="A660" s="31"/>
      <c r="B660" s="32"/>
      <c r="C660" s="33"/>
      <c r="D660" s="32" t="s">
        <v>1447</v>
      </c>
      <c r="E660" s="33" t="s">
        <v>116</v>
      </c>
      <c r="F660" s="34">
        <v>1</v>
      </c>
      <c r="G660" s="35">
        <v>0</v>
      </c>
      <c r="H660" s="35">
        <v>0</v>
      </c>
      <c r="I660" s="35">
        <f>Tabla1[[#This Row],[P.U. M.N.]]*Tabla1[[#This Row],[CANTIDADES DE REFERENCIA]]</f>
        <v>0</v>
      </c>
      <c r="J660" s="35">
        <f>Tabla1[[#This Row],[P.U. USD]]*Tabla1[[#This Row],[CANTIDADES DE REFERENCIA]]</f>
        <v>0</v>
      </c>
      <c r="K660" s="36"/>
      <c r="L660" s="36"/>
      <c r="M660" s="36"/>
      <c r="N660" s="37" t="s">
        <v>1176</v>
      </c>
      <c r="O660" s="37" t="s">
        <v>1382</v>
      </c>
      <c r="P660" s="39"/>
      <c r="Q660" s="37" t="s">
        <v>1448</v>
      </c>
      <c r="R660" s="37"/>
      <c r="S660" s="37" t="s">
        <v>1384</v>
      </c>
      <c r="T660" s="31"/>
    </row>
    <row r="661" spans="1:20">
      <c r="A661" s="31"/>
      <c r="B661" s="32"/>
      <c r="C661" s="33"/>
      <c r="D661" s="32" t="s">
        <v>1449</v>
      </c>
      <c r="E661" s="33" t="s">
        <v>116</v>
      </c>
      <c r="F661" s="34">
        <v>1</v>
      </c>
      <c r="G661" s="35">
        <v>0</v>
      </c>
      <c r="H661" s="35">
        <v>0</v>
      </c>
      <c r="I661" s="35">
        <f>Tabla1[[#This Row],[P.U. M.N.]]*Tabla1[[#This Row],[CANTIDADES DE REFERENCIA]]</f>
        <v>0</v>
      </c>
      <c r="J661" s="35">
        <f>Tabla1[[#This Row],[P.U. USD]]*Tabla1[[#This Row],[CANTIDADES DE REFERENCIA]]</f>
        <v>0</v>
      </c>
      <c r="K661" s="36"/>
      <c r="L661" s="36"/>
      <c r="M661" s="36"/>
      <c r="N661" s="37" t="s">
        <v>1176</v>
      </c>
      <c r="O661" s="37" t="s">
        <v>1382</v>
      </c>
      <c r="P661" s="39"/>
      <c r="Q661" s="37" t="s">
        <v>1450</v>
      </c>
      <c r="R661" s="37"/>
      <c r="S661" s="37" t="s">
        <v>1384</v>
      </c>
      <c r="T661" s="31"/>
    </row>
    <row r="662" spans="1:20">
      <c r="A662" s="31"/>
      <c r="B662" s="32"/>
      <c r="C662" s="33"/>
      <c r="D662" s="32" t="s">
        <v>1451</v>
      </c>
      <c r="E662" s="33" t="s">
        <v>116</v>
      </c>
      <c r="F662" s="34">
        <v>1</v>
      </c>
      <c r="G662" s="35">
        <v>0</v>
      </c>
      <c r="H662" s="35">
        <v>0</v>
      </c>
      <c r="I662" s="35">
        <f>Tabla1[[#This Row],[P.U. M.N.]]*Tabla1[[#This Row],[CANTIDADES DE REFERENCIA]]</f>
        <v>0</v>
      </c>
      <c r="J662" s="35">
        <f>Tabla1[[#This Row],[P.U. USD]]*Tabla1[[#This Row],[CANTIDADES DE REFERENCIA]]</f>
        <v>0</v>
      </c>
      <c r="K662" s="36"/>
      <c r="L662" s="36"/>
      <c r="M662" s="36"/>
      <c r="N662" s="37" t="s">
        <v>1176</v>
      </c>
      <c r="O662" s="37" t="s">
        <v>1382</v>
      </c>
      <c r="P662" s="39"/>
      <c r="Q662" s="37" t="s">
        <v>1452</v>
      </c>
      <c r="R662" s="37"/>
      <c r="S662" s="37" t="s">
        <v>1384</v>
      </c>
      <c r="T662" s="31"/>
    </row>
    <row r="663" spans="1:20">
      <c r="A663" s="31"/>
      <c r="B663" s="32"/>
      <c r="C663" s="33"/>
      <c r="D663" s="32" t="s">
        <v>1453</v>
      </c>
      <c r="E663" s="33" t="s">
        <v>116</v>
      </c>
      <c r="F663" s="34">
        <v>1</v>
      </c>
      <c r="G663" s="35">
        <v>0</v>
      </c>
      <c r="H663" s="35">
        <v>0</v>
      </c>
      <c r="I663" s="35">
        <f>Tabla1[[#This Row],[P.U. M.N.]]*Tabla1[[#This Row],[CANTIDADES DE REFERENCIA]]</f>
        <v>0</v>
      </c>
      <c r="J663" s="35">
        <f>Tabla1[[#This Row],[P.U. USD]]*Tabla1[[#This Row],[CANTIDADES DE REFERENCIA]]</f>
        <v>0</v>
      </c>
      <c r="K663" s="36"/>
      <c r="L663" s="36"/>
      <c r="M663" s="36"/>
      <c r="N663" s="37" t="s">
        <v>1176</v>
      </c>
      <c r="O663" s="37" t="s">
        <v>1382</v>
      </c>
      <c r="P663" s="39"/>
      <c r="Q663" s="37" t="s">
        <v>1454</v>
      </c>
      <c r="R663" s="37"/>
      <c r="S663" s="37" t="s">
        <v>1384</v>
      </c>
      <c r="T663" s="31"/>
    </row>
    <row r="664" spans="1:20">
      <c r="A664" s="31"/>
      <c r="B664" s="32"/>
      <c r="C664" s="33"/>
      <c r="D664" s="32" t="s">
        <v>1455</v>
      </c>
      <c r="E664" s="33" t="s">
        <v>116</v>
      </c>
      <c r="F664" s="34">
        <v>1</v>
      </c>
      <c r="G664" s="35">
        <v>0</v>
      </c>
      <c r="H664" s="35">
        <v>0</v>
      </c>
      <c r="I664" s="35">
        <f>Tabla1[[#This Row],[P.U. M.N.]]*Tabla1[[#This Row],[CANTIDADES DE REFERENCIA]]</f>
        <v>0</v>
      </c>
      <c r="J664" s="35">
        <f>Tabla1[[#This Row],[P.U. USD]]*Tabla1[[#This Row],[CANTIDADES DE REFERENCIA]]</f>
        <v>0</v>
      </c>
      <c r="K664" s="36"/>
      <c r="L664" s="36"/>
      <c r="M664" s="36"/>
      <c r="N664" s="37" t="s">
        <v>1176</v>
      </c>
      <c r="O664" s="37" t="s">
        <v>1382</v>
      </c>
      <c r="P664" s="39"/>
      <c r="Q664" s="37" t="s">
        <v>1456</v>
      </c>
      <c r="R664" s="37"/>
      <c r="S664" s="37" t="s">
        <v>1384</v>
      </c>
      <c r="T664" s="31"/>
    </row>
    <row r="665" spans="1:20">
      <c r="A665" s="31"/>
      <c r="B665" s="32"/>
      <c r="C665" s="33"/>
      <c r="D665" s="32" t="s">
        <v>1457</v>
      </c>
      <c r="E665" s="33" t="s">
        <v>116</v>
      </c>
      <c r="F665" s="34">
        <v>1</v>
      </c>
      <c r="G665" s="35">
        <v>0</v>
      </c>
      <c r="H665" s="35">
        <v>0</v>
      </c>
      <c r="I665" s="35">
        <f>Tabla1[[#This Row],[P.U. M.N.]]*Tabla1[[#This Row],[CANTIDADES DE REFERENCIA]]</f>
        <v>0</v>
      </c>
      <c r="J665" s="35">
        <f>Tabla1[[#This Row],[P.U. USD]]*Tabla1[[#This Row],[CANTIDADES DE REFERENCIA]]</f>
        <v>0</v>
      </c>
      <c r="K665" s="36"/>
      <c r="L665" s="36"/>
      <c r="M665" s="36"/>
      <c r="N665" s="37" t="s">
        <v>1176</v>
      </c>
      <c r="O665" s="37" t="s">
        <v>1382</v>
      </c>
      <c r="P665" s="39"/>
      <c r="Q665" s="37" t="s">
        <v>1458</v>
      </c>
      <c r="R665" s="37"/>
      <c r="S665" s="37" t="s">
        <v>1384</v>
      </c>
      <c r="T665" s="31"/>
    </row>
    <row r="666" spans="1:20">
      <c r="A666" s="31"/>
      <c r="B666" s="32"/>
      <c r="C666" s="33"/>
      <c r="D666" s="32" t="s">
        <v>1459</v>
      </c>
      <c r="E666" s="33" t="s">
        <v>116</v>
      </c>
      <c r="F666" s="34">
        <v>1</v>
      </c>
      <c r="G666" s="35">
        <v>0</v>
      </c>
      <c r="H666" s="35">
        <v>0</v>
      </c>
      <c r="I666" s="35">
        <f>Tabla1[[#This Row],[P.U. M.N.]]*Tabla1[[#This Row],[CANTIDADES DE REFERENCIA]]</f>
        <v>0</v>
      </c>
      <c r="J666" s="35">
        <f>Tabla1[[#This Row],[P.U. USD]]*Tabla1[[#This Row],[CANTIDADES DE REFERENCIA]]</f>
        <v>0</v>
      </c>
      <c r="K666" s="36"/>
      <c r="L666" s="36"/>
      <c r="M666" s="36"/>
      <c r="N666" s="37" t="s">
        <v>1176</v>
      </c>
      <c r="O666" s="37" t="s">
        <v>1382</v>
      </c>
      <c r="P666" s="39"/>
      <c r="Q666" s="37" t="s">
        <v>1460</v>
      </c>
      <c r="R666" s="37"/>
      <c r="S666" s="37" t="s">
        <v>1384</v>
      </c>
      <c r="T666" s="31"/>
    </row>
    <row r="667" spans="1:20">
      <c r="A667" s="31"/>
      <c r="B667" s="32"/>
      <c r="C667" s="33"/>
      <c r="D667" s="32" t="s">
        <v>1461</v>
      </c>
      <c r="E667" s="33" t="s">
        <v>116</v>
      </c>
      <c r="F667" s="34">
        <v>1</v>
      </c>
      <c r="G667" s="35">
        <v>0</v>
      </c>
      <c r="H667" s="35">
        <v>0</v>
      </c>
      <c r="I667" s="35">
        <f>Tabla1[[#This Row],[P.U. M.N.]]*Tabla1[[#This Row],[CANTIDADES DE REFERENCIA]]</f>
        <v>0</v>
      </c>
      <c r="J667" s="35">
        <f>Tabla1[[#This Row],[P.U. USD]]*Tabla1[[#This Row],[CANTIDADES DE REFERENCIA]]</f>
        <v>0</v>
      </c>
      <c r="K667" s="36"/>
      <c r="L667" s="36"/>
      <c r="M667" s="36"/>
      <c r="N667" s="37" t="s">
        <v>1176</v>
      </c>
      <c r="O667" s="37" t="s">
        <v>1382</v>
      </c>
      <c r="P667" s="39"/>
      <c r="Q667" s="37" t="s">
        <v>1462</v>
      </c>
      <c r="R667" s="37"/>
      <c r="S667" s="37" t="s">
        <v>1384</v>
      </c>
      <c r="T667" s="31"/>
    </row>
    <row r="668" spans="1:20">
      <c r="A668" s="31"/>
      <c r="B668" s="32"/>
      <c r="C668" s="33"/>
      <c r="D668" s="32" t="s">
        <v>1463</v>
      </c>
      <c r="E668" s="33" t="s">
        <v>116</v>
      </c>
      <c r="F668" s="34">
        <v>1</v>
      </c>
      <c r="G668" s="35">
        <v>0</v>
      </c>
      <c r="H668" s="35">
        <v>0</v>
      </c>
      <c r="I668" s="35">
        <f>Tabla1[[#This Row],[P.U. M.N.]]*Tabla1[[#This Row],[CANTIDADES DE REFERENCIA]]</f>
        <v>0</v>
      </c>
      <c r="J668" s="35">
        <f>Tabla1[[#This Row],[P.U. USD]]*Tabla1[[#This Row],[CANTIDADES DE REFERENCIA]]</f>
        <v>0</v>
      </c>
      <c r="K668" s="36"/>
      <c r="L668" s="36"/>
      <c r="M668" s="36"/>
      <c r="N668" s="37" t="s">
        <v>1176</v>
      </c>
      <c r="O668" s="37" t="s">
        <v>1382</v>
      </c>
      <c r="P668" s="39"/>
      <c r="Q668" s="37" t="s">
        <v>1464</v>
      </c>
      <c r="R668" s="37"/>
      <c r="S668" s="37" t="s">
        <v>1384</v>
      </c>
      <c r="T668" s="31"/>
    </row>
    <row r="669" spans="1:20">
      <c r="A669" s="31"/>
      <c r="B669" s="32"/>
      <c r="C669" s="33"/>
      <c r="D669" s="32" t="s">
        <v>1465</v>
      </c>
      <c r="E669" s="33" t="s">
        <v>116</v>
      </c>
      <c r="F669" s="34">
        <v>1</v>
      </c>
      <c r="G669" s="35">
        <v>0</v>
      </c>
      <c r="H669" s="35">
        <v>0</v>
      </c>
      <c r="I669" s="35">
        <f>Tabla1[[#This Row],[P.U. M.N.]]*Tabla1[[#This Row],[CANTIDADES DE REFERENCIA]]</f>
        <v>0</v>
      </c>
      <c r="J669" s="35">
        <f>Tabla1[[#This Row],[P.U. USD]]*Tabla1[[#This Row],[CANTIDADES DE REFERENCIA]]</f>
        <v>0</v>
      </c>
      <c r="K669" s="36"/>
      <c r="L669" s="36"/>
      <c r="M669" s="36"/>
      <c r="N669" s="37" t="s">
        <v>1176</v>
      </c>
      <c r="O669" s="37" t="s">
        <v>1382</v>
      </c>
      <c r="P669" s="39"/>
      <c r="Q669" s="37" t="s">
        <v>1466</v>
      </c>
      <c r="R669" s="37"/>
      <c r="S669" s="37" t="s">
        <v>1384</v>
      </c>
      <c r="T669" s="31"/>
    </row>
    <row r="670" spans="1:20">
      <c r="A670" s="31"/>
      <c r="B670" s="32"/>
      <c r="C670" s="33"/>
      <c r="D670" s="32" t="s">
        <v>1467</v>
      </c>
      <c r="E670" s="33" t="s">
        <v>116</v>
      </c>
      <c r="F670" s="34">
        <v>1</v>
      </c>
      <c r="G670" s="35">
        <v>0</v>
      </c>
      <c r="H670" s="35">
        <v>0</v>
      </c>
      <c r="I670" s="35">
        <f>Tabla1[[#This Row],[P.U. M.N.]]*Tabla1[[#This Row],[CANTIDADES DE REFERENCIA]]</f>
        <v>0</v>
      </c>
      <c r="J670" s="35">
        <f>Tabla1[[#This Row],[P.U. USD]]*Tabla1[[#This Row],[CANTIDADES DE REFERENCIA]]</f>
        <v>0</v>
      </c>
      <c r="K670" s="36"/>
      <c r="L670" s="36"/>
      <c r="M670" s="36"/>
      <c r="N670" s="37" t="s">
        <v>1176</v>
      </c>
      <c r="O670" s="37" t="s">
        <v>1382</v>
      </c>
      <c r="P670" s="39"/>
      <c r="Q670" s="37" t="s">
        <v>1468</v>
      </c>
      <c r="R670" s="37"/>
      <c r="S670" s="37" t="s">
        <v>1384</v>
      </c>
      <c r="T670" s="31"/>
    </row>
    <row r="671" spans="1:20">
      <c r="A671" s="31"/>
      <c r="B671" s="32"/>
      <c r="C671" s="33"/>
      <c r="D671" s="32" t="s">
        <v>1469</v>
      </c>
      <c r="E671" s="33" t="s">
        <v>116</v>
      </c>
      <c r="F671" s="34">
        <v>1</v>
      </c>
      <c r="G671" s="35">
        <v>0</v>
      </c>
      <c r="H671" s="35">
        <v>0</v>
      </c>
      <c r="I671" s="35">
        <f>Tabla1[[#This Row],[P.U. M.N.]]*Tabla1[[#This Row],[CANTIDADES DE REFERENCIA]]</f>
        <v>0</v>
      </c>
      <c r="J671" s="35">
        <f>Tabla1[[#This Row],[P.U. USD]]*Tabla1[[#This Row],[CANTIDADES DE REFERENCIA]]</f>
        <v>0</v>
      </c>
      <c r="K671" s="36"/>
      <c r="L671" s="36"/>
      <c r="M671" s="36"/>
      <c r="N671" s="37" t="s">
        <v>1176</v>
      </c>
      <c r="O671" s="37" t="s">
        <v>1382</v>
      </c>
      <c r="P671" s="39"/>
      <c r="Q671" s="37" t="s">
        <v>1470</v>
      </c>
      <c r="R671" s="37"/>
      <c r="S671" s="37" t="s">
        <v>1384</v>
      </c>
      <c r="T671" s="31"/>
    </row>
    <row r="672" spans="1:20">
      <c r="A672" s="31"/>
      <c r="B672" s="32"/>
      <c r="C672" s="33"/>
      <c r="D672" s="32" t="s">
        <v>1471</v>
      </c>
      <c r="E672" s="33" t="s">
        <v>116</v>
      </c>
      <c r="F672" s="34">
        <v>1</v>
      </c>
      <c r="G672" s="35">
        <v>0</v>
      </c>
      <c r="H672" s="35">
        <v>0</v>
      </c>
      <c r="I672" s="35">
        <f>Tabla1[[#This Row],[P.U. M.N.]]*Tabla1[[#This Row],[CANTIDADES DE REFERENCIA]]</f>
        <v>0</v>
      </c>
      <c r="J672" s="35">
        <f>Tabla1[[#This Row],[P.U. USD]]*Tabla1[[#This Row],[CANTIDADES DE REFERENCIA]]</f>
        <v>0</v>
      </c>
      <c r="K672" s="36"/>
      <c r="L672" s="36"/>
      <c r="M672" s="36"/>
      <c r="N672" s="37" t="s">
        <v>1176</v>
      </c>
      <c r="O672" s="37" t="s">
        <v>1382</v>
      </c>
      <c r="P672" s="39"/>
      <c r="Q672" s="37" t="s">
        <v>1472</v>
      </c>
      <c r="R672" s="37"/>
      <c r="S672" s="37" t="s">
        <v>1384</v>
      </c>
      <c r="T672" s="31"/>
    </row>
    <row r="673" spans="1:20">
      <c r="A673" s="31"/>
      <c r="B673" s="32"/>
      <c r="C673" s="33"/>
      <c r="D673" s="32" t="s">
        <v>1473</v>
      </c>
      <c r="E673" s="33" t="s">
        <v>116</v>
      </c>
      <c r="F673" s="34">
        <v>1</v>
      </c>
      <c r="G673" s="35">
        <v>0</v>
      </c>
      <c r="H673" s="35">
        <v>0</v>
      </c>
      <c r="I673" s="35">
        <f>Tabla1[[#This Row],[P.U. M.N.]]*Tabla1[[#This Row],[CANTIDADES DE REFERENCIA]]</f>
        <v>0</v>
      </c>
      <c r="J673" s="35">
        <f>Tabla1[[#This Row],[P.U. USD]]*Tabla1[[#This Row],[CANTIDADES DE REFERENCIA]]</f>
        <v>0</v>
      </c>
      <c r="K673" s="36"/>
      <c r="L673" s="36"/>
      <c r="M673" s="36"/>
      <c r="N673" s="37" t="s">
        <v>1176</v>
      </c>
      <c r="O673" s="37" t="s">
        <v>1382</v>
      </c>
      <c r="P673" s="39"/>
      <c r="Q673" s="37" t="s">
        <v>1474</v>
      </c>
      <c r="R673" s="37"/>
      <c r="S673" s="37" t="s">
        <v>1384</v>
      </c>
      <c r="T673" s="31"/>
    </row>
    <row r="674" spans="1:20">
      <c r="A674" s="31"/>
      <c r="B674" s="32"/>
      <c r="C674" s="33"/>
      <c r="D674" s="32" t="s">
        <v>1475</v>
      </c>
      <c r="E674" s="33" t="s">
        <v>116</v>
      </c>
      <c r="F674" s="34">
        <v>1</v>
      </c>
      <c r="G674" s="35">
        <v>0</v>
      </c>
      <c r="H674" s="35">
        <v>0</v>
      </c>
      <c r="I674" s="35">
        <f>Tabla1[[#This Row],[P.U. M.N.]]*Tabla1[[#This Row],[CANTIDADES DE REFERENCIA]]</f>
        <v>0</v>
      </c>
      <c r="J674" s="35">
        <f>Tabla1[[#This Row],[P.U. USD]]*Tabla1[[#This Row],[CANTIDADES DE REFERENCIA]]</f>
        <v>0</v>
      </c>
      <c r="K674" s="36"/>
      <c r="L674" s="36"/>
      <c r="M674" s="36"/>
      <c r="N674" s="37" t="s">
        <v>1176</v>
      </c>
      <c r="O674" s="37" t="s">
        <v>1382</v>
      </c>
      <c r="P674" s="39"/>
      <c r="Q674" s="37" t="s">
        <v>1476</v>
      </c>
      <c r="R674" s="37"/>
      <c r="S674" s="37" t="s">
        <v>1384</v>
      </c>
      <c r="T674" s="31"/>
    </row>
    <row r="675" spans="1:20">
      <c r="A675" s="31"/>
      <c r="B675" s="32"/>
      <c r="C675" s="33"/>
      <c r="D675" s="32" t="s">
        <v>1477</v>
      </c>
      <c r="E675" s="33" t="s">
        <v>116</v>
      </c>
      <c r="F675" s="34">
        <v>1</v>
      </c>
      <c r="G675" s="35">
        <v>0</v>
      </c>
      <c r="H675" s="35">
        <v>0</v>
      </c>
      <c r="I675" s="35">
        <f>Tabla1[[#This Row],[P.U. M.N.]]*Tabla1[[#This Row],[CANTIDADES DE REFERENCIA]]</f>
        <v>0</v>
      </c>
      <c r="J675" s="35">
        <f>Tabla1[[#This Row],[P.U. USD]]*Tabla1[[#This Row],[CANTIDADES DE REFERENCIA]]</f>
        <v>0</v>
      </c>
      <c r="K675" s="36"/>
      <c r="L675" s="36"/>
      <c r="M675" s="36"/>
      <c r="N675" s="37" t="s">
        <v>1176</v>
      </c>
      <c r="O675" s="37" t="s">
        <v>1382</v>
      </c>
      <c r="P675" s="39"/>
      <c r="Q675" s="37" t="s">
        <v>1478</v>
      </c>
      <c r="R675" s="37"/>
      <c r="S675" s="37" t="s">
        <v>1384</v>
      </c>
      <c r="T675" s="31"/>
    </row>
    <row r="676" spans="1:20">
      <c r="A676" s="31"/>
      <c r="B676" s="32"/>
      <c r="C676" s="33"/>
      <c r="D676" s="32" t="s">
        <v>1479</v>
      </c>
      <c r="E676" s="33" t="s">
        <v>116</v>
      </c>
      <c r="F676" s="34">
        <v>1</v>
      </c>
      <c r="G676" s="35">
        <v>0</v>
      </c>
      <c r="H676" s="35">
        <v>0</v>
      </c>
      <c r="I676" s="35">
        <f>Tabla1[[#This Row],[P.U. M.N.]]*Tabla1[[#This Row],[CANTIDADES DE REFERENCIA]]</f>
        <v>0</v>
      </c>
      <c r="J676" s="35">
        <f>Tabla1[[#This Row],[P.U. USD]]*Tabla1[[#This Row],[CANTIDADES DE REFERENCIA]]</f>
        <v>0</v>
      </c>
      <c r="K676" s="36"/>
      <c r="L676" s="36"/>
      <c r="M676" s="36"/>
      <c r="N676" s="37" t="s">
        <v>1176</v>
      </c>
      <c r="O676" s="37" t="s">
        <v>1382</v>
      </c>
      <c r="P676" s="39"/>
      <c r="Q676" s="37" t="s">
        <v>1480</v>
      </c>
      <c r="R676" s="37"/>
      <c r="S676" s="37" t="s">
        <v>1384</v>
      </c>
      <c r="T676" s="31"/>
    </row>
    <row r="677" spans="1:20">
      <c r="A677" s="31"/>
      <c r="B677" s="32"/>
      <c r="C677" s="33"/>
      <c r="D677" s="32" t="s">
        <v>1481</v>
      </c>
      <c r="E677" s="33" t="s">
        <v>116</v>
      </c>
      <c r="F677" s="34">
        <v>1</v>
      </c>
      <c r="G677" s="35">
        <v>0</v>
      </c>
      <c r="H677" s="35">
        <v>0</v>
      </c>
      <c r="I677" s="35">
        <f>Tabla1[[#This Row],[P.U. M.N.]]*Tabla1[[#This Row],[CANTIDADES DE REFERENCIA]]</f>
        <v>0</v>
      </c>
      <c r="J677" s="35">
        <f>Tabla1[[#This Row],[P.U. USD]]*Tabla1[[#This Row],[CANTIDADES DE REFERENCIA]]</f>
        <v>0</v>
      </c>
      <c r="K677" s="36"/>
      <c r="L677" s="36"/>
      <c r="M677" s="36"/>
      <c r="N677" s="37" t="s">
        <v>1176</v>
      </c>
      <c r="O677" s="37" t="s">
        <v>1382</v>
      </c>
      <c r="P677" s="39"/>
      <c r="Q677" s="37" t="s">
        <v>1482</v>
      </c>
      <c r="R677" s="37"/>
      <c r="S677" s="37" t="s">
        <v>1384</v>
      </c>
      <c r="T677" s="31"/>
    </row>
    <row r="678" spans="1:20">
      <c r="A678" s="31"/>
      <c r="B678" s="32"/>
      <c r="C678" s="33"/>
      <c r="D678" s="32" t="s">
        <v>1483</v>
      </c>
      <c r="E678" s="33" t="s">
        <v>135</v>
      </c>
      <c r="F678" s="34">
        <v>1</v>
      </c>
      <c r="G678" s="35">
        <v>0</v>
      </c>
      <c r="H678" s="35">
        <v>0</v>
      </c>
      <c r="I678" s="35">
        <f>Tabla1[[#This Row],[P.U. M.N.]]*Tabla1[[#This Row],[CANTIDADES DE REFERENCIA]]</f>
        <v>0</v>
      </c>
      <c r="J678" s="35">
        <f>Tabla1[[#This Row],[P.U. USD]]*Tabla1[[#This Row],[CANTIDADES DE REFERENCIA]]</f>
        <v>0</v>
      </c>
      <c r="K678" s="36"/>
      <c r="L678" s="36"/>
      <c r="M678" s="36"/>
      <c r="N678" s="37" t="s">
        <v>1484</v>
      </c>
      <c r="O678" s="37"/>
      <c r="P678" s="39"/>
      <c r="Q678" s="37" t="s">
        <v>1485</v>
      </c>
      <c r="R678" s="37"/>
      <c r="S678" s="37" t="s">
        <v>1486</v>
      </c>
      <c r="T678" s="31"/>
    </row>
    <row r="679" spans="1:20">
      <c r="A679" s="31"/>
      <c r="B679" s="32"/>
      <c r="C679" s="33"/>
      <c r="D679" s="32" t="s">
        <v>1487</v>
      </c>
      <c r="E679" s="33" t="s">
        <v>116</v>
      </c>
      <c r="F679" s="34">
        <v>1</v>
      </c>
      <c r="G679" s="35">
        <v>0</v>
      </c>
      <c r="H679" s="35">
        <v>0</v>
      </c>
      <c r="I679" s="35">
        <f>Tabla1[[#This Row],[P.U. M.N.]]*Tabla1[[#This Row],[CANTIDADES DE REFERENCIA]]</f>
        <v>0</v>
      </c>
      <c r="J679" s="35">
        <f>Tabla1[[#This Row],[P.U. USD]]*Tabla1[[#This Row],[CANTIDADES DE REFERENCIA]]</f>
        <v>0</v>
      </c>
      <c r="K679" s="36"/>
      <c r="L679" s="36"/>
      <c r="M679" s="36"/>
      <c r="N679" s="37" t="s">
        <v>1484</v>
      </c>
      <c r="O679" s="37"/>
      <c r="P679" s="39"/>
      <c r="Q679" s="37" t="s">
        <v>1488</v>
      </c>
      <c r="R679" s="37"/>
      <c r="S679" s="37" t="s">
        <v>1486</v>
      </c>
      <c r="T679" s="31"/>
    </row>
    <row r="680" spans="1:20">
      <c r="A680" s="31"/>
      <c r="B680" s="32"/>
      <c r="C680" s="33"/>
      <c r="D680" s="32" t="s">
        <v>1489</v>
      </c>
      <c r="E680" s="33" t="s">
        <v>116</v>
      </c>
      <c r="F680" s="34">
        <v>1</v>
      </c>
      <c r="G680" s="35">
        <v>0</v>
      </c>
      <c r="H680" s="35">
        <v>0</v>
      </c>
      <c r="I680" s="35">
        <f>Tabla1[[#This Row],[P.U. M.N.]]*Tabla1[[#This Row],[CANTIDADES DE REFERENCIA]]</f>
        <v>0</v>
      </c>
      <c r="J680" s="35">
        <f>Tabla1[[#This Row],[P.U. USD]]*Tabla1[[#This Row],[CANTIDADES DE REFERENCIA]]</f>
        <v>0</v>
      </c>
      <c r="K680" s="36"/>
      <c r="L680" s="36"/>
      <c r="M680" s="36"/>
      <c r="N680" s="37" t="s">
        <v>1484</v>
      </c>
      <c r="O680" s="37"/>
      <c r="P680" s="39"/>
      <c r="Q680" s="37" t="s">
        <v>1490</v>
      </c>
      <c r="R680" s="37"/>
      <c r="S680" s="37" t="s">
        <v>1486</v>
      </c>
      <c r="T680" s="31"/>
    </row>
    <row r="681" spans="1:20">
      <c r="A681" s="31"/>
      <c r="B681" s="32"/>
      <c r="C681" s="33"/>
      <c r="D681" s="32" t="s">
        <v>1491</v>
      </c>
      <c r="E681" s="33" t="s">
        <v>116</v>
      </c>
      <c r="F681" s="34">
        <v>1</v>
      </c>
      <c r="G681" s="35">
        <v>0</v>
      </c>
      <c r="H681" s="35">
        <v>0</v>
      </c>
      <c r="I681" s="35">
        <f>Tabla1[[#This Row],[P.U. M.N.]]*Tabla1[[#This Row],[CANTIDADES DE REFERENCIA]]</f>
        <v>0</v>
      </c>
      <c r="J681" s="35">
        <f>Tabla1[[#This Row],[P.U. USD]]*Tabla1[[#This Row],[CANTIDADES DE REFERENCIA]]</f>
        <v>0</v>
      </c>
      <c r="K681" s="36"/>
      <c r="L681" s="36"/>
      <c r="M681" s="36"/>
      <c r="N681" s="37" t="s">
        <v>1176</v>
      </c>
      <c r="O681" s="37"/>
      <c r="P681" s="39"/>
      <c r="Q681" s="37" t="s">
        <v>1492</v>
      </c>
      <c r="R681" s="37"/>
      <c r="S681" s="37" t="s">
        <v>1493</v>
      </c>
      <c r="T681" s="31"/>
    </row>
    <row r="682" spans="1:20">
      <c r="A682" s="31"/>
      <c r="B682" s="32"/>
      <c r="C682" s="33"/>
      <c r="D682" s="32" t="s">
        <v>1494</v>
      </c>
      <c r="E682" s="33" t="s">
        <v>116</v>
      </c>
      <c r="F682" s="34">
        <v>1</v>
      </c>
      <c r="G682" s="35">
        <v>0</v>
      </c>
      <c r="H682" s="35">
        <v>0</v>
      </c>
      <c r="I682" s="35">
        <f>Tabla1[[#This Row],[P.U. M.N.]]*Tabla1[[#This Row],[CANTIDADES DE REFERENCIA]]</f>
        <v>0</v>
      </c>
      <c r="J682" s="35">
        <f>Tabla1[[#This Row],[P.U. USD]]*Tabla1[[#This Row],[CANTIDADES DE REFERENCIA]]</f>
        <v>0</v>
      </c>
      <c r="K682" s="36"/>
      <c r="L682" s="36"/>
      <c r="M682" s="36"/>
      <c r="N682" s="37" t="s">
        <v>1176</v>
      </c>
      <c r="O682" s="37"/>
      <c r="P682" s="39"/>
      <c r="Q682" s="37" t="s">
        <v>1495</v>
      </c>
      <c r="R682" s="37"/>
      <c r="S682" s="37" t="s">
        <v>1493</v>
      </c>
      <c r="T682" s="31"/>
    </row>
    <row r="683" spans="1:20">
      <c r="A683" s="31"/>
      <c r="B683" s="32"/>
      <c r="C683" s="33"/>
      <c r="D683" s="32" t="s">
        <v>1496</v>
      </c>
      <c r="E683" s="33" t="s">
        <v>42</v>
      </c>
      <c r="F683" s="34">
        <v>1</v>
      </c>
      <c r="G683" s="35">
        <v>0</v>
      </c>
      <c r="H683" s="35">
        <v>0</v>
      </c>
      <c r="I683" s="35">
        <f>Tabla1[[#This Row],[P.U. M.N.]]*Tabla1[[#This Row],[CANTIDADES DE REFERENCIA]]</f>
        <v>0</v>
      </c>
      <c r="J683" s="35">
        <f>Tabla1[[#This Row],[P.U. USD]]*Tabla1[[#This Row],[CANTIDADES DE REFERENCIA]]</f>
        <v>0</v>
      </c>
      <c r="K683" s="36"/>
      <c r="L683" s="36"/>
      <c r="M683" s="36"/>
      <c r="N683" s="37" t="s">
        <v>1497</v>
      </c>
      <c r="O683" s="37"/>
      <c r="P683" s="39"/>
      <c r="Q683" s="37" t="s">
        <v>1498</v>
      </c>
      <c r="R683" s="37"/>
      <c r="S683" s="37" t="s">
        <v>1127</v>
      </c>
      <c r="T683" s="31"/>
    </row>
    <row r="684" spans="1:20">
      <c r="A684" s="31"/>
      <c r="B684" s="32"/>
      <c r="C684" s="33"/>
      <c r="D684" s="32" t="s">
        <v>1499</v>
      </c>
      <c r="E684" s="33" t="s">
        <v>42</v>
      </c>
      <c r="F684" s="34">
        <v>1</v>
      </c>
      <c r="G684" s="35">
        <v>0</v>
      </c>
      <c r="H684" s="35">
        <v>0</v>
      </c>
      <c r="I684" s="35">
        <f>Tabla1[[#This Row],[P.U. M.N.]]*Tabla1[[#This Row],[CANTIDADES DE REFERENCIA]]</f>
        <v>0</v>
      </c>
      <c r="J684" s="35">
        <f>Tabla1[[#This Row],[P.U. USD]]*Tabla1[[#This Row],[CANTIDADES DE REFERENCIA]]</f>
        <v>0</v>
      </c>
      <c r="K684" s="36"/>
      <c r="L684" s="36"/>
      <c r="M684" s="36"/>
      <c r="N684" s="37" t="s">
        <v>1497</v>
      </c>
      <c r="O684" s="37"/>
      <c r="P684" s="39"/>
      <c r="Q684" s="37" t="s">
        <v>1500</v>
      </c>
      <c r="R684" s="37"/>
      <c r="S684" s="37" t="s">
        <v>1127</v>
      </c>
      <c r="T684" s="31"/>
    </row>
    <row r="685" spans="1:20">
      <c r="A685" s="31"/>
      <c r="B685" s="32"/>
      <c r="C685" s="33"/>
      <c r="D685" s="32" t="s">
        <v>1501</v>
      </c>
      <c r="E685" s="33" t="s">
        <v>42</v>
      </c>
      <c r="F685" s="34">
        <v>1</v>
      </c>
      <c r="G685" s="35">
        <v>0</v>
      </c>
      <c r="H685" s="35">
        <v>0</v>
      </c>
      <c r="I685" s="35">
        <f>Tabla1[[#This Row],[P.U. M.N.]]*Tabla1[[#This Row],[CANTIDADES DE REFERENCIA]]</f>
        <v>0</v>
      </c>
      <c r="J685" s="35">
        <f>Tabla1[[#This Row],[P.U. USD]]*Tabla1[[#This Row],[CANTIDADES DE REFERENCIA]]</f>
        <v>0</v>
      </c>
      <c r="K685" s="36"/>
      <c r="L685" s="36"/>
      <c r="M685" s="36"/>
      <c r="N685" s="37" t="s">
        <v>1497</v>
      </c>
      <c r="O685" s="37"/>
      <c r="P685" s="39"/>
      <c r="Q685" s="37" t="s">
        <v>1502</v>
      </c>
      <c r="R685" s="37"/>
      <c r="S685" s="37" t="s">
        <v>1127</v>
      </c>
      <c r="T685" s="31"/>
    </row>
    <row r="686" spans="1:20">
      <c r="A686" s="31"/>
      <c r="B686" s="32"/>
      <c r="C686" s="33"/>
      <c r="D686" s="32" t="s">
        <v>1503</v>
      </c>
      <c r="E686" s="33" t="s">
        <v>1504</v>
      </c>
      <c r="F686" s="34">
        <v>1</v>
      </c>
      <c r="G686" s="35">
        <v>0</v>
      </c>
      <c r="H686" s="35">
        <v>0</v>
      </c>
      <c r="I686" s="35">
        <f>Tabla1[[#This Row],[P.U. M.N.]]*Tabla1[[#This Row],[CANTIDADES DE REFERENCIA]]</f>
        <v>0</v>
      </c>
      <c r="J686" s="35">
        <f>Tabla1[[#This Row],[P.U. USD]]*Tabla1[[#This Row],[CANTIDADES DE REFERENCIA]]</f>
        <v>0</v>
      </c>
      <c r="K686" s="36"/>
      <c r="L686" s="36"/>
      <c r="M686" s="36"/>
      <c r="N686" s="37" t="s">
        <v>1505</v>
      </c>
      <c r="O686" s="37"/>
      <c r="P686" s="39"/>
      <c r="Q686" s="37" t="s">
        <v>1506</v>
      </c>
      <c r="R686" s="37"/>
      <c r="S686" s="37"/>
      <c r="T686" s="31"/>
    </row>
    <row r="687" spans="1:20">
      <c r="A687" s="31"/>
      <c r="B687" s="32"/>
      <c r="C687" s="33"/>
      <c r="D687" s="32" t="s">
        <v>1507</v>
      </c>
      <c r="E687" s="33" t="s">
        <v>54</v>
      </c>
      <c r="F687" s="34">
        <v>1</v>
      </c>
      <c r="G687" s="35">
        <v>0</v>
      </c>
      <c r="H687" s="35">
        <v>0</v>
      </c>
      <c r="I687" s="35">
        <f>Tabla1[[#This Row],[P.U. M.N.]]*Tabla1[[#This Row],[CANTIDADES DE REFERENCIA]]</f>
        <v>0</v>
      </c>
      <c r="J687" s="35">
        <f>Tabla1[[#This Row],[P.U. USD]]*Tabla1[[#This Row],[CANTIDADES DE REFERENCIA]]</f>
        <v>0</v>
      </c>
      <c r="K687" s="36"/>
      <c r="L687" s="36"/>
      <c r="M687" s="36"/>
      <c r="N687" s="37" t="s">
        <v>1508</v>
      </c>
      <c r="O687" s="37"/>
      <c r="P687" s="39"/>
      <c r="Q687" s="37" t="s">
        <v>1509</v>
      </c>
      <c r="R687" s="37"/>
      <c r="S687" s="37"/>
      <c r="T687" s="31"/>
    </row>
    <row r="688" spans="1:20">
      <c r="A688" s="31"/>
      <c r="B688" s="32"/>
      <c r="C688" s="33"/>
      <c r="D688" s="32" t="s">
        <v>1510</v>
      </c>
      <c r="E688" s="33" t="s">
        <v>54</v>
      </c>
      <c r="F688" s="34">
        <v>1</v>
      </c>
      <c r="G688" s="35">
        <v>0</v>
      </c>
      <c r="H688" s="35">
        <v>0</v>
      </c>
      <c r="I688" s="35">
        <f>Tabla1[[#This Row],[P.U. M.N.]]*Tabla1[[#This Row],[CANTIDADES DE REFERENCIA]]</f>
        <v>0</v>
      </c>
      <c r="J688" s="35">
        <f>Tabla1[[#This Row],[P.U. USD]]*Tabla1[[#This Row],[CANTIDADES DE REFERENCIA]]</f>
        <v>0</v>
      </c>
      <c r="K688" s="36"/>
      <c r="L688" s="36"/>
      <c r="M688" s="36"/>
      <c r="N688" s="37" t="s">
        <v>1508</v>
      </c>
      <c r="O688" s="37"/>
      <c r="P688" s="39"/>
      <c r="Q688" s="37" t="s">
        <v>1511</v>
      </c>
      <c r="R688" s="37"/>
      <c r="S688" s="37"/>
      <c r="T688" s="31"/>
    </row>
    <row r="689" spans="1:20">
      <c r="A689" s="31"/>
      <c r="B689" s="32"/>
      <c r="C689" s="33"/>
      <c r="D689" s="32" t="s">
        <v>1512</v>
      </c>
      <c r="E689" s="33" t="s">
        <v>116</v>
      </c>
      <c r="F689" s="34">
        <v>1</v>
      </c>
      <c r="G689" s="35">
        <v>0</v>
      </c>
      <c r="H689" s="35">
        <v>0</v>
      </c>
      <c r="I689" s="35">
        <f>Tabla1[[#This Row],[P.U. M.N.]]*Tabla1[[#This Row],[CANTIDADES DE REFERENCIA]]</f>
        <v>0</v>
      </c>
      <c r="J689" s="35">
        <f>Tabla1[[#This Row],[P.U. USD]]*Tabla1[[#This Row],[CANTIDADES DE REFERENCIA]]</f>
        <v>0</v>
      </c>
      <c r="K689" s="36"/>
      <c r="L689" s="36"/>
      <c r="M689" s="36"/>
      <c r="N689" s="37"/>
      <c r="O689" s="37"/>
      <c r="P689" s="39"/>
      <c r="Q689" s="37" t="s">
        <v>1513</v>
      </c>
      <c r="R689" s="37" t="s">
        <v>389</v>
      </c>
      <c r="S689" s="37" t="s">
        <v>389</v>
      </c>
      <c r="T689" s="31"/>
    </row>
    <row r="690" spans="1:20">
      <c r="A690" s="31"/>
      <c r="B690" s="32"/>
      <c r="C690" s="33"/>
      <c r="D690" s="32" t="s">
        <v>1514</v>
      </c>
      <c r="E690" s="33" t="s">
        <v>116</v>
      </c>
      <c r="F690" s="34">
        <v>1</v>
      </c>
      <c r="G690" s="35">
        <v>0</v>
      </c>
      <c r="H690" s="35">
        <v>0</v>
      </c>
      <c r="I690" s="35">
        <f>Tabla1[[#This Row],[P.U. M.N.]]*Tabla1[[#This Row],[CANTIDADES DE REFERENCIA]]</f>
        <v>0</v>
      </c>
      <c r="J690" s="35">
        <f>Tabla1[[#This Row],[P.U. USD]]*Tabla1[[#This Row],[CANTIDADES DE REFERENCIA]]</f>
        <v>0</v>
      </c>
      <c r="K690" s="36"/>
      <c r="L690" s="36"/>
      <c r="M690" s="36"/>
      <c r="N690" s="37"/>
      <c r="O690" s="37"/>
      <c r="P690" s="39"/>
      <c r="Q690" s="37" t="s">
        <v>1515</v>
      </c>
      <c r="R690" s="37" t="s">
        <v>389</v>
      </c>
      <c r="S690" s="37" t="s">
        <v>389</v>
      </c>
      <c r="T690" s="31"/>
    </row>
    <row r="691" spans="1:20">
      <c r="A691" s="31"/>
      <c r="B691" s="32"/>
      <c r="C691" s="33"/>
      <c r="D691" s="32" t="s">
        <v>1516</v>
      </c>
      <c r="E691" s="33" t="s">
        <v>116</v>
      </c>
      <c r="F691" s="34">
        <v>1</v>
      </c>
      <c r="G691" s="35">
        <v>0</v>
      </c>
      <c r="H691" s="35">
        <v>0</v>
      </c>
      <c r="I691" s="35">
        <f>Tabla1[[#This Row],[P.U. M.N.]]*Tabla1[[#This Row],[CANTIDADES DE REFERENCIA]]</f>
        <v>0</v>
      </c>
      <c r="J691" s="35">
        <f>Tabla1[[#This Row],[P.U. USD]]*Tabla1[[#This Row],[CANTIDADES DE REFERENCIA]]</f>
        <v>0</v>
      </c>
      <c r="K691" s="36"/>
      <c r="L691" s="36"/>
      <c r="M691" s="36"/>
      <c r="N691" s="37"/>
      <c r="O691" s="37"/>
      <c r="P691" s="39"/>
      <c r="Q691" s="37" t="s">
        <v>1517</v>
      </c>
      <c r="R691" s="37" t="s">
        <v>389</v>
      </c>
      <c r="S691" s="37" t="s">
        <v>389</v>
      </c>
      <c r="T691" s="31"/>
    </row>
    <row r="692" spans="1:20">
      <c r="A692" s="31"/>
      <c r="B692" s="32"/>
      <c r="C692" s="33"/>
      <c r="D692" s="32" t="s">
        <v>1518</v>
      </c>
      <c r="E692" s="33" t="s">
        <v>116</v>
      </c>
      <c r="F692" s="34">
        <v>1</v>
      </c>
      <c r="G692" s="35">
        <v>0</v>
      </c>
      <c r="H692" s="35">
        <v>0</v>
      </c>
      <c r="I692" s="35">
        <f>Tabla1[[#This Row],[P.U. M.N.]]*Tabla1[[#This Row],[CANTIDADES DE REFERENCIA]]</f>
        <v>0</v>
      </c>
      <c r="J692" s="35">
        <f>Tabla1[[#This Row],[P.U. USD]]*Tabla1[[#This Row],[CANTIDADES DE REFERENCIA]]</f>
        <v>0</v>
      </c>
      <c r="K692" s="36"/>
      <c r="L692" s="36"/>
      <c r="M692" s="36"/>
      <c r="N692" s="37"/>
      <c r="O692" s="37"/>
      <c r="P692" s="39"/>
      <c r="Q692" s="37" t="s">
        <v>1519</v>
      </c>
      <c r="R692" s="37" t="s">
        <v>389</v>
      </c>
      <c r="S692" s="37" t="s">
        <v>389</v>
      </c>
      <c r="T692" s="31"/>
    </row>
    <row r="693" spans="1:20">
      <c r="A693" s="31"/>
      <c r="B693" s="32"/>
      <c r="C693" s="33"/>
      <c r="D693" s="32" t="s">
        <v>1520</v>
      </c>
      <c r="E693" s="33" t="s">
        <v>116</v>
      </c>
      <c r="F693" s="34">
        <v>1</v>
      </c>
      <c r="G693" s="35">
        <v>0</v>
      </c>
      <c r="H693" s="35">
        <v>0</v>
      </c>
      <c r="I693" s="35">
        <f>Tabla1[[#This Row],[P.U. M.N.]]*Tabla1[[#This Row],[CANTIDADES DE REFERENCIA]]</f>
        <v>0</v>
      </c>
      <c r="J693" s="35">
        <f>Tabla1[[#This Row],[P.U. USD]]*Tabla1[[#This Row],[CANTIDADES DE REFERENCIA]]</f>
        <v>0</v>
      </c>
      <c r="K693" s="36"/>
      <c r="L693" s="36"/>
      <c r="M693" s="36"/>
      <c r="N693" s="37"/>
      <c r="O693" s="37"/>
      <c r="P693" s="39"/>
      <c r="Q693" s="37" t="s">
        <v>1521</v>
      </c>
      <c r="R693" s="37" t="s">
        <v>389</v>
      </c>
      <c r="S693" s="37" t="s">
        <v>389</v>
      </c>
      <c r="T693" s="31"/>
    </row>
    <row r="694" spans="1:20">
      <c r="A694" s="31"/>
      <c r="B694" s="32"/>
      <c r="C694" s="33"/>
      <c r="D694" s="32" t="s">
        <v>1522</v>
      </c>
      <c r="E694" s="33" t="s">
        <v>116</v>
      </c>
      <c r="F694" s="34">
        <v>1</v>
      </c>
      <c r="G694" s="35">
        <v>0</v>
      </c>
      <c r="H694" s="35">
        <v>0</v>
      </c>
      <c r="I694" s="35">
        <f>Tabla1[[#This Row],[P.U. M.N.]]*Tabla1[[#This Row],[CANTIDADES DE REFERENCIA]]</f>
        <v>0</v>
      </c>
      <c r="J694" s="35">
        <f>Tabla1[[#This Row],[P.U. USD]]*Tabla1[[#This Row],[CANTIDADES DE REFERENCIA]]</f>
        <v>0</v>
      </c>
      <c r="K694" s="36"/>
      <c r="L694" s="36"/>
      <c r="M694" s="36"/>
      <c r="N694" s="37"/>
      <c r="O694" s="37"/>
      <c r="P694" s="39"/>
      <c r="Q694" s="37" t="s">
        <v>1523</v>
      </c>
      <c r="R694" s="37" t="s">
        <v>389</v>
      </c>
      <c r="S694" s="37" t="s">
        <v>389</v>
      </c>
      <c r="T694" s="31"/>
    </row>
    <row r="695" spans="1:20">
      <c r="A695" s="31"/>
      <c r="B695" s="32"/>
      <c r="C695" s="33"/>
      <c r="D695" s="32" t="s">
        <v>1524</v>
      </c>
      <c r="E695" s="33" t="s">
        <v>116</v>
      </c>
      <c r="F695" s="34">
        <v>1</v>
      </c>
      <c r="G695" s="35">
        <v>0</v>
      </c>
      <c r="H695" s="35">
        <v>0</v>
      </c>
      <c r="I695" s="35">
        <f>Tabla1[[#This Row],[P.U. M.N.]]*Tabla1[[#This Row],[CANTIDADES DE REFERENCIA]]</f>
        <v>0</v>
      </c>
      <c r="J695" s="35">
        <f>Tabla1[[#This Row],[P.U. USD]]*Tabla1[[#This Row],[CANTIDADES DE REFERENCIA]]</f>
        <v>0</v>
      </c>
      <c r="K695" s="36"/>
      <c r="L695" s="36"/>
      <c r="M695" s="36"/>
      <c r="N695" s="37"/>
      <c r="O695" s="37"/>
      <c r="P695" s="39"/>
      <c r="Q695" s="37" t="s">
        <v>1525</v>
      </c>
      <c r="R695" s="37" t="s">
        <v>389</v>
      </c>
      <c r="S695" s="37" t="s">
        <v>389</v>
      </c>
      <c r="T695" s="31"/>
    </row>
    <row r="696" spans="1:20">
      <c r="A696" s="31"/>
      <c r="B696" s="32"/>
      <c r="C696" s="33"/>
      <c r="D696" s="32" t="s">
        <v>1526</v>
      </c>
      <c r="E696" s="33" t="s">
        <v>116</v>
      </c>
      <c r="F696" s="34">
        <v>1</v>
      </c>
      <c r="G696" s="35">
        <v>0</v>
      </c>
      <c r="H696" s="35">
        <v>0</v>
      </c>
      <c r="I696" s="35">
        <f>Tabla1[[#This Row],[P.U. M.N.]]*Tabla1[[#This Row],[CANTIDADES DE REFERENCIA]]</f>
        <v>0</v>
      </c>
      <c r="J696" s="35">
        <f>Tabla1[[#This Row],[P.U. USD]]*Tabla1[[#This Row],[CANTIDADES DE REFERENCIA]]</f>
        <v>0</v>
      </c>
      <c r="K696" s="36"/>
      <c r="L696" s="36"/>
      <c r="M696" s="36"/>
      <c r="N696" s="37"/>
      <c r="O696" s="37"/>
      <c r="P696" s="39"/>
      <c r="Q696" s="37" t="s">
        <v>1527</v>
      </c>
      <c r="R696" s="37" t="s">
        <v>389</v>
      </c>
      <c r="S696" s="37" t="s">
        <v>389</v>
      </c>
      <c r="T696" s="31"/>
    </row>
    <row r="697" spans="1:20">
      <c r="A697" s="31"/>
      <c r="B697" s="32"/>
      <c r="C697" s="33"/>
      <c r="D697" s="32" t="s">
        <v>1528</v>
      </c>
      <c r="E697" s="33" t="s">
        <v>116</v>
      </c>
      <c r="F697" s="34">
        <v>1</v>
      </c>
      <c r="G697" s="35">
        <v>0</v>
      </c>
      <c r="H697" s="35">
        <v>0</v>
      </c>
      <c r="I697" s="35">
        <f>Tabla1[[#This Row],[P.U. M.N.]]*Tabla1[[#This Row],[CANTIDADES DE REFERENCIA]]</f>
        <v>0</v>
      </c>
      <c r="J697" s="35">
        <f>Tabla1[[#This Row],[P.U. USD]]*Tabla1[[#This Row],[CANTIDADES DE REFERENCIA]]</f>
        <v>0</v>
      </c>
      <c r="K697" s="36"/>
      <c r="L697" s="36"/>
      <c r="M697" s="36"/>
      <c r="N697" s="37"/>
      <c r="O697" s="37"/>
      <c r="P697" s="39"/>
      <c r="Q697" s="37" t="s">
        <v>1529</v>
      </c>
      <c r="R697" s="37" t="s">
        <v>389</v>
      </c>
      <c r="S697" s="37" t="s">
        <v>389</v>
      </c>
      <c r="T697" s="31"/>
    </row>
    <row r="698" spans="1:20">
      <c r="A698" s="31"/>
      <c r="B698" s="32"/>
      <c r="C698" s="33"/>
      <c r="D698" s="32" t="s">
        <v>1530</v>
      </c>
      <c r="E698" s="33" t="s">
        <v>116</v>
      </c>
      <c r="F698" s="34">
        <v>1</v>
      </c>
      <c r="G698" s="35">
        <v>0</v>
      </c>
      <c r="H698" s="35">
        <v>0</v>
      </c>
      <c r="I698" s="35">
        <f>Tabla1[[#This Row],[P.U. M.N.]]*Tabla1[[#This Row],[CANTIDADES DE REFERENCIA]]</f>
        <v>0</v>
      </c>
      <c r="J698" s="35">
        <f>Tabla1[[#This Row],[P.U. USD]]*Tabla1[[#This Row],[CANTIDADES DE REFERENCIA]]</f>
        <v>0</v>
      </c>
      <c r="K698" s="36"/>
      <c r="L698" s="36"/>
      <c r="M698" s="36"/>
      <c r="N698" s="37"/>
      <c r="O698" s="37"/>
      <c r="P698" s="39"/>
      <c r="Q698" s="37" t="s">
        <v>1531</v>
      </c>
      <c r="R698" s="37" t="s">
        <v>389</v>
      </c>
      <c r="S698" s="37" t="s">
        <v>389</v>
      </c>
      <c r="T698" s="31"/>
    </row>
    <row r="699" spans="1:20">
      <c r="A699" s="31"/>
      <c r="B699" s="32"/>
      <c r="C699" s="33"/>
      <c r="D699" s="32" t="s">
        <v>1532</v>
      </c>
      <c r="E699" s="33" t="s">
        <v>116</v>
      </c>
      <c r="F699" s="34">
        <v>1</v>
      </c>
      <c r="G699" s="35">
        <v>0</v>
      </c>
      <c r="H699" s="35">
        <v>0</v>
      </c>
      <c r="I699" s="35">
        <f>Tabla1[[#This Row],[P.U. M.N.]]*Tabla1[[#This Row],[CANTIDADES DE REFERENCIA]]</f>
        <v>0</v>
      </c>
      <c r="J699" s="35">
        <f>Tabla1[[#This Row],[P.U. USD]]*Tabla1[[#This Row],[CANTIDADES DE REFERENCIA]]</f>
        <v>0</v>
      </c>
      <c r="K699" s="36"/>
      <c r="L699" s="36"/>
      <c r="M699" s="36"/>
      <c r="N699" s="37"/>
      <c r="O699" s="37"/>
      <c r="P699" s="39"/>
      <c r="Q699" s="37" t="s">
        <v>1533</v>
      </c>
      <c r="R699" s="37" t="s">
        <v>389</v>
      </c>
      <c r="S699" s="37" t="s">
        <v>389</v>
      </c>
      <c r="T699" s="31"/>
    </row>
    <row r="700" spans="1:20">
      <c r="A700" s="31"/>
      <c r="B700" s="32"/>
      <c r="C700" s="33"/>
      <c r="D700" s="32" t="s">
        <v>1534</v>
      </c>
      <c r="E700" s="33" t="s">
        <v>116</v>
      </c>
      <c r="F700" s="34">
        <v>1</v>
      </c>
      <c r="G700" s="35">
        <v>0</v>
      </c>
      <c r="H700" s="35">
        <v>0</v>
      </c>
      <c r="I700" s="35">
        <f>Tabla1[[#This Row],[P.U. M.N.]]*Tabla1[[#This Row],[CANTIDADES DE REFERENCIA]]</f>
        <v>0</v>
      </c>
      <c r="J700" s="35">
        <f>Tabla1[[#This Row],[P.U. USD]]*Tabla1[[#This Row],[CANTIDADES DE REFERENCIA]]</f>
        <v>0</v>
      </c>
      <c r="K700" s="36"/>
      <c r="L700" s="36"/>
      <c r="M700" s="36"/>
      <c r="N700" s="37"/>
      <c r="O700" s="37"/>
      <c r="P700" s="39"/>
      <c r="Q700" s="37" t="s">
        <v>1535</v>
      </c>
      <c r="R700" s="37" t="s">
        <v>389</v>
      </c>
      <c r="S700" s="37" t="s">
        <v>389</v>
      </c>
      <c r="T700" s="31"/>
    </row>
    <row r="701" spans="1:20">
      <c r="A701" s="31"/>
      <c r="B701" s="32"/>
      <c r="C701" s="33"/>
      <c r="D701" s="32" t="s">
        <v>1536</v>
      </c>
      <c r="E701" s="33" t="s">
        <v>116</v>
      </c>
      <c r="F701" s="34">
        <v>1</v>
      </c>
      <c r="G701" s="35">
        <v>0</v>
      </c>
      <c r="H701" s="35">
        <v>0</v>
      </c>
      <c r="I701" s="35">
        <f>Tabla1[[#This Row],[P.U. M.N.]]*Tabla1[[#This Row],[CANTIDADES DE REFERENCIA]]</f>
        <v>0</v>
      </c>
      <c r="J701" s="35">
        <f>Tabla1[[#This Row],[P.U. USD]]*Tabla1[[#This Row],[CANTIDADES DE REFERENCIA]]</f>
        <v>0</v>
      </c>
      <c r="K701" s="36"/>
      <c r="L701" s="36"/>
      <c r="M701" s="36"/>
      <c r="N701" s="37"/>
      <c r="O701" s="37"/>
      <c r="P701" s="39"/>
      <c r="Q701" s="37" t="s">
        <v>1537</v>
      </c>
      <c r="R701" s="37" t="s">
        <v>389</v>
      </c>
      <c r="S701" s="37" t="s">
        <v>389</v>
      </c>
      <c r="T701" s="31"/>
    </row>
    <row r="702" spans="1:20">
      <c r="A702" s="31"/>
      <c r="B702" s="32"/>
      <c r="C702" s="33"/>
      <c r="D702" s="32" t="s">
        <v>1538</v>
      </c>
      <c r="E702" s="33" t="s">
        <v>116</v>
      </c>
      <c r="F702" s="34">
        <v>1</v>
      </c>
      <c r="G702" s="35">
        <v>0</v>
      </c>
      <c r="H702" s="35">
        <v>0</v>
      </c>
      <c r="I702" s="35">
        <f>Tabla1[[#This Row],[P.U. M.N.]]*Tabla1[[#This Row],[CANTIDADES DE REFERENCIA]]</f>
        <v>0</v>
      </c>
      <c r="J702" s="35">
        <f>Tabla1[[#This Row],[P.U. USD]]*Tabla1[[#This Row],[CANTIDADES DE REFERENCIA]]</f>
        <v>0</v>
      </c>
      <c r="K702" s="36"/>
      <c r="L702" s="36"/>
      <c r="M702" s="36"/>
      <c r="N702" s="37"/>
      <c r="O702" s="37"/>
      <c r="P702" s="39"/>
      <c r="Q702" s="37" t="s">
        <v>1539</v>
      </c>
      <c r="R702" s="37" t="s">
        <v>389</v>
      </c>
      <c r="S702" s="37" t="s">
        <v>389</v>
      </c>
      <c r="T702" s="31"/>
    </row>
    <row r="703" spans="1:20">
      <c r="A703" s="31"/>
      <c r="B703" s="32"/>
      <c r="C703" s="33"/>
      <c r="D703" s="32" t="s">
        <v>1540</v>
      </c>
      <c r="E703" s="33" t="s">
        <v>116</v>
      </c>
      <c r="F703" s="34">
        <v>1</v>
      </c>
      <c r="G703" s="35">
        <v>0</v>
      </c>
      <c r="H703" s="35">
        <v>0</v>
      </c>
      <c r="I703" s="35">
        <f>Tabla1[[#This Row],[P.U. M.N.]]*Tabla1[[#This Row],[CANTIDADES DE REFERENCIA]]</f>
        <v>0</v>
      </c>
      <c r="J703" s="35">
        <f>Tabla1[[#This Row],[P.U. USD]]*Tabla1[[#This Row],[CANTIDADES DE REFERENCIA]]</f>
        <v>0</v>
      </c>
      <c r="K703" s="36"/>
      <c r="L703" s="36"/>
      <c r="M703" s="36"/>
      <c r="N703" s="37"/>
      <c r="O703" s="37"/>
      <c r="P703" s="39"/>
      <c r="Q703" s="37" t="s">
        <v>1541</v>
      </c>
      <c r="R703" s="37" t="s">
        <v>389</v>
      </c>
      <c r="S703" s="37" t="s">
        <v>389</v>
      </c>
      <c r="T703" s="31"/>
    </row>
    <row r="704" spans="1:20">
      <c r="A704" s="31"/>
      <c r="B704" s="32"/>
      <c r="C704" s="33"/>
      <c r="D704" s="32" t="s">
        <v>1542</v>
      </c>
      <c r="E704" s="33" t="s">
        <v>116</v>
      </c>
      <c r="F704" s="34">
        <v>1</v>
      </c>
      <c r="G704" s="35">
        <v>0</v>
      </c>
      <c r="H704" s="35">
        <v>0</v>
      </c>
      <c r="I704" s="35">
        <f>Tabla1[[#This Row],[P.U. M.N.]]*Tabla1[[#This Row],[CANTIDADES DE REFERENCIA]]</f>
        <v>0</v>
      </c>
      <c r="J704" s="35">
        <f>Tabla1[[#This Row],[P.U. USD]]*Tabla1[[#This Row],[CANTIDADES DE REFERENCIA]]</f>
        <v>0</v>
      </c>
      <c r="K704" s="36"/>
      <c r="L704" s="36"/>
      <c r="M704" s="36"/>
      <c r="N704" s="37"/>
      <c r="O704" s="37"/>
      <c r="P704" s="39"/>
      <c r="Q704" s="37" t="s">
        <v>1543</v>
      </c>
      <c r="R704" s="37" t="s">
        <v>389</v>
      </c>
      <c r="S704" s="37" t="s">
        <v>389</v>
      </c>
      <c r="T704" s="31"/>
    </row>
    <row r="705" spans="1:20">
      <c r="A705" s="31"/>
      <c r="B705" s="32"/>
      <c r="C705" s="33"/>
      <c r="D705" s="32" t="s">
        <v>1544</v>
      </c>
      <c r="E705" s="33" t="s">
        <v>116</v>
      </c>
      <c r="F705" s="34">
        <v>1</v>
      </c>
      <c r="G705" s="35">
        <v>0</v>
      </c>
      <c r="H705" s="35">
        <v>0</v>
      </c>
      <c r="I705" s="35">
        <f>Tabla1[[#This Row],[P.U. M.N.]]*Tabla1[[#This Row],[CANTIDADES DE REFERENCIA]]</f>
        <v>0</v>
      </c>
      <c r="J705" s="35">
        <f>Tabla1[[#This Row],[P.U. USD]]*Tabla1[[#This Row],[CANTIDADES DE REFERENCIA]]</f>
        <v>0</v>
      </c>
      <c r="K705" s="36"/>
      <c r="L705" s="36"/>
      <c r="M705" s="36"/>
      <c r="N705" s="37" t="s">
        <v>1545</v>
      </c>
      <c r="O705" s="37"/>
      <c r="P705" s="39"/>
      <c r="Q705" s="37" t="s">
        <v>1546</v>
      </c>
      <c r="R705" s="37" t="s">
        <v>389</v>
      </c>
      <c r="S705" s="37"/>
      <c r="T705" s="31"/>
    </row>
    <row r="706" spans="1:20">
      <c r="A706" s="31"/>
      <c r="B706" s="32"/>
      <c r="C706" s="33"/>
      <c r="D706" s="32" t="s">
        <v>1547</v>
      </c>
      <c r="E706" s="33" t="s">
        <v>116</v>
      </c>
      <c r="F706" s="34">
        <v>1</v>
      </c>
      <c r="G706" s="35">
        <v>0</v>
      </c>
      <c r="H706" s="35">
        <v>0</v>
      </c>
      <c r="I706" s="35">
        <f>Tabla1[[#This Row],[P.U. M.N.]]*Tabla1[[#This Row],[CANTIDADES DE REFERENCIA]]</f>
        <v>0</v>
      </c>
      <c r="J706" s="35">
        <f>Tabla1[[#This Row],[P.U. USD]]*Tabla1[[#This Row],[CANTIDADES DE REFERENCIA]]</f>
        <v>0</v>
      </c>
      <c r="K706" s="36"/>
      <c r="L706" s="36"/>
      <c r="M706" s="36"/>
      <c r="N706" s="37" t="s">
        <v>1545</v>
      </c>
      <c r="O706" s="37"/>
      <c r="P706" s="39"/>
      <c r="Q706" s="37" t="s">
        <v>1548</v>
      </c>
      <c r="R706" s="37" t="s">
        <v>389</v>
      </c>
      <c r="S706" s="37"/>
      <c r="T706" s="31"/>
    </row>
    <row r="707" spans="1:20">
      <c r="A707" s="31"/>
      <c r="B707" s="32"/>
      <c r="C707" s="33"/>
      <c r="D707" s="32" t="s">
        <v>1549</v>
      </c>
      <c r="E707" s="33" t="s">
        <v>116</v>
      </c>
      <c r="F707" s="34">
        <v>1</v>
      </c>
      <c r="G707" s="35">
        <v>0</v>
      </c>
      <c r="H707" s="35">
        <v>0</v>
      </c>
      <c r="I707" s="35">
        <f>Tabla1[[#This Row],[P.U. M.N.]]*Tabla1[[#This Row],[CANTIDADES DE REFERENCIA]]</f>
        <v>0</v>
      </c>
      <c r="J707" s="35">
        <f>Tabla1[[#This Row],[P.U. USD]]*Tabla1[[#This Row],[CANTIDADES DE REFERENCIA]]</f>
        <v>0</v>
      </c>
      <c r="K707" s="36"/>
      <c r="L707" s="36"/>
      <c r="M707" s="36"/>
      <c r="N707" s="37" t="s">
        <v>1545</v>
      </c>
      <c r="O707" s="37"/>
      <c r="P707" s="39"/>
      <c r="Q707" s="37" t="s">
        <v>1550</v>
      </c>
      <c r="R707" s="37" t="s">
        <v>389</v>
      </c>
      <c r="S707" s="37"/>
      <c r="T707" s="31"/>
    </row>
    <row r="708" spans="1:20">
      <c r="A708" s="31"/>
      <c r="B708" s="32"/>
      <c r="C708" s="33"/>
      <c r="D708" s="32" t="s">
        <v>1551</v>
      </c>
      <c r="E708" s="33" t="s">
        <v>116</v>
      </c>
      <c r="F708" s="34">
        <v>1</v>
      </c>
      <c r="G708" s="35">
        <v>0</v>
      </c>
      <c r="H708" s="35">
        <v>0</v>
      </c>
      <c r="I708" s="35">
        <f>Tabla1[[#This Row],[P.U. M.N.]]*Tabla1[[#This Row],[CANTIDADES DE REFERENCIA]]</f>
        <v>0</v>
      </c>
      <c r="J708" s="35">
        <f>Tabla1[[#This Row],[P.U. USD]]*Tabla1[[#This Row],[CANTIDADES DE REFERENCIA]]</f>
        <v>0</v>
      </c>
      <c r="K708" s="36"/>
      <c r="L708" s="36"/>
      <c r="M708" s="36"/>
      <c r="N708" s="37" t="s">
        <v>1545</v>
      </c>
      <c r="O708" s="37"/>
      <c r="P708" s="39"/>
      <c r="Q708" s="37" t="s">
        <v>1552</v>
      </c>
      <c r="R708" s="37" t="s">
        <v>389</v>
      </c>
      <c r="S708" s="37"/>
      <c r="T708" s="31"/>
    </row>
    <row r="709" spans="1:20">
      <c r="A709" s="31"/>
      <c r="B709" s="32"/>
      <c r="C709" s="33"/>
      <c r="D709" s="32" t="s">
        <v>1553</v>
      </c>
      <c r="E709" s="33" t="s">
        <v>116</v>
      </c>
      <c r="F709" s="34">
        <v>1</v>
      </c>
      <c r="G709" s="35">
        <v>0</v>
      </c>
      <c r="H709" s="35">
        <v>0</v>
      </c>
      <c r="I709" s="35">
        <f>Tabla1[[#This Row],[P.U. M.N.]]*Tabla1[[#This Row],[CANTIDADES DE REFERENCIA]]</f>
        <v>0</v>
      </c>
      <c r="J709" s="35">
        <f>Tabla1[[#This Row],[P.U. USD]]*Tabla1[[#This Row],[CANTIDADES DE REFERENCIA]]</f>
        <v>0</v>
      </c>
      <c r="K709" s="36"/>
      <c r="L709" s="36"/>
      <c r="M709" s="36"/>
      <c r="N709" s="37" t="s">
        <v>1545</v>
      </c>
      <c r="O709" s="37"/>
      <c r="P709" s="39"/>
      <c r="Q709" s="37" t="s">
        <v>1554</v>
      </c>
      <c r="R709" s="37" t="s">
        <v>389</v>
      </c>
      <c r="S709" s="37"/>
      <c r="T709" s="31"/>
    </row>
    <row r="710" spans="1:20">
      <c r="A710" s="31"/>
      <c r="B710" s="32"/>
      <c r="C710" s="33"/>
      <c r="D710" s="32" t="s">
        <v>1555</v>
      </c>
      <c r="E710" s="33" t="s">
        <v>116</v>
      </c>
      <c r="F710" s="34">
        <v>1</v>
      </c>
      <c r="G710" s="35">
        <v>0</v>
      </c>
      <c r="H710" s="35">
        <v>0</v>
      </c>
      <c r="I710" s="35">
        <f>Tabla1[[#This Row],[P.U. M.N.]]*Tabla1[[#This Row],[CANTIDADES DE REFERENCIA]]</f>
        <v>0</v>
      </c>
      <c r="J710" s="35">
        <f>Tabla1[[#This Row],[P.U. USD]]*Tabla1[[#This Row],[CANTIDADES DE REFERENCIA]]</f>
        <v>0</v>
      </c>
      <c r="K710" s="36"/>
      <c r="L710" s="36"/>
      <c r="M710" s="36"/>
      <c r="N710" s="37" t="s">
        <v>1545</v>
      </c>
      <c r="O710" s="37"/>
      <c r="P710" s="39"/>
      <c r="Q710" s="37" t="s">
        <v>1556</v>
      </c>
      <c r="R710" s="37" t="s">
        <v>389</v>
      </c>
      <c r="S710" s="37"/>
      <c r="T710" s="31"/>
    </row>
    <row r="711" spans="1:20">
      <c r="A711" s="31"/>
      <c r="B711" s="32"/>
      <c r="C711" s="33"/>
      <c r="D711" s="32" t="s">
        <v>1557</v>
      </c>
      <c r="E711" s="33" t="s">
        <v>116</v>
      </c>
      <c r="F711" s="34">
        <v>1</v>
      </c>
      <c r="G711" s="35">
        <v>0</v>
      </c>
      <c r="H711" s="35">
        <v>0</v>
      </c>
      <c r="I711" s="35">
        <f>Tabla1[[#This Row],[P.U. M.N.]]*Tabla1[[#This Row],[CANTIDADES DE REFERENCIA]]</f>
        <v>0</v>
      </c>
      <c r="J711" s="35">
        <f>Tabla1[[#This Row],[P.U. USD]]*Tabla1[[#This Row],[CANTIDADES DE REFERENCIA]]</f>
        <v>0</v>
      </c>
      <c r="K711" s="36"/>
      <c r="L711" s="36"/>
      <c r="M711" s="36"/>
      <c r="N711" s="37" t="s">
        <v>1558</v>
      </c>
      <c r="O711" s="37" t="s">
        <v>1559</v>
      </c>
      <c r="P711" s="39"/>
      <c r="Q711" s="37" t="s">
        <v>1560</v>
      </c>
      <c r="R711" s="37" t="s">
        <v>389</v>
      </c>
      <c r="S711" s="37" t="s">
        <v>1561</v>
      </c>
      <c r="T711" s="31"/>
    </row>
    <row r="712" spans="1:20">
      <c r="A712" s="31"/>
      <c r="B712" s="32"/>
      <c r="C712" s="33"/>
      <c r="D712" s="32" t="s">
        <v>1562</v>
      </c>
      <c r="E712" s="33" t="s">
        <v>116</v>
      </c>
      <c r="F712" s="34">
        <v>1</v>
      </c>
      <c r="G712" s="35">
        <v>0</v>
      </c>
      <c r="H712" s="35">
        <v>0</v>
      </c>
      <c r="I712" s="35">
        <f>Tabla1[[#This Row],[P.U. M.N.]]*Tabla1[[#This Row],[CANTIDADES DE REFERENCIA]]</f>
        <v>0</v>
      </c>
      <c r="J712" s="35">
        <f>Tabla1[[#This Row],[P.U. USD]]*Tabla1[[#This Row],[CANTIDADES DE REFERENCIA]]</f>
        <v>0</v>
      </c>
      <c r="K712" s="36"/>
      <c r="L712" s="36"/>
      <c r="M712" s="36"/>
      <c r="N712" s="37" t="s">
        <v>1558</v>
      </c>
      <c r="O712" s="37" t="s">
        <v>1559</v>
      </c>
      <c r="P712" s="39"/>
      <c r="Q712" s="37" t="s">
        <v>1563</v>
      </c>
      <c r="R712" s="37" t="s">
        <v>389</v>
      </c>
      <c r="S712" s="37" t="s">
        <v>1561</v>
      </c>
      <c r="T712" s="31"/>
    </row>
    <row r="713" spans="1:20">
      <c r="A713" s="31"/>
      <c r="B713" s="32"/>
      <c r="C713" s="33"/>
      <c r="D713" s="32" t="s">
        <v>1564</v>
      </c>
      <c r="E713" s="33" t="s">
        <v>116</v>
      </c>
      <c r="F713" s="34">
        <v>1</v>
      </c>
      <c r="G713" s="35">
        <v>0</v>
      </c>
      <c r="H713" s="35">
        <v>0</v>
      </c>
      <c r="I713" s="35">
        <f>Tabla1[[#This Row],[P.U. M.N.]]*Tabla1[[#This Row],[CANTIDADES DE REFERENCIA]]</f>
        <v>0</v>
      </c>
      <c r="J713" s="35">
        <f>Tabla1[[#This Row],[P.U. USD]]*Tabla1[[#This Row],[CANTIDADES DE REFERENCIA]]</f>
        <v>0</v>
      </c>
      <c r="K713" s="36"/>
      <c r="L713" s="36"/>
      <c r="M713" s="36"/>
      <c r="N713" s="37" t="s">
        <v>1558</v>
      </c>
      <c r="O713" s="37" t="s">
        <v>1559</v>
      </c>
      <c r="P713" s="39"/>
      <c r="Q713" s="37" t="s">
        <v>1565</v>
      </c>
      <c r="R713" s="37" t="s">
        <v>389</v>
      </c>
      <c r="S713" s="37" t="s">
        <v>1561</v>
      </c>
      <c r="T713" s="31"/>
    </row>
    <row r="714" spans="1:20">
      <c r="A714" s="31"/>
      <c r="B714" s="32"/>
      <c r="C714" s="33"/>
      <c r="D714" s="32" t="s">
        <v>1566</v>
      </c>
      <c r="E714" s="33" t="s">
        <v>42</v>
      </c>
      <c r="F714" s="34">
        <v>1</v>
      </c>
      <c r="G714" s="35">
        <v>0</v>
      </c>
      <c r="H714" s="35">
        <v>0</v>
      </c>
      <c r="I714" s="35">
        <f>Tabla1[[#This Row],[P.U. M.N.]]*Tabla1[[#This Row],[CANTIDADES DE REFERENCIA]]</f>
        <v>0</v>
      </c>
      <c r="J714" s="35">
        <f>Tabla1[[#This Row],[P.U. USD]]*Tabla1[[#This Row],[CANTIDADES DE REFERENCIA]]</f>
        <v>0</v>
      </c>
      <c r="K714" s="36"/>
      <c r="L714" s="36"/>
      <c r="M714" s="36"/>
      <c r="N714" s="37" t="s">
        <v>1567</v>
      </c>
      <c r="O714" s="37"/>
      <c r="P714" s="39"/>
      <c r="Q714" s="37" t="s">
        <v>1568</v>
      </c>
      <c r="R714" s="37" t="s">
        <v>389</v>
      </c>
      <c r="S714" s="37" t="s">
        <v>389</v>
      </c>
      <c r="T714" s="31"/>
    </row>
    <row r="715" spans="1:20">
      <c r="A715" s="31"/>
      <c r="B715" s="32"/>
      <c r="C715" s="33"/>
      <c r="D715" s="32" t="s">
        <v>1569</v>
      </c>
      <c r="E715" s="33" t="s">
        <v>42</v>
      </c>
      <c r="F715" s="34">
        <v>1</v>
      </c>
      <c r="G715" s="35">
        <v>0</v>
      </c>
      <c r="H715" s="35">
        <v>0</v>
      </c>
      <c r="I715" s="35">
        <f>Tabla1[[#This Row],[P.U. M.N.]]*Tabla1[[#This Row],[CANTIDADES DE REFERENCIA]]</f>
        <v>0</v>
      </c>
      <c r="J715" s="35">
        <f>Tabla1[[#This Row],[P.U. USD]]*Tabla1[[#This Row],[CANTIDADES DE REFERENCIA]]</f>
        <v>0</v>
      </c>
      <c r="K715" s="36"/>
      <c r="L715" s="36"/>
      <c r="M715" s="36"/>
      <c r="N715" s="37" t="s">
        <v>1567</v>
      </c>
      <c r="O715" s="37"/>
      <c r="P715" s="39"/>
      <c r="Q715" s="37" t="s">
        <v>1570</v>
      </c>
      <c r="R715" s="37" t="s">
        <v>389</v>
      </c>
      <c r="S715" s="37" t="s">
        <v>389</v>
      </c>
      <c r="T715" s="31"/>
    </row>
    <row r="716" spans="1:20">
      <c r="A716" s="31"/>
      <c r="B716" s="32"/>
      <c r="C716" s="33"/>
      <c r="D716" s="32" t="s">
        <v>1571</v>
      </c>
      <c r="E716" s="33" t="s">
        <v>42</v>
      </c>
      <c r="F716" s="34">
        <v>1</v>
      </c>
      <c r="G716" s="35">
        <v>0</v>
      </c>
      <c r="H716" s="35">
        <v>0</v>
      </c>
      <c r="I716" s="35">
        <f>Tabla1[[#This Row],[P.U. M.N.]]*Tabla1[[#This Row],[CANTIDADES DE REFERENCIA]]</f>
        <v>0</v>
      </c>
      <c r="J716" s="35">
        <f>Tabla1[[#This Row],[P.U. USD]]*Tabla1[[#This Row],[CANTIDADES DE REFERENCIA]]</f>
        <v>0</v>
      </c>
      <c r="K716" s="36"/>
      <c r="L716" s="36"/>
      <c r="M716" s="36"/>
      <c r="N716" s="37" t="s">
        <v>1567</v>
      </c>
      <c r="O716" s="37"/>
      <c r="P716" s="39"/>
      <c r="Q716" s="37" t="s">
        <v>1572</v>
      </c>
      <c r="R716" s="37" t="s">
        <v>389</v>
      </c>
      <c r="S716" s="37" t="s">
        <v>389</v>
      </c>
      <c r="T716" s="31"/>
    </row>
    <row r="717" spans="1:20">
      <c r="A717" s="31"/>
      <c r="B717" s="32"/>
      <c r="C717" s="33"/>
      <c r="D717" s="32" t="s">
        <v>1573</v>
      </c>
      <c r="E717" s="33" t="s">
        <v>42</v>
      </c>
      <c r="F717" s="34">
        <v>1</v>
      </c>
      <c r="G717" s="35">
        <v>0</v>
      </c>
      <c r="H717" s="35">
        <v>0</v>
      </c>
      <c r="I717" s="35">
        <f>Tabla1[[#This Row],[P.U. M.N.]]*Tabla1[[#This Row],[CANTIDADES DE REFERENCIA]]</f>
        <v>0</v>
      </c>
      <c r="J717" s="35">
        <f>Tabla1[[#This Row],[P.U. USD]]*Tabla1[[#This Row],[CANTIDADES DE REFERENCIA]]</f>
        <v>0</v>
      </c>
      <c r="K717" s="36"/>
      <c r="L717" s="36"/>
      <c r="M717" s="36"/>
      <c r="N717" s="37" t="s">
        <v>1567</v>
      </c>
      <c r="O717" s="37"/>
      <c r="P717" s="39"/>
      <c r="Q717" s="37" t="s">
        <v>1574</v>
      </c>
      <c r="R717" s="37" t="s">
        <v>389</v>
      </c>
      <c r="S717" s="37" t="s">
        <v>389</v>
      </c>
      <c r="T717" s="31"/>
    </row>
    <row r="718" spans="1:20">
      <c r="A718" s="31"/>
      <c r="B718" s="32"/>
      <c r="C718" s="33"/>
      <c r="D718" s="32" t="s">
        <v>1575</v>
      </c>
      <c r="E718" s="33" t="s">
        <v>116</v>
      </c>
      <c r="F718" s="34">
        <v>1</v>
      </c>
      <c r="G718" s="35">
        <v>0</v>
      </c>
      <c r="H718" s="35">
        <v>0</v>
      </c>
      <c r="I718" s="35">
        <f>Tabla1[[#This Row],[P.U. M.N.]]*Tabla1[[#This Row],[CANTIDADES DE REFERENCIA]]</f>
        <v>0</v>
      </c>
      <c r="J718" s="35">
        <f>Tabla1[[#This Row],[P.U. USD]]*Tabla1[[#This Row],[CANTIDADES DE REFERENCIA]]</f>
        <v>0</v>
      </c>
      <c r="K718" s="36"/>
      <c r="L718" s="36"/>
      <c r="M718" s="36"/>
      <c r="N718" s="37" t="s">
        <v>1277</v>
      </c>
      <c r="O718" s="37"/>
      <c r="P718" s="39"/>
      <c r="Q718" s="37" t="s">
        <v>1576</v>
      </c>
      <c r="R718" s="37" t="s">
        <v>389</v>
      </c>
      <c r="S718" s="37" t="s">
        <v>389</v>
      </c>
      <c r="T718" s="31"/>
    </row>
    <row r="719" spans="1:20">
      <c r="A719" s="31"/>
      <c r="B719" s="32"/>
      <c r="C719" s="33"/>
      <c r="D719" s="32" t="s">
        <v>1577</v>
      </c>
      <c r="E719" s="33" t="s">
        <v>1058</v>
      </c>
      <c r="F719" s="34">
        <v>1</v>
      </c>
      <c r="G719" s="35">
        <v>0</v>
      </c>
      <c r="H719" s="35">
        <v>0</v>
      </c>
      <c r="I719" s="35">
        <f>Tabla1[[#This Row],[P.U. M.N.]]*Tabla1[[#This Row],[CANTIDADES DE REFERENCIA]]</f>
        <v>0</v>
      </c>
      <c r="J719" s="35">
        <f>Tabla1[[#This Row],[P.U. USD]]*Tabla1[[#This Row],[CANTIDADES DE REFERENCIA]]</f>
        <v>0</v>
      </c>
      <c r="K719" s="36"/>
      <c r="L719" s="36"/>
      <c r="M719" s="36"/>
      <c r="N719" s="37" t="s">
        <v>1277</v>
      </c>
      <c r="O719" s="37"/>
      <c r="P719" s="39"/>
      <c r="Q719" s="37" t="s">
        <v>1578</v>
      </c>
      <c r="R719" s="37" t="s">
        <v>389</v>
      </c>
      <c r="S719" s="37" t="s">
        <v>389</v>
      </c>
      <c r="T719" s="31"/>
    </row>
    <row r="720" spans="1:20">
      <c r="A720" s="31"/>
      <c r="B720" s="32"/>
      <c r="C720" s="33"/>
      <c r="D720" s="32" t="s">
        <v>1579</v>
      </c>
      <c r="E720" s="33" t="s">
        <v>135</v>
      </c>
      <c r="F720" s="34">
        <v>1</v>
      </c>
      <c r="G720" s="35">
        <v>0</v>
      </c>
      <c r="H720" s="35">
        <v>0</v>
      </c>
      <c r="I720" s="35">
        <f>Tabla1[[#This Row],[P.U. M.N.]]*Tabla1[[#This Row],[CANTIDADES DE REFERENCIA]]</f>
        <v>0</v>
      </c>
      <c r="J720" s="35">
        <f>Tabla1[[#This Row],[P.U. USD]]*Tabla1[[#This Row],[CANTIDADES DE REFERENCIA]]</f>
        <v>0</v>
      </c>
      <c r="K720" s="36"/>
      <c r="L720" s="36"/>
      <c r="M720" s="36"/>
      <c r="N720" s="37" t="s">
        <v>1277</v>
      </c>
      <c r="O720" s="37"/>
      <c r="P720" s="39"/>
      <c r="Q720" s="37" t="s">
        <v>1580</v>
      </c>
      <c r="R720" s="37" t="s">
        <v>389</v>
      </c>
      <c r="S720" s="37" t="s">
        <v>389</v>
      </c>
      <c r="T720" s="31"/>
    </row>
    <row r="721" spans="1:20">
      <c r="A721" s="31"/>
      <c r="B721" s="32"/>
      <c r="C721" s="33"/>
      <c r="D721" s="32" t="s">
        <v>1581</v>
      </c>
      <c r="E721" s="33" t="s">
        <v>135</v>
      </c>
      <c r="F721" s="34">
        <v>1</v>
      </c>
      <c r="G721" s="35">
        <v>0</v>
      </c>
      <c r="H721" s="35">
        <v>0</v>
      </c>
      <c r="I721" s="35">
        <f>Tabla1[[#This Row],[P.U. M.N.]]*Tabla1[[#This Row],[CANTIDADES DE REFERENCIA]]</f>
        <v>0</v>
      </c>
      <c r="J721" s="35">
        <f>Tabla1[[#This Row],[P.U. USD]]*Tabla1[[#This Row],[CANTIDADES DE REFERENCIA]]</f>
        <v>0</v>
      </c>
      <c r="K721" s="36"/>
      <c r="L721" s="36"/>
      <c r="M721" s="36"/>
      <c r="N721" s="37" t="s">
        <v>1277</v>
      </c>
      <c r="O721" s="37"/>
      <c r="P721" s="39"/>
      <c r="Q721" s="37" t="s">
        <v>1582</v>
      </c>
      <c r="R721" s="37" t="s">
        <v>389</v>
      </c>
      <c r="S721" s="37" t="s">
        <v>389</v>
      </c>
      <c r="T721" s="31"/>
    </row>
    <row r="722" spans="1:20">
      <c r="A722" s="31"/>
      <c r="B722" s="32"/>
      <c r="C722" s="33"/>
      <c r="D722" s="32" t="s">
        <v>1583</v>
      </c>
      <c r="E722" s="33" t="s">
        <v>116</v>
      </c>
      <c r="F722" s="34">
        <v>1</v>
      </c>
      <c r="G722" s="35">
        <v>0</v>
      </c>
      <c r="H722" s="35">
        <v>0</v>
      </c>
      <c r="I722" s="35">
        <f>Tabla1[[#This Row],[P.U. M.N.]]*Tabla1[[#This Row],[CANTIDADES DE REFERENCIA]]</f>
        <v>0</v>
      </c>
      <c r="J722" s="35">
        <f>Tabla1[[#This Row],[P.U. USD]]*Tabla1[[#This Row],[CANTIDADES DE REFERENCIA]]</f>
        <v>0</v>
      </c>
      <c r="K722" s="36"/>
      <c r="L722" s="36"/>
      <c r="M722" s="36"/>
      <c r="N722" s="37" t="s">
        <v>1558</v>
      </c>
      <c r="O722" s="37" t="s">
        <v>1559</v>
      </c>
      <c r="P722" s="39"/>
      <c r="Q722" s="37" t="s">
        <v>1584</v>
      </c>
      <c r="R722" s="37"/>
      <c r="S722" s="37" t="s">
        <v>1561</v>
      </c>
      <c r="T722" s="31"/>
    </row>
    <row r="723" spans="1:20">
      <c r="A723" s="31"/>
      <c r="B723" s="32"/>
      <c r="C723" s="33"/>
      <c r="D723" s="32" t="s">
        <v>1585</v>
      </c>
      <c r="E723" s="33" t="s">
        <v>116</v>
      </c>
      <c r="F723" s="34">
        <v>1</v>
      </c>
      <c r="G723" s="35">
        <v>0</v>
      </c>
      <c r="H723" s="35">
        <v>0</v>
      </c>
      <c r="I723" s="35">
        <f>Tabla1[[#This Row],[P.U. M.N.]]*Tabla1[[#This Row],[CANTIDADES DE REFERENCIA]]</f>
        <v>0</v>
      </c>
      <c r="J723" s="35">
        <f>Tabla1[[#This Row],[P.U. USD]]*Tabla1[[#This Row],[CANTIDADES DE REFERENCIA]]</f>
        <v>0</v>
      </c>
      <c r="K723" s="36"/>
      <c r="L723" s="36"/>
      <c r="M723" s="36"/>
      <c r="N723" s="37" t="s">
        <v>1558</v>
      </c>
      <c r="O723" s="37" t="s">
        <v>1559</v>
      </c>
      <c r="P723" s="39"/>
      <c r="Q723" s="37" t="s">
        <v>1586</v>
      </c>
      <c r="R723" s="37"/>
      <c r="S723" s="37" t="s">
        <v>1561</v>
      </c>
      <c r="T723" s="31"/>
    </row>
    <row r="724" spans="1:20">
      <c r="A724" s="31"/>
      <c r="B724" s="32"/>
      <c r="C724" s="33"/>
      <c r="D724" s="32" t="s">
        <v>1587</v>
      </c>
      <c r="E724" s="33" t="s">
        <v>116</v>
      </c>
      <c r="F724" s="34">
        <v>1</v>
      </c>
      <c r="G724" s="35">
        <v>0</v>
      </c>
      <c r="H724" s="35">
        <v>0</v>
      </c>
      <c r="I724" s="35">
        <f>Tabla1[[#This Row],[P.U. M.N.]]*Tabla1[[#This Row],[CANTIDADES DE REFERENCIA]]</f>
        <v>0</v>
      </c>
      <c r="J724" s="35">
        <f>Tabla1[[#This Row],[P.U. USD]]*Tabla1[[#This Row],[CANTIDADES DE REFERENCIA]]</f>
        <v>0</v>
      </c>
      <c r="K724" s="36"/>
      <c r="L724" s="36"/>
      <c r="M724" s="36"/>
      <c r="N724" s="37" t="s">
        <v>1558</v>
      </c>
      <c r="O724" s="37" t="s">
        <v>1559</v>
      </c>
      <c r="P724" s="39"/>
      <c r="Q724" s="37" t="s">
        <v>1588</v>
      </c>
      <c r="R724" s="37"/>
      <c r="S724" s="37" t="s">
        <v>1561</v>
      </c>
      <c r="T724" s="31"/>
    </row>
    <row r="725" spans="1:20">
      <c r="A725" s="31"/>
      <c r="B725" s="32"/>
      <c r="C725" s="33"/>
      <c r="D725" s="32" t="s">
        <v>1589</v>
      </c>
      <c r="E725" s="33" t="s">
        <v>116</v>
      </c>
      <c r="F725" s="34">
        <v>1</v>
      </c>
      <c r="G725" s="35">
        <v>0</v>
      </c>
      <c r="H725" s="35">
        <v>0</v>
      </c>
      <c r="I725" s="35">
        <f>Tabla1[[#This Row],[P.U. M.N.]]*Tabla1[[#This Row],[CANTIDADES DE REFERENCIA]]</f>
        <v>0</v>
      </c>
      <c r="J725" s="35">
        <f>Tabla1[[#This Row],[P.U. USD]]*Tabla1[[#This Row],[CANTIDADES DE REFERENCIA]]</f>
        <v>0</v>
      </c>
      <c r="K725" s="36"/>
      <c r="L725" s="36"/>
      <c r="M725" s="36"/>
      <c r="N725" s="37" t="s">
        <v>1558</v>
      </c>
      <c r="O725" s="37" t="s">
        <v>1559</v>
      </c>
      <c r="P725" s="39"/>
      <c r="Q725" s="37" t="s">
        <v>1590</v>
      </c>
      <c r="R725" s="37"/>
      <c r="S725" s="37" t="s">
        <v>1561</v>
      </c>
      <c r="T725" s="31"/>
    </row>
    <row r="726" spans="1:20">
      <c r="A726" s="31"/>
      <c r="B726" s="32"/>
      <c r="C726" s="33"/>
      <c r="D726" s="32" t="s">
        <v>1591</v>
      </c>
      <c r="E726" s="33" t="s">
        <v>116</v>
      </c>
      <c r="F726" s="34">
        <v>1</v>
      </c>
      <c r="G726" s="35">
        <v>0</v>
      </c>
      <c r="H726" s="35">
        <v>0</v>
      </c>
      <c r="I726" s="35">
        <f>Tabla1[[#This Row],[P.U. M.N.]]*Tabla1[[#This Row],[CANTIDADES DE REFERENCIA]]</f>
        <v>0</v>
      </c>
      <c r="J726" s="35">
        <f>Tabla1[[#This Row],[P.U. USD]]*Tabla1[[#This Row],[CANTIDADES DE REFERENCIA]]</f>
        <v>0</v>
      </c>
      <c r="K726" s="36"/>
      <c r="L726" s="36"/>
      <c r="M726" s="36"/>
      <c r="N726" s="37" t="s">
        <v>1558</v>
      </c>
      <c r="O726" s="37" t="s">
        <v>1559</v>
      </c>
      <c r="P726" s="39"/>
      <c r="Q726" s="37" t="s">
        <v>1592</v>
      </c>
      <c r="R726" s="37"/>
      <c r="S726" s="37" t="s">
        <v>1561</v>
      </c>
      <c r="T726" s="31"/>
    </row>
    <row r="727" spans="1:20">
      <c r="A727" s="31"/>
      <c r="B727" s="32"/>
      <c r="C727" s="33"/>
      <c r="D727" s="32" t="s">
        <v>1593</v>
      </c>
      <c r="E727" s="33" t="s">
        <v>116</v>
      </c>
      <c r="F727" s="34">
        <v>1</v>
      </c>
      <c r="G727" s="35">
        <v>0</v>
      </c>
      <c r="H727" s="35">
        <v>0</v>
      </c>
      <c r="I727" s="35">
        <f>Tabla1[[#This Row],[P.U. M.N.]]*Tabla1[[#This Row],[CANTIDADES DE REFERENCIA]]</f>
        <v>0</v>
      </c>
      <c r="J727" s="35">
        <f>Tabla1[[#This Row],[P.U. USD]]*Tabla1[[#This Row],[CANTIDADES DE REFERENCIA]]</f>
        <v>0</v>
      </c>
      <c r="K727" s="36"/>
      <c r="L727" s="36"/>
      <c r="M727" s="36"/>
      <c r="N727" s="37" t="s">
        <v>1558</v>
      </c>
      <c r="O727" s="37" t="s">
        <v>1559</v>
      </c>
      <c r="P727" s="39"/>
      <c r="Q727" s="37" t="s">
        <v>1594</v>
      </c>
      <c r="R727" s="37"/>
      <c r="S727" s="37" t="s">
        <v>1561</v>
      </c>
      <c r="T727" s="31"/>
    </row>
    <row r="728" spans="1:20">
      <c r="A728" s="31"/>
      <c r="B728" s="32"/>
      <c r="C728" s="33"/>
      <c r="D728" s="32" t="s">
        <v>1595</v>
      </c>
      <c r="E728" s="33" t="s">
        <v>116</v>
      </c>
      <c r="F728" s="34">
        <v>1</v>
      </c>
      <c r="G728" s="35">
        <v>0</v>
      </c>
      <c r="H728" s="35">
        <v>0</v>
      </c>
      <c r="I728" s="35">
        <f>Tabla1[[#This Row],[P.U. M.N.]]*Tabla1[[#This Row],[CANTIDADES DE REFERENCIA]]</f>
        <v>0</v>
      </c>
      <c r="J728" s="35">
        <f>Tabla1[[#This Row],[P.U. USD]]*Tabla1[[#This Row],[CANTIDADES DE REFERENCIA]]</f>
        <v>0</v>
      </c>
      <c r="K728" s="36"/>
      <c r="L728" s="36"/>
      <c r="M728" s="36"/>
      <c r="N728" s="37" t="s">
        <v>1558</v>
      </c>
      <c r="O728" s="37" t="s">
        <v>1559</v>
      </c>
      <c r="P728" s="39"/>
      <c r="Q728" s="37" t="s">
        <v>1596</v>
      </c>
      <c r="R728" s="37"/>
      <c r="S728" s="37" t="s">
        <v>1561</v>
      </c>
      <c r="T728" s="31"/>
    </row>
    <row r="729" spans="1:20">
      <c r="A729" s="31"/>
      <c r="B729" s="32"/>
      <c r="C729" s="33"/>
      <c r="D729" s="32" t="s">
        <v>1597</v>
      </c>
      <c r="E729" s="33" t="s">
        <v>116</v>
      </c>
      <c r="F729" s="34">
        <v>1</v>
      </c>
      <c r="G729" s="35">
        <v>0</v>
      </c>
      <c r="H729" s="35">
        <v>0</v>
      </c>
      <c r="I729" s="35">
        <f>Tabla1[[#This Row],[P.U. M.N.]]*Tabla1[[#This Row],[CANTIDADES DE REFERENCIA]]</f>
        <v>0</v>
      </c>
      <c r="J729" s="35">
        <f>Tabla1[[#This Row],[P.U. USD]]*Tabla1[[#This Row],[CANTIDADES DE REFERENCIA]]</f>
        <v>0</v>
      </c>
      <c r="K729" s="36"/>
      <c r="L729" s="36"/>
      <c r="M729" s="36"/>
      <c r="N729" s="37" t="s">
        <v>117</v>
      </c>
      <c r="O729" s="37" t="s">
        <v>1598</v>
      </c>
      <c r="P729" s="39"/>
      <c r="Q729" s="37" t="s">
        <v>1599</v>
      </c>
      <c r="R729" s="37"/>
      <c r="S729" s="37"/>
      <c r="T729" s="31"/>
    </row>
    <row r="730" spans="1:20">
      <c r="A730" s="31"/>
      <c r="B730" s="32"/>
      <c r="C730" s="33"/>
      <c r="D730" s="32" t="s">
        <v>1600</v>
      </c>
      <c r="E730" s="33" t="s">
        <v>116</v>
      </c>
      <c r="F730" s="34">
        <v>1</v>
      </c>
      <c r="G730" s="35">
        <v>0</v>
      </c>
      <c r="H730" s="35">
        <v>0</v>
      </c>
      <c r="I730" s="35">
        <f>Tabla1[[#This Row],[P.U. M.N.]]*Tabla1[[#This Row],[CANTIDADES DE REFERENCIA]]</f>
        <v>0</v>
      </c>
      <c r="J730" s="35">
        <f>Tabla1[[#This Row],[P.U. USD]]*Tabla1[[#This Row],[CANTIDADES DE REFERENCIA]]</f>
        <v>0</v>
      </c>
      <c r="K730" s="36"/>
      <c r="L730" s="36"/>
      <c r="M730" s="36"/>
      <c r="N730" s="37" t="s">
        <v>117</v>
      </c>
      <c r="O730" s="37" t="s">
        <v>118</v>
      </c>
      <c r="P730" s="39"/>
      <c r="Q730" s="37" t="s">
        <v>1601</v>
      </c>
      <c r="R730" s="37"/>
      <c r="S730" s="37" t="s">
        <v>120</v>
      </c>
      <c r="T730" s="31"/>
    </row>
    <row r="731" spans="1:20">
      <c r="A731" s="31"/>
      <c r="B731" s="32"/>
      <c r="C731" s="33"/>
      <c r="D731" s="32" t="s">
        <v>1602</v>
      </c>
      <c r="E731" s="33" t="s">
        <v>116</v>
      </c>
      <c r="F731" s="34">
        <v>1</v>
      </c>
      <c r="G731" s="35">
        <v>0</v>
      </c>
      <c r="H731" s="35">
        <v>0</v>
      </c>
      <c r="I731" s="35">
        <f>Tabla1[[#This Row],[P.U. M.N.]]*Tabla1[[#This Row],[CANTIDADES DE REFERENCIA]]</f>
        <v>0</v>
      </c>
      <c r="J731" s="35">
        <f>Tabla1[[#This Row],[P.U. USD]]*Tabla1[[#This Row],[CANTIDADES DE REFERENCIA]]</f>
        <v>0</v>
      </c>
      <c r="K731" s="36"/>
      <c r="L731" s="36"/>
      <c r="M731" s="36"/>
      <c r="N731" s="37" t="s">
        <v>117</v>
      </c>
      <c r="O731" s="37" t="s">
        <v>118</v>
      </c>
      <c r="P731" s="39"/>
      <c r="Q731" s="37" t="s">
        <v>1603</v>
      </c>
      <c r="R731" s="37"/>
      <c r="S731" s="37" t="s">
        <v>120</v>
      </c>
      <c r="T731" s="31"/>
    </row>
    <row r="732" spans="1:20">
      <c r="A732" s="31"/>
      <c r="B732" s="32"/>
      <c r="C732" s="33"/>
      <c r="D732" s="32" t="s">
        <v>1604</v>
      </c>
      <c r="E732" s="33" t="s">
        <v>135</v>
      </c>
      <c r="F732" s="34">
        <v>1</v>
      </c>
      <c r="G732" s="35">
        <v>0</v>
      </c>
      <c r="H732" s="35">
        <v>0</v>
      </c>
      <c r="I732" s="35">
        <f>Tabla1[[#This Row],[P.U. M.N.]]*Tabla1[[#This Row],[CANTIDADES DE REFERENCIA]]</f>
        <v>0</v>
      </c>
      <c r="J732" s="35">
        <f>Tabla1[[#This Row],[P.U. USD]]*Tabla1[[#This Row],[CANTIDADES DE REFERENCIA]]</f>
        <v>0</v>
      </c>
      <c r="K732" s="36"/>
      <c r="L732" s="36"/>
      <c r="M732" s="36"/>
      <c r="N732" s="37" t="s">
        <v>1545</v>
      </c>
      <c r="O732" s="37"/>
      <c r="P732" s="39"/>
      <c r="Q732" s="37" t="s">
        <v>1605</v>
      </c>
      <c r="R732" s="37" t="s">
        <v>389</v>
      </c>
      <c r="S732" s="37"/>
      <c r="T732" s="31"/>
    </row>
    <row r="733" spans="1:20">
      <c r="A733" s="31"/>
      <c r="B733" s="32"/>
      <c r="C733" s="33"/>
      <c r="D733" s="32" t="s">
        <v>1606</v>
      </c>
      <c r="E733" s="33" t="s">
        <v>1607</v>
      </c>
      <c r="F733" s="34">
        <v>1</v>
      </c>
      <c r="G733" s="35">
        <v>0</v>
      </c>
      <c r="H733" s="35">
        <v>0</v>
      </c>
      <c r="I733" s="35">
        <f>Tabla1[[#This Row],[P.U. M.N.]]*Tabla1[[#This Row],[CANTIDADES DE REFERENCIA]]</f>
        <v>0</v>
      </c>
      <c r="J733" s="35">
        <f>Tabla1[[#This Row],[P.U. USD]]*Tabla1[[#This Row],[CANTIDADES DE REFERENCIA]]</f>
        <v>0</v>
      </c>
      <c r="K733" s="36"/>
      <c r="L733" s="36"/>
      <c r="M733" s="36"/>
      <c r="N733" s="37" t="s">
        <v>1176</v>
      </c>
      <c r="O733" s="37" t="s">
        <v>1382</v>
      </c>
      <c r="P733" s="39"/>
      <c r="Q733" s="37" t="s">
        <v>1608</v>
      </c>
      <c r="R733" s="37"/>
      <c r="S733" s="37"/>
      <c r="T733" s="31"/>
    </row>
    <row r="734" spans="1:20">
      <c r="A734" s="31"/>
      <c r="B734" s="32"/>
      <c r="C734" s="33"/>
      <c r="D734" s="32" t="s">
        <v>1609</v>
      </c>
      <c r="E734" s="33" t="s">
        <v>1607</v>
      </c>
      <c r="F734" s="34">
        <v>1</v>
      </c>
      <c r="G734" s="35">
        <v>0</v>
      </c>
      <c r="H734" s="35">
        <v>0</v>
      </c>
      <c r="I734" s="35">
        <f>Tabla1[[#This Row],[P.U. M.N.]]*Tabla1[[#This Row],[CANTIDADES DE REFERENCIA]]</f>
        <v>0</v>
      </c>
      <c r="J734" s="35">
        <f>Tabla1[[#This Row],[P.U. USD]]*Tabla1[[#This Row],[CANTIDADES DE REFERENCIA]]</f>
        <v>0</v>
      </c>
      <c r="K734" s="36"/>
      <c r="L734" s="36"/>
      <c r="M734" s="36"/>
      <c r="N734" s="37" t="s">
        <v>1176</v>
      </c>
      <c r="O734" s="37" t="s">
        <v>1382</v>
      </c>
      <c r="P734" s="39"/>
      <c r="Q734" s="37" t="s">
        <v>1610</v>
      </c>
      <c r="R734" s="37"/>
      <c r="S734" s="37"/>
      <c r="T734" s="31"/>
    </row>
    <row r="735" spans="1:20">
      <c r="A735" s="31"/>
      <c r="B735" s="32"/>
      <c r="C735" s="33"/>
      <c r="D735" s="32" t="s">
        <v>1611</v>
      </c>
      <c r="E735" s="33" t="s">
        <v>1607</v>
      </c>
      <c r="F735" s="34">
        <v>1</v>
      </c>
      <c r="G735" s="35">
        <v>0</v>
      </c>
      <c r="H735" s="35">
        <v>0</v>
      </c>
      <c r="I735" s="35">
        <f>Tabla1[[#This Row],[P.U. M.N.]]*Tabla1[[#This Row],[CANTIDADES DE REFERENCIA]]</f>
        <v>0</v>
      </c>
      <c r="J735" s="35">
        <f>Tabla1[[#This Row],[P.U. USD]]*Tabla1[[#This Row],[CANTIDADES DE REFERENCIA]]</f>
        <v>0</v>
      </c>
      <c r="K735" s="36"/>
      <c r="L735" s="36"/>
      <c r="M735" s="36"/>
      <c r="N735" s="37" t="s">
        <v>1176</v>
      </c>
      <c r="O735" s="37" t="s">
        <v>1382</v>
      </c>
      <c r="P735" s="39"/>
      <c r="Q735" s="37" t="s">
        <v>1612</v>
      </c>
      <c r="R735" s="37"/>
      <c r="S735" s="37"/>
      <c r="T735" s="31"/>
    </row>
    <row r="736" spans="1:20">
      <c r="A736" s="31"/>
      <c r="B736" s="32"/>
      <c r="C736" s="33"/>
      <c r="D736" s="32" t="s">
        <v>1613</v>
      </c>
      <c r="E736" s="33" t="s">
        <v>1607</v>
      </c>
      <c r="F736" s="34">
        <v>1</v>
      </c>
      <c r="G736" s="35">
        <v>0</v>
      </c>
      <c r="H736" s="35">
        <v>0</v>
      </c>
      <c r="I736" s="35">
        <f>Tabla1[[#This Row],[P.U. M.N.]]*Tabla1[[#This Row],[CANTIDADES DE REFERENCIA]]</f>
        <v>0</v>
      </c>
      <c r="J736" s="35">
        <f>Tabla1[[#This Row],[P.U. USD]]*Tabla1[[#This Row],[CANTIDADES DE REFERENCIA]]</f>
        <v>0</v>
      </c>
      <c r="K736" s="36"/>
      <c r="L736" s="36"/>
      <c r="M736" s="36"/>
      <c r="N736" s="37" t="s">
        <v>1176</v>
      </c>
      <c r="O736" s="37" t="s">
        <v>1382</v>
      </c>
      <c r="P736" s="39"/>
      <c r="Q736" s="37" t="s">
        <v>1614</v>
      </c>
      <c r="R736" s="37"/>
      <c r="S736" s="37"/>
      <c r="T736" s="31"/>
    </row>
    <row r="737" spans="1:20">
      <c r="A737" s="31"/>
      <c r="B737" s="32"/>
      <c r="C737" s="33"/>
      <c r="D737" s="32" t="s">
        <v>1615</v>
      </c>
      <c r="E737" s="33" t="s">
        <v>116</v>
      </c>
      <c r="F737" s="34">
        <v>1</v>
      </c>
      <c r="G737" s="35">
        <v>0</v>
      </c>
      <c r="H737" s="35">
        <v>0</v>
      </c>
      <c r="I737" s="35">
        <f>Tabla1[[#This Row],[P.U. M.N.]]*Tabla1[[#This Row],[CANTIDADES DE REFERENCIA]]</f>
        <v>0</v>
      </c>
      <c r="J737" s="35">
        <f>Tabla1[[#This Row],[P.U. USD]]*Tabla1[[#This Row],[CANTIDADES DE REFERENCIA]]</f>
        <v>0</v>
      </c>
      <c r="K737" s="36"/>
      <c r="L737" s="36"/>
      <c r="M737" s="36"/>
      <c r="N737" s="37" t="s">
        <v>1176</v>
      </c>
      <c r="O737" s="37" t="s">
        <v>1382</v>
      </c>
      <c r="P737" s="39"/>
      <c r="Q737" s="37" t="s">
        <v>1616</v>
      </c>
      <c r="R737" s="37"/>
      <c r="S737" s="37"/>
      <c r="T737" s="31"/>
    </row>
    <row r="738" spans="1:20">
      <c r="A738" s="31"/>
      <c r="B738" s="32"/>
      <c r="C738" s="33"/>
      <c r="D738" s="32" t="s">
        <v>1617</v>
      </c>
      <c r="E738" s="33" t="s">
        <v>116</v>
      </c>
      <c r="F738" s="34">
        <v>1</v>
      </c>
      <c r="G738" s="35">
        <v>0</v>
      </c>
      <c r="H738" s="35">
        <v>0</v>
      </c>
      <c r="I738" s="35">
        <f>Tabla1[[#This Row],[P.U. M.N.]]*Tabla1[[#This Row],[CANTIDADES DE REFERENCIA]]</f>
        <v>0</v>
      </c>
      <c r="J738" s="35">
        <f>Tabla1[[#This Row],[P.U. USD]]*Tabla1[[#This Row],[CANTIDADES DE REFERENCIA]]</f>
        <v>0</v>
      </c>
      <c r="K738" s="36"/>
      <c r="L738" s="36"/>
      <c r="M738" s="36"/>
      <c r="N738" s="37" t="s">
        <v>1176</v>
      </c>
      <c r="O738" s="37" t="s">
        <v>1382</v>
      </c>
      <c r="P738" s="39"/>
      <c r="Q738" s="37" t="s">
        <v>1618</v>
      </c>
      <c r="R738" s="37"/>
      <c r="S738" s="37"/>
      <c r="T738" s="31"/>
    </row>
    <row r="739" spans="1:20">
      <c r="A739" s="31"/>
      <c r="B739" s="32"/>
      <c r="C739" s="33"/>
      <c r="D739" s="32" t="s">
        <v>1619</v>
      </c>
      <c r="E739" s="33" t="s">
        <v>116</v>
      </c>
      <c r="F739" s="34">
        <v>1</v>
      </c>
      <c r="G739" s="35">
        <v>0</v>
      </c>
      <c r="H739" s="35">
        <v>0</v>
      </c>
      <c r="I739" s="35">
        <f>Tabla1[[#This Row],[P.U. M.N.]]*Tabla1[[#This Row],[CANTIDADES DE REFERENCIA]]</f>
        <v>0</v>
      </c>
      <c r="J739" s="35">
        <f>Tabla1[[#This Row],[P.U. USD]]*Tabla1[[#This Row],[CANTIDADES DE REFERENCIA]]</f>
        <v>0</v>
      </c>
      <c r="K739" s="36"/>
      <c r="L739" s="36"/>
      <c r="M739" s="36"/>
      <c r="N739" s="37" t="s">
        <v>1176</v>
      </c>
      <c r="O739" s="37" t="s">
        <v>1382</v>
      </c>
      <c r="P739" s="39"/>
      <c r="Q739" s="37" t="s">
        <v>1620</v>
      </c>
      <c r="R739" s="37"/>
      <c r="S739" s="37"/>
      <c r="T739" s="31"/>
    </row>
    <row r="740" spans="1:20">
      <c r="A740" s="31"/>
      <c r="B740" s="32"/>
      <c r="C740" s="33"/>
      <c r="D740" s="32" t="s">
        <v>1621</v>
      </c>
      <c r="E740" s="33" t="s">
        <v>116</v>
      </c>
      <c r="F740" s="34">
        <v>1</v>
      </c>
      <c r="G740" s="35">
        <v>0</v>
      </c>
      <c r="H740" s="35">
        <v>0</v>
      </c>
      <c r="I740" s="35">
        <f>Tabla1[[#This Row],[P.U. M.N.]]*Tabla1[[#This Row],[CANTIDADES DE REFERENCIA]]</f>
        <v>0</v>
      </c>
      <c r="J740" s="35">
        <f>Tabla1[[#This Row],[P.U. USD]]*Tabla1[[#This Row],[CANTIDADES DE REFERENCIA]]</f>
        <v>0</v>
      </c>
      <c r="K740" s="36"/>
      <c r="L740" s="36"/>
      <c r="M740" s="36"/>
      <c r="N740" s="37" t="s">
        <v>1176</v>
      </c>
      <c r="O740" s="37" t="s">
        <v>1382</v>
      </c>
      <c r="P740" s="39"/>
      <c r="Q740" s="37" t="s">
        <v>1622</v>
      </c>
      <c r="R740" s="37"/>
      <c r="S740" s="37"/>
      <c r="T740" s="31"/>
    </row>
    <row r="741" spans="1:20">
      <c r="A741" s="31"/>
      <c r="B741" s="32"/>
      <c r="C741" s="33"/>
      <c r="D741" s="32" t="s">
        <v>1623</v>
      </c>
      <c r="E741" s="33" t="s">
        <v>116</v>
      </c>
      <c r="F741" s="34">
        <v>1</v>
      </c>
      <c r="G741" s="35">
        <v>0</v>
      </c>
      <c r="H741" s="35">
        <v>0</v>
      </c>
      <c r="I741" s="35">
        <f>Tabla1[[#This Row],[P.U. M.N.]]*Tabla1[[#This Row],[CANTIDADES DE REFERENCIA]]</f>
        <v>0</v>
      </c>
      <c r="J741" s="35">
        <f>Tabla1[[#This Row],[P.U. USD]]*Tabla1[[#This Row],[CANTIDADES DE REFERENCIA]]</f>
        <v>0</v>
      </c>
      <c r="K741" s="36"/>
      <c r="L741" s="36"/>
      <c r="M741" s="36"/>
      <c r="N741" s="37" t="s">
        <v>1176</v>
      </c>
      <c r="O741" s="37" t="s">
        <v>1382</v>
      </c>
      <c r="P741" s="39"/>
      <c r="Q741" s="37" t="s">
        <v>1624</v>
      </c>
      <c r="R741" s="37"/>
      <c r="S741" s="37"/>
      <c r="T741" s="31"/>
    </row>
    <row r="742" spans="1:20">
      <c r="A742" s="31"/>
      <c r="B742" s="32"/>
      <c r="C742" s="33"/>
      <c r="D742" s="32" t="s">
        <v>1625</v>
      </c>
      <c r="E742" s="33" t="s">
        <v>116</v>
      </c>
      <c r="F742" s="34">
        <v>1</v>
      </c>
      <c r="G742" s="35">
        <v>0</v>
      </c>
      <c r="H742" s="35">
        <v>0</v>
      </c>
      <c r="I742" s="35">
        <f>Tabla1[[#This Row],[P.U. M.N.]]*Tabla1[[#This Row],[CANTIDADES DE REFERENCIA]]</f>
        <v>0</v>
      </c>
      <c r="J742" s="35">
        <f>Tabla1[[#This Row],[P.U. USD]]*Tabla1[[#This Row],[CANTIDADES DE REFERENCIA]]</f>
        <v>0</v>
      </c>
      <c r="K742" s="36"/>
      <c r="L742" s="36"/>
      <c r="M742" s="36"/>
      <c r="N742" s="37" t="s">
        <v>1176</v>
      </c>
      <c r="O742" s="37" t="s">
        <v>1382</v>
      </c>
      <c r="P742" s="39"/>
      <c r="Q742" s="37" t="s">
        <v>1626</v>
      </c>
      <c r="R742" s="37"/>
      <c r="S742" s="37"/>
      <c r="T742" s="31"/>
    </row>
    <row r="743" spans="1:20">
      <c r="A743" s="31"/>
      <c r="B743" s="32"/>
      <c r="C743" s="33"/>
      <c r="D743" s="32" t="s">
        <v>1627</v>
      </c>
      <c r="E743" s="33" t="s">
        <v>116</v>
      </c>
      <c r="F743" s="34">
        <v>1</v>
      </c>
      <c r="G743" s="35">
        <v>0</v>
      </c>
      <c r="H743" s="35">
        <v>0</v>
      </c>
      <c r="I743" s="35">
        <f>Tabla1[[#This Row],[P.U. M.N.]]*Tabla1[[#This Row],[CANTIDADES DE REFERENCIA]]</f>
        <v>0</v>
      </c>
      <c r="J743" s="35">
        <f>Tabla1[[#This Row],[P.U. USD]]*Tabla1[[#This Row],[CANTIDADES DE REFERENCIA]]</f>
        <v>0</v>
      </c>
      <c r="K743" s="36"/>
      <c r="L743" s="36"/>
      <c r="M743" s="36"/>
      <c r="N743" s="37" t="s">
        <v>1176</v>
      </c>
      <c r="O743" s="37" t="s">
        <v>1382</v>
      </c>
      <c r="P743" s="39"/>
      <c r="Q743" s="37" t="s">
        <v>1628</v>
      </c>
      <c r="R743" s="37"/>
      <c r="S743" s="37"/>
      <c r="T743" s="31"/>
    </row>
    <row r="744" spans="1:20">
      <c r="A744" s="31"/>
      <c r="B744" s="32"/>
      <c r="C744" s="33"/>
      <c r="D744" s="32" t="s">
        <v>1629</v>
      </c>
      <c r="E744" s="33" t="s">
        <v>116</v>
      </c>
      <c r="F744" s="34">
        <v>1</v>
      </c>
      <c r="G744" s="35">
        <v>0</v>
      </c>
      <c r="H744" s="35">
        <v>0</v>
      </c>
      <c r="I744" s="35">
        <f>Tabla1[[#This Row],[P.U. M.N.]]*Tabla1[[#This Row],[CANTIDADES DE REFERENCIA]]</f>
        <v>0</v>
      </c>
      <c r="J744" s="35">
        <f>Tabla1[[#This Row],[P.U. USD]]*Tabla1[[#This Row],[CANTIDADES DE REFERENCIA]]</f>
        <v>0</v>
      </c>
      <c r="K744" s="36"/>
      <c r="L744" s="36"/>
      <c r="M744" s="36"/>
      <c r="N744" s="37" t="s">
        <v>1176</v>
      </c>
      <c r="O744" s="37" t="s">
        <v>1382</v>
      </c>
      <c r="P744" s="39"/>
      <c r="Q744" s="37" t="s">
        <v>1630</v>
      </c>
      <c r="R744" s="37"/>
      <c r="S744" s="37"/>
      <c r="T744" s="31"/>
    </row>
    <row r="745" spans="1:20">
      <c r="A745" s="31"/>
      <c r="B745" s="32"/>
      <c r="C745" s="33"/>
      <c r="D745" s="32" t="s">
        <v>1631</v>
      </c>
      <c r="E745" s="33" t="s">
        <v>116</v>
      </c>
      <c r="F745" s="34">
        <v>1</v>
      </c>
      <c r="G745" s="35">
        <v>0</v>
      </c>
      <c r="H745" s="35">
        <v>0</v>
      </c>
      <c r="I745" s="35">
        <f>Tabla1[[#This Row],[P.U. M.N.]]*Tabla1[[#This Row],[CANTIDADES DE REFERENCIA]]</f>
        <v>0</v>
      </c>
      <c r="J745" s="35">
        <f>Tabla1[[#This Row],[P.U. USD]]*Tabla1[[#This Row],[CANTIDADES DE REFERENCIA]]</f>
        <v>0</v>
      </c>
      <c r="K745" s="36"/>
      <c r="L745" s="36"/>
      <c r="M745" s="36"/>
      <c r="N745" s="37" t="s">
        <v>1176</v>
      </c>
      <c r="O745" s="37" t="s">
        <v>1382</v>
      </c>
      <c r="P745" s="39"/>
      <c r="Q745" s="37" t="s">
        <v>1632</v>
      </c>
      <c r="R745" s="37"/>
      <c r="S745" s="37"/>
      <c r="T745" s="31"/>
    </row>
    <row r="746" spans="1:20">
      <c r="A746" s="31"/>
      <c r="B746" s="32"/>
      <c r="C746" s="33"/>
      <c r="D746" s="32" t="s">
        <v>1633</v>
      </c>
      <c r="E746" s="33" t="s">
        <v>116</v>
      </c>
      <c r="F746" s="34">
        <v>1</v>
      </c>
      <c r="G746" s="35">
        <v>0</v>
      </c>
      <c r="H746" s="35">
        <v>0</v>
      </c>
      <c r="I746" s="35">
        <f>Tabla1[[#This Row],[P.U. M.N.]]*Tabla1[[#This Row],[CANTIDADES DE REFERENCIA]]</f>
        <v>0</v>
      </c>
      <c r="J746" s="35">
        <f>Tabla1[[#This Row],[P.U. USD]]*Tabla1[[#This Row],[CANTIDADES DE REFERENCIA]]</f>
        <v>0</v>
      </c>
      <c r="K746" s="36"/>
      <c r="L746" s="36"/>
      <c r="M746" s="36"/>
      <c r="N746" s="37" t="s">
        <v>1176</v>
      </c>
      <c r="O746" s="37" t="s">
        <v>1382</v>
      </c>
      <c r="P746" s="39"/>
      <c r="Q746" s="37" t="s">
        <v>1634</v>
      </c>
      <c r="R746" s="37"/>
      <c r="S746" s="37"/>
      <c r="T746" s="31"/>
    </row>
    <row r="747" spans="1:20">
      <c r="A747" s="31"/>
      <c r="B747" s="32"/>
      <c r="C747" s="33"/>
      <c r="D747" s="32" t="s">
        <v>1635</v>
      </c>
      <c r="E747" s="33" t="s">
        <v>116</v>
      </c>
      <c r="F747" s="34">
        <v>1</v>
      </c>
      <c r="G747" s="35">
        <v>0</v>
      </c>
      <c r="H747" s="35">
        <v>0</v>
      </c>
      <c r="I747" s="35">
        <f>Tabla1[[#This Row],[P.U. M.N.]]*Tabla1[[#This Row],[CANTIDADES DE REFERENCIA]]</f>
        <v>0</v>
      </c>
      <c r="J747" s="35">
        <f>Tabla1[[#This Row],[P.U. USD]]*Tabla1[[#This Row],[CANTIDADES DE REFERENCIA]]</f>
        <v>0</v>
      </c>
      <c r="K747" s="36"/>
      <c r="L747" s="36"/>
      <c r="M747" s="36"/>
      <c r="N747" s="37" t="s">
        <v>1176</v>
      </c>
      <c r="O747" s="37" t="s">
        <v>1382</v>
      </c>
      <c r="P747" s="39"/>
      <c r="Q747" s="37" t="s">
        <v>1636</v>
      </c>
      <c r="R747" s="37"/>
      <c r="S747" s="37"/>
      <c r="T747" s="31"/>
    </row>
    <row r="748" spans="1:20">
      <c r="A748" s="31"/>
      <c r="B748" s="32"/>
      <c r="C748" s="33"/>
      <c r="D748" s="32" t="s">
        <v>1637</v>
      </c>
      <c r="E748" s="33" t="s">
        <v>1607</v>
      </c>
      <c r="F748" s="34">
        <v>1</v>
      </c>
      <c r="G748" s="35">
        <v>0</v>
      </c>
      <c r="H748" s="35">
        <v>0</v>
      </c>
      <c r="I748" s="35">
        <f>Tabla1[[#This Row],[P.U. M.N.]]*Tabla1[[#This Row],[CANTIDADES DE REFERENCIA]]</f>
        <v>0</v>
      </c>
      <c r="J748" s="35">
        <f>Tabla1[[#This Row],[P.U. USD]]*Tabla1[[#This Row],[CANTIDADES DE REFERENCIA]]</f>
        <v>0</v>
      </c>
      <c r="K748" s="36"/>
      <c r="L748" s="36"/>
      <c r="M748" s="36"/>
      <c r="N748" s="37" t="s">
        <v>1176</v>
      </c>
      <c r="O748" s="37" t="s">
        <v>1382</v>
      </c>
      <c r="P748" s="39"/>
      <c r="Q748" s="37" t="s">
        <v>1638</v>
      </c>
      <c r="R748" s="37"/>
      <c r="S748" s="37"/>
      <c r="T748" s="31"/>
    </row>
    <row r="749" spans="1:20">
      <c r="A749" s="31"/>
      <c r="B749" s="32"/>
      <c r="C749" s="33"/>
      <c r="D749" s="32" t="s">
        <v>1639</v>
      </c>
      <c r="E749" s="33" t="s">
        <v>1607</v>
      </c>
      <c r="F749" s="34">
        <v>1</v>
      </c>
      <c r="G749" s="35">
        <v>0</v>
      </c>
      <c r="H749" s="35">
        <v>0</v>
      </c>
      <c r="I749" s="35">
        <f>Tabla1[[#This Row],[P.U. M.N.]]*Tabla1[[#This Row],[CANTIDADES DE REFERENCIA]]</f>
        <v>0</v>
      </c>
      <c r="J749" s="35">
        <f>Tabla1[[#This Row],[P.U. USD]]*Tabla1[[#This Row],[CANTIDADES DE REFERENCIA]]</f>
        <v>0</v>
      </c>
      <c r="K749" s="36"/>
      <c r="L749" s="36"/>
      <c r="M749" s="36"/>
      <c r="N749" s="37" t="s">
        <v>1176</v>
      </c>
      <c r="O749" s="37" t="s">
        <v>1382</v>
      </c>
      <c r="P749" s="39"/>
      <c r="Q749" s="37" t="s">
        <v>1640</v>
      </c>
      <c r="R749" s="37"/>
      <c r="S749" s="37"/>
      <c r="T749" s="31"/>
    </row>
    <row r="750" spans="1:20">
      <c r="A750" s="31"/>
      <c r="B750" s="32"/>
      <c r="C750" s="33"/>
      <c r="D750" s="32" t="s">
        <v>1641</v>
      </c>
      <c r="E750" s="33" t="s">
        <v>1607</v>
      </c>
      <c r="F750" s="34">
        <v>1</v>
      </c>
      <c r="G750" s="35">
        <v>0</v>
      </c>
      <c r="H750" s="35">
        <v>0</v>
      </c>
      <c r="I750" s="35">
        <f>Tabla1[[#This Row],[P.U. M.N.]]*Tabla1[[#This Row],[CANTIDADES DE REFERENCIA]]</f>
        <v>0</v>
      </c>
      <c r="J750" s="35">
        <f>Tabla1[[#This Row],[P.U. USD]]*Tabla1[[#This Row],[CANTIDADES DE REFERENCIA]]</f>
        <v>0</v>
      </c>
      <c r="K750" s="36"/>
      <c r="L750" s="36"/>
      <c r="M750" s="36"/>
      <c r="N750" s="37" t="s">
        <v>1176</v>
      </c>
      <c r="O750" s="37" t="s">
        <v>1382</v>
      </c>
      <c r="P750" s="39"/>
      <c r="Q750" s="37" t="s">
        <v>1642</v>
      </c>
      <c r="R750" s="37"/>
      <c r="S750" s="37"/>
      <c r="T750" s="31"/>
    </row>
    <row r="751" spans="1:20">
      <c r="A751" s="31"/>
      <c r="B751" s="32"/>
      <c r="C751" s="33"/>
      <c r="D751" s="32" t="s">
        <v>1643</v>
      </c>
      <c r="E751" s="33" t="s">
        <v>1607</v>
      </c>
      <c r="F751" s="34">
        <v>1</v>
      </c>
      <c r="G751" s="35">
        <v>0</v>
      </c>
      <c r="H751" s="35">
        <v>0</v>
      </c>
      <c r="I751" s="35">
        <f>Tabla1[[#This Row],[P.U. M.N.]]*Tabla1[[#This Row],[CANTIDADES DE REFERENCIA]]</f>
        <v>0</v>
      </c>
      <c r="J751" s="35">
        <f>Tabla1[[#This Row],[P.U. USD]]*Tabla1[[#This Row],[CANTIDADES DE REFERENCIA]]</f>
        <v>0</v>
      </c>
      <c r="K751" s="36"/>
      <c r="L751" s="36"/>
      <c r="M751" s="36"/>
      <c r="N751" s="37" t="s">
        <v>1176</v>
      </c>
      <c r="O751" s="37" t="s">
        <v>1382</v>
      </c>
      <c r="P751" s="39"/>
      <c r="Q751" s="37" t="s">
        <v>1644</v>
      </c>
      <c r="R751" s="37"/>
      <c r="S751" s="37"/>
      <c r="T751" s="31"/>
    </row>
    <row r="752" spans="1:20">
      <c r="A752" s="31"/>
      <c r="B752" s="32"/>
      <c r="C752" s="33"/>
      <c r="D752" s="32" t="s">
        <v>1645</v>
      </c>
      <c r="E752" s="33" t="s">
        <v>1607</v>
      </c>
      <c r="F752" s="34">
        <v>1</v>
      </c>
      <c r="G752" s="35">
        <v>0</v>
      </c>
      <c r="H752" s="35">
        <v>0</v>
      </c>
      <c r="I752" s="35">
        <f>Tabla1[[#This Row],[P.U. M.N.]]*Tabla1[[#This Row],[CANTIDADES DE REFERENCIA]]</f>
        <v>0</v>
      </c>
      <c r="J752" s="35">
        <f>Tabla1[[#This Row],[P.U. USD]]*Tabla1[[#This Row],[CANTIDADES DE REFERENCIA]]</f>
        <v>0</v>
      </c>
      <c r="K752" s="36"/>
      <c r="L752" s="36"/>
      <c r="M752" s="36"/>
      <c r="N752" s="37" t="s">
        <v>1176</v>
      </c>
      <c r="O752" s="37" t="s">
        <v>1382</v>
      </c>
      <c r="P752" s="39"/>
      <c r="Q752" s="37" t="s">
        <v>1646</v>
      </c>
      <c r="R752" s="37"/>
      <c r="S752" s="37"/>
      <c r="T752" s="31"/>
    </row>
    <row r="753" spans="1:20">
      <c r="A753" s="31"/>
      <c r="B753" s="32"/>
      <c r="C753" s="33"/>
      <c r="D753" s="32" t="s">
        <v>1647</v>
      </c>
      <c r="E753" s="33" t="s">
        <v>1607</v>
      </c>
      <c r="F753" s="34">
        <v>1</v>
      </c>
      <c r="G753" s="35">
        <v>0</v>
      </c>
      <c r="H753" s="35">
        <v>0</v>
      </c>
      <c r="I753" s="35">
        <f>Tabla1[[#This Row],[P.U. M.N.]]*Tabla1[[#This Row],[CANTIDADES DE REFERENCIA]]</f>
        <v>0</v>
      </c>
      <c r="J753" s="35">
        <f>Tabla1[[#This Row],[P.U. USD]]*Tabla1[[#This Row],[CANTIDADES DE REFERENCIA]]</f>
        <v>0</v>
      </c>
      <c r="K753" s="36"/>
      <c r="L753" s="36"/>
      <c r="M753" s="36"/>
      <c r="N753" s="37" t="s">
        <v>1176</v>
      </c>
      <c r="O753" s="37" t="s">
        <v>1382</v>
      </c>
      <c r="P753" s="39"/>
      <c r="Q753" s="37" t="s">
        <v>1648</v>
      </c>
      <c r="R753" s="37"/>
      <c r="S753" s="37"/>
      <c r="T753" s="31"/>
    </row>
    <row r="754" spans="1:20">
      <c r="A754" s="31"/>
      <c r="B754" s="32"/>
      <c r="C754" s="33"/>
      <c r="D754" s="32" t="s">
        <v>1649</v>
      </c>
      <c r="E754" s="33" t="s">
        <v>42</v>
      </c>
      <c r="F754" s="34">
        <v>1</v>
      </c>
      <c r="G754" s="35">
        <v>0</v>
      </c>
      <c r="H754" s="35">
        <v>0</v>
      </c>
      <c r="I754" s="35">
        <f>Tabla1[[#This Row],[P.U. M.N.]]*Tabla1[[#This Row],[CANTIDADES DE REFERENCIA]]</f>
        <v>0</v>
      </c>
      <c r="J754" s="35">
        <f>Tabla1[[#This Row],[P.U. USD]]*Tabla1[[#This Row],[CANTIDADES DE REFERENCIA]]</f>
        <v>0</v>
      </c>
      <c r="K754" s="36"/>
      <c r="L754" s="36"/>
      <c r="M754" s="36"/>
      <c r="N754" s="37" t="s">
        <v>1650</v>
      </c>
      <c r="O754" s="37" t="s">
        <v>1651</v>
      </c>
      <c r="P754" s="39"/>
      <c r="Q754" s="37" t="s">
        <v>1652</v>
      </c>
      <c r="R754" s="37"/>
      <c r="S754" s="37" t="s">
        <v>1653</v>
      </c>
      <c r="T754" s="31"/>
    </row>
    <row r="755" spans="1:20">
      <c r="A755" s="31"/>
      <c r="B755" s="32"/>
      <c r="C755" s="33"/>
      <c r="D755" s="32" t="s">
        <v>1654</v>
      </c>
      <c r="E755" s="33" t="s">
        <v>42</v>
      </c>
      <c r="F755" s="34">
        <v>1</v>
      </c>
      <c r="G755" s="35">
        <v>0</v>
      </c>
      <c r="H755" s="35">
        <v>0</v>
      </c>
      <c r="I755" s="35">
        <f>Tabla1[[#This Row],[P.U. M.N.]]*Tabla1[[#This Row],[CANTIDADES DE REFERENCIA]]</f>
        <v>0</v>
      </c>
      <c r="J755" s="35">
        <f>Tabla1[[#This Row],[P.U. USD]]*Tabla1[[#This Row],[CANTIDADES DE REFERENCIA]]</f>
        <v>0</v>
      </c>
      <c r="K755" s="36"/>
      <c r="L755" s="36"/>
      <c r="M755" s="36"/>
      <c r="N755" s="37" t="s">
        <v>1650</v>
      </c>
      <c r="O755" s="37" t="s">
        <v>1651</v>
      </c>
      <c r="P755" s="39"/>
      <c r="Q755" s="37" t="s">
        <v>1655</v>
      </c>
      <c r="R755" s="37"/>
      <c r="S755" s="37" t="s">
        <v>1653</v>
      </c>
      <c r="T755" s="31"/>
    </row>
    <row r="756" spans="1:20">
      <c r="A756" s="31"/>
      <c r="B756" s="32"/>
      <c r="C756" s="33"/>
      <c r="D756" s="32" t="s">
        <v>1656</v>
      </c>
      <c r="E756" s="33" t="s">
        <v>42</v>
      </c>
      <c r="F756" s="34">
        <v>1</v>
      </c>
      <c r="G756" s="35">
        <v>0</v>
      </c>
      <c r="H756" s="35">
        <v>0</v>
      </c>
      <c r="I756" s="35">
        <f>Tabla1[[#This Row],[P.U. M.N.]]*Tabla1[[#This Row],[CANTIDADES DE REFERENCIA]]</f>
        <v>0</v>
      </c>
      <c r="J756" s="35">
        <f>Tabla1[[#This Row],[P.U. USD]]*Tabla1[[#This Row],[CANTIDADES DE REFERENCIA]]</f>
        <v>0</v>
      </c>
      <c r="K756" s="36"/>
      <c r="L756" s="36"/>
      <c r="M756" s="36"/>
      <c r="N756" s="37" t="s">
        <v>1650</v>
      </c>
      <c r="O756" s="37" t="s">
        <v>1651</v>
      </c>
      <c r="P756" s="39"/>
      <c r="Q756" s="37" t="s">
        <v>1657</v>
      </c>
      <c r="R756" s="37"/>
      <c r="S756" s="37" t="s">
        <v>1653</v>
      </c>
      <c r="T756" s="31"/>
    </row>
    <row r="757" spans="1:20">
      <c r="A757" s="31"/>
      <c r="B757" s="32"/>
      <c r="C757" s="33"/>
      <c r="D757" s="32" t="s">
        <v>1658</v>
      </c>
      <c r="E757" s="33" t="s">
        <v>42</v>
      </c>
      <c r="F757" s="34">
        <v>1</v>
      </c>
      <c r="G757" s="35">
        <v>0</v>
      </c>
      <c r="H757" s="35">
        <v>0</v>
      </c>
      <c r="I757" s="35">
        <f>Tabla1[[#This Row],[P.U. M.N.]]*Tabla1[[#This Row],[CANTIDADES DE REFERENCIA]]</f>
        <v>0</v>
      </c>
      <c r="J757" s="35">
        <f>Tabla1[[#This Row],[P.U. USD]]*Tabla1[[#This Row],[CANTIDADES DE REFERENCIA]]</f>
        <v>0</v>
      </c>
      <c r="K757" s="36"/>
      <c r="L757" s="36"/>
      <c r="M757" s="36"/>
      <c r="N757" s="37" t="s">
        <v>1650</v>
      </c>
      <c r="O757" s="37" t="s">
        <v>1651</v>
      </c>
      <c r="P757" s="39"/>
      <c r="Q757" s="37" t="s">
        <v>1659</v>
      </c>
      <c r="R757" s="37"/>
      <c r="S757" s="37" t="s">
        <v>1653</v>
      </c>
      <c r="T757" s="31"/>
    </row>
    <row r="758" spans="1:20">
      <c r="A758" s="31"/>
      <c r="B758" s="32"/>
      <c r="C758" s="33"/>
      <c r="D758" s="32" t="s">
        <v>1660</v>
      </c>
      <c r="E758" s="33" t="s">
        <v>42</v>
      </c>
      <c r="F758" s="34">
        <v>1</v>
      </c>
      <c r="G758" s="35">
        <v>0</v>
      </c>
      <c r="H758" s="35">
        <v>0</v>
      </c>
      <c r="I758" s="35">
        <f>Tabla1[[#This Row],[P.U. M.N.]]*Tabla1[[#This Row],[CANTIDADES DE REFERENCIA]]</f>
        <v>0</v>
      </c>
      <c r="J758" s="35">
        <f>Tabla1[[#This Row],[P.U. USD]]*Tabla1[[#This Row],[CANTIDADES DE REFERENCIA]]</f>
        <v>0</v>
      </c>
      <c r="K758" s="36"/>
      <c r="L758" s="36"/>
      <c r="M758" s="36"/>
      <c r="N758" s="37" t="s">
        <v>1650</v>
      </c>
      <c r="O758" s="37" t="s">
        <v>1651</v>
      </c>
      <c r="P758" s="39"/>
      <c r="Q758" s="37" t="s">
        <v>1661</v>
      </c>
      <c r="R758" s="37"/>
      <c r="S758" s="37" t="s">
        <v>1653</v>
      </c>
      <c r="T758" s="31"/>
    </row>
    <row r="759" spans="1:20">
      <c r="A759" s="31"/>
      <c r="B759" s="32"/>
      <c r="C759" s="33"/>
      <c r="D759" s="32" t="s">
        <v>1662</v>
      </c>
      <c r="E759" s="33" t="s">
        <v>42</v>
      </c>
      <c r="F759" s="34">
        <v>1</v>
      </c>
      <c r="G759" s="35">
        <v>0</v>
      </c>
      <c r="H759" s="35">
        <v>0</v>
      </c>
      <c r="I759" s="35">
        <f>Tabla1[[#This Row],[P.U. M.N.]]*Tabla1[[#This Row],[CANTIDADES DE REFERENCIA]]</f>
        <v>0</v>
      </c>
      <c r="J759" s="35">
        <f>Tabla1[[#This Row],[P.U. USD]]*Tabla1[[#This Row],[CANTIDADES DE REFERENCIA]]</f>
        <v>0</v>
      </c>
      <c r="K759" s="36"/>
      <c r="L759" s="36"/>
      <c r="M759" s="36"/>
      <c r="N759" s="37" t="s">
        <v>1650</v>
      </c>
      <c r="O759" s="37" t="s">
        <v>1651</v>
      </c>
      <c r="P759" s="39"/>
      <c r="Q759" s="37" t="s">
        <v>1663</v>
      </c>
      <c r="R759" s="37"/>
      <c r="S759" s="37" t="s">
        <v>1653</v>
      </c>
      <c r="T759" s="31"/>
    </row>
    <row r="760" spans="1:20">
      <c r="A760" s="31"/>
      <c r="B760" s="32"/>
      <c r="C760" s="33"/>
      <c r="D760" s="32" t="s">
        <v>1664</v>
      </c>
      <c r="E760" s="33" t="s">
        <v>42</v>
      </c>
      <c r="F760" s="34">
        <v>1</v>
      </c>
      <c r="G760" s="35">
        <v>0</v>
      </c>
      <c r="H760" s="35">
        <v>0</v>
      </c>
      <c r="I760" s="35">
        <f>Tabla1[[#This Row],[P.U. M.N.]]*Tabla1[[#This Row],[CANTIDADES DE REFERENCIA]]</f>
        <v>0</v>
      </c>
      <c r="J760" s="35">
        <f>Tabla1[[#This Row],[P.U. USD]]*Tabla1[[#This Row],[CANTIDADES DE REFERENCIA]]</f>
        <v>0</v>
      </c>
      <c r="K760" s="36"/>
      <c r="L760" s="36"/>
      <c r="M760" s="36"/>
      <c r="N760" s="37" t="s">
        <v>1650</v>
      </c>
      <c r="O760" s="37" t="s">
        <v>1651</v>
      </c>
      <c r="P760" s="39"/>
      <c r="Q760" s="37" t="s">
        <v>1665</v>
      </c>
      <c r="R760" s="37"/>
      <c r="S760" s="37" t="s">
        <v>1653</v>
      </c>
      <c r="T760" s="31"/>
    </row>
    <row r="761" spans="1:20">
      <c r="A761" s="31"/>
      <c r="B761" s="32"/>
      <c r="C761" s="33"/>
      <c r="D761" s="32" t="s">
        <v>1666</v>
      </c>
      <c r="E761" s="33" t="s">
        <v>42</v>
      </c>
      <c r="F761" s="34">
        <v>1</v>
      </c>
      <c r="G761" s="35">
        <v>0</v>
      </c>
      <c r="H761" s="35">
        <v>0</v>
      </c>
      <c r="I761" s="35">
        <f>Tabla1[[#This Row],[P.U. M.N.]]*Tabla1[[#This Row],[CANTIDADES DE REFERENCIA]]</f>
        <v>0</v>
      </c>
      <c r="J761" s="35">
        <f>Tabla1[[#This Row],[P.U. USD]]*Tabla1[[#This Row],[CANTIDADES DE REFERENCIA]]</f>
        <v>0</v>
      </c>
      <c r="K761" s="36"/>
      <c r="L761" s="36"/>
      <c r="M761" s="36"/>
      <c r="N761" s="37" t="s">
        <v>1650</v>
      </c>
      <c r="O761" s="37" t="s">
        <v>1651</v>
      </c>
      <c r="P761" s="39"/>
      <c r="Q761" s="37" t="s">
        <v>1667</v>
      </c>
      <c r="R761" s="37"/>
      <c r="S761" s="37" t="s">
        <v>1653</v>
      </c>
      <c r="T761" s="31"/>
    </row>
    <row r="762" spans="1:20">
      <c r="A762" s="31"/>
      <c r="B762" s="32"/>
      <c r="C762" s="33"/>
      <c r="D762" s="32" t="s">
        <v>1668</v>
      </c>
      <c r="E762" s="33" t="s">
        <v>42</v>
      </c>
      <c r="F762" s="34">
        <v>1</v>
      </c>
      <c r="G762" s="35">
        <v>0</v>
      </c>
      <c r="H762" s="35">
        <v>0</v>
      </c>
      <c r="I762" s="35">
        <f>Tabla1[[#This Row],[P.U. M.N.]]*Tabla1[[#This Row],[CANTIDADES DE REFERENCIA]]</f>
        <v>0</v>
      </c>
      <c r="J762" s="35">
        <f>Tabla1[[#This Row],[P.U. USD]]*Tabla1[[#This Row],[CANTIDADES DE REFERENCIA]]</f>
        <v>0</v>
      </c>
      <c r="K762" s="36"/>
      <c r="L762" s="36"/>
      <c r="M762" s="36"/>
      <c r="N762" s="37" t="s">
        <v>1650</v>
      </c>
      <c r="O762" s="37" t="s">
        <v>1651</v>
      </c>
      <c r="P762" s="39"/>
      <c r="Q762" s="37" t="s">
        <v>1669</v>
      </c>
      <c r="R762" s="37"/>
      <c r="S762" s="37" t="s">
        <v>1653</v>
      </c>
      <c r="T762" s="31"/>
    </row>
    <row r="763" spans="1:20">
      <c r="A763" s="31"/>
      <c r="B763" s="32"/>
      <c r="C763" s="33"/>
      <c r="D763" s="32" t="s">
        <v>1670</v>
      </c>
      <c r="E763" s="33" t="s">
        <v>42</v>
      </c>
      <c r="F763" s="34">
        <v>1</v>
      </c>
      <c r="G763" s="35">
        <v>0</v>
      </c>
      <c r="H763" s="35">
        <v>0</v>
      </c>
      <c r="I763" s="35">
        <f>Tabla1[[#This Row],[P.U. M.N.]]*Tabla1[[#This Row],[CANTIDADES DE REFERENCIA]]</f>
        <v>0</v>
      </c>
      <c r="J763" s="35">
        <f>Tabla1[[#This Row],[P.U. USD]]*Tabla1[[#This Row],[CANTIDADES DE REFERENCIA]]</f>
        <v>0</v>
      </c>
      <c r="K763" s="36"/>
      <c r="L763" s="36"/>
      <c r="M763" s="36"/>
      <c r="N763" s="37" t="s">
        <v>1650</v>
      </c>
      <c r="O763" s="37" t="s">
        <v>1651</v>
      </c>
      <c r="P763" s="39"/>
      <c r="Q763" s="37" t="s">
        <v>1671</v>
      </c>
      <c r="R763" s="37"/>
      <c r="S763" s="37" t="s">
        <v>1653</v>
      </c>
      <c r="T763" s="31"/>
    </row>
    <row r="764" spans="1:20">
      <c r="A764" s="31"/>
      <c r="B764" s="32"/>
      <c r="C764" s="33"/>
      <c r="D764" s="32" t="s">
        <v>1672</v>
      </c>
      <c r="E764" s="33" t="s">
        <v>42</v>
      </c>
      <c r="F764" s="34">
        <v>1</v>
      </c>
      <c r="G764" s="35">
        <v>0</v>
      </c>
      <c r="H764" s="35">
        <v>0</v>
      </c>
      <c r="I764" s="35">
        <f>Tabla1[[#This Row],[P.U. M.N.]]*Tabla1[[#This Row],[CANTIDADES DE REFERENCIA]]</f>
        <v>0</v>
      </c>
      <c r="J764" s="35">
        <f>Tabla1[[#This Row],[P.U. USD]]*Tabla1[[#This Row],[CANTIDADES DE REFERENCIA]]</f>
        <v>0</v>
      </c>
      <c r="K764" s="36"/>
      <c r="L764" s="36"/>
      <c r="M764" s="36"/>
      <c r="N764" s="37" t="s">
        <v>1650</v>
      </c>
      <c r="O764" s="37" t="s">
        <v>1651</v>
      </c>
      <c r="P764" s="39"/>
      <c r="Q764" s="37" t="s">
        <v>1673</v>
      </c>
      <c r="R764" s="37"/>
      <c r="S764" s="37" t="s">
        <v>1653</v>
      </c>
      <c r="T764" s="31"/>
    </row>
    <row r="765" spans="1:20">
      <c r="A765" s="31"/>
      <c r="B765" s="32"/>
      <c r="C765" s="33"/>
      <c r="D765" s="32" t="s">
        <v>1674</v>
      </c>
      <c r="E765" s="33" t="s">
        <v>42</v>
      </c>
      <c r="F765" s="34">
        <v>1</v>
      </c>
      <c r="G765" s="35">
        <v>0</v>
      </c>
      <c r="H765" s="35">
        <v>0</v>
      </c>
      <c r="I765" s="35">
        <f>Tabla1[[#This Row],[P.U. M.N.]]*Tabla1[[#This Row],[CANTIDADES DE REFERENCIA]]</f>
        <v>0</v>
      </c>
      <c r="J765" s="35">
        <f>Tabla1[[#This Row],[P.U. USD]]*Tabla1[[#This Row],[CANTIDADES DE REFERENCIA]]</f>
        <v>0</v>
      </c>
      <c r="K765" s="36"/>
      <c r="L765" s="36"/>
      <c r="M765" s="36"/>
      <c r="N765" s="37" t="s">
        <v>1650</v>
      </c>
      <c r="O765" s="37" t="s">
        <v>1651</v>
      </c>
      <c r="P765" s="39"/>
      <c r="Q765" s="37" t="s">
        <v>1675</v>
      </c>
      <c r="R765" s="37"/>
      <c r="S765" s="37" t="s">
        <v>1653</v>
      </c>
      <c r="T765" s="31"/>
    </row>
    <row r="766" spans="1:20">
      <c r="A766" s="31"/>
      <c r="B766" s="32"/>
      <c r="C766" s="33"/>
      <c r="D766" s="32" t="s">
        <v>1676</v>
      </c>
      <c r="E766" s="33" t="s">
        <v>42</v>
      </c>
      <c r="F766" s="34">
        <v>1</v>
      </c>
      <c r="G766" s="35">
        <v>0</v>
      </c>
      <c r="H766" s="35">
        <v>0</v>
      </c>
      <c r="I766" s="35">
        <f>Tabla1[[#This Row],[P.U. M.N.]]*Tabla1[[#This Row],[CANTIDADES DE REFERENCIA]]</f>
        <v>0</v>
      </c>
      <c r="J766" s="35">
        <f>Tabla1[[#This Row],[P.U. USD]]*Tabla1[[#This Row],[CANTIDADES DE REFERENCIA]]</f>
        <v>0</v>
      </c>
      <c r="K766" s="36"/>
      <c r="L766" s="36"/>
      <c r="M766" s="36"/>
      <c r="N766" s="37" t="s">
        <v>1650</v>
      </c>
      <c r="O766" s="37" t="s">
        <v>1651</v>
      </c>
      <c r="P766" s="39"/>
      <c r="Q766" s="37" t="s">
        <v>1677</v>
      </c>
      <c r="R766" s="37"/>
      <c r="S766" s="37" t="s">
        <v>1653</v>
      </c>
      <c r="T766" s="31"/>
    </row>
    <row r="767" spans="1:20">
      <c r="A767" s="31"/>
      <c r="B767" s="32"/>
      <c r="C767" s="33"/>
      <c r="D767" s="32" t="s">
        <v>1678</v>
      </c>
      <c r="E767" s="33" t="s">
        <v>42</v>
      </c>
      <c r="F767" s="34">
        <v>1</v>
      </c>
      <c r="G767" s="35">
        <v>0</v>
      </c>
      <c r="H767" s="35">
        <v>0</v>
      </c>
      <c r="I767" s="35">
        <f>Tabla1[[#This Row],[P.U. M.N.]]*Tabla1[[#This Row],[CANTIDADES DE REFERENCIA]]</f>
        <v>0</v>
      </c>
      <c r="J767" s="35">
        <f>Tabla1[[#This Row],[P.U. USD]]*Tabla1[[#This Row],[CANTIDADES DE REFERENCIA]]</f>
        <v>0</v>
      </c>
      <c r="K767" s="36"/>
      <c r="L767" s="36"/>
      <c r="M767" s="36"/>
      <c r="N767" s="37" t="s">
        <v>1650</v>
      </c>
      <c r="O767" s="37" t="s">
        <v>1651</v>
      </c>
      <c r="P767" s="39"/>
      <c r="Q767" s="37" t="s">
        <v>1679</v>
      </c>
      <c r="R767" s="37"/>
      <c r="S767" s="37" t="s">
        <v>1653</v>
      </c>
      <c r="T767" s="31"/>
    </row>
    <row r="768" spans="1:20">
      <c r="A768" s="31"/>
      <c r="B768" s="32"/>
      <c r="C768" s="33"/>
      <c r="D768" s="32" t="s">
        <v>1680</v>
      </c>
      <c r="E768" s="33" t="s">
        <v>42</v>
      </c>
      <c r="F768" s="34">
        <v>1</v>
      </c>
      <c r="G768" s="35">
        <v>0</v>
      </c>
      <c r="H768" s="35">
        <v>0</v>
      </c>
      <c r="I768" s="35">
        <f>Tabla1[[#This Row],[P.U. M.N.]]*Tabla1[[#This Row],[CANTIDADES DE REFERENCIA]]</f>
        <v>0</v>
      </c>
      <c r="J768" s="35">
        <f>Tabla1[[#This Row],[P.U. USD]]*Tabla1[[#This Row],[CANTIDADES DE REFERENCIA]]</f>
        <v>0</v>
      </c>
      <c r="K768" s="36"/>
      <c r="L768" s="36"/>
      <c r="M768" s="36"/>
      <c r="N768" s="37" t="s">
        <v>1650</v>
      </c>
      <c r="O768" s="37" t="s">
        <v>1651</v>
      </c>
      <c r="P768" s="39"/>
      <c r="Q768" s="37" t="s">
        <v>1681</v>
      </c>
      <c r="R768" s="37"/>
      <c r="S768" s="37" t="s">
        <v>1653</v>
      </c>
      <c r="T768" s="31"/>
    </row>
    <row r="769" spans="1:20">
      <c r="A769" s="31"/>
      <c r="B769" s="32"/>
      <c r="C769" s="33"/>
      <c r="D769" s="32" t="s">
        <v>1682</v>
      </c>
      <c r="E769" s="33" t="s">
        <v>42</v>
      </c>
      <c r="F769" s="34">
        <v>1</v>
      </c>
      <c r="G769" s="35">
        <v>0</v>
      </c>
      <c r="H769" s="35">
        <v>0</v>
      </c>
      <c r="I769" s="35">
        <f>Tabla1[[#This Row],[P.U. M.N.]]*Tabla1[[#This Row],[CANTIDADES DE REFERENCIA]]</f>
        <v>0</v>
      </c>
      <c r="J769" s="35">
        <f>Tabla1[[#This Row],[P.U. USD]]*Tabla1[[#This Row],[CANTIDADES DE REFERENCIA]]</f>
        <v>0</v>
      </c>
      <c r="K769" s="36"/>
      <c r="L769" s="36"/>
      <c r="M769" s="36"/>
      <c r="N769" s="37" t="s">
        <v>1650</v>
      </c>
      <c r="O769" s="37" t="s">
        <v>1651</v>
      </c>
      <c r="P769" s="39"/>
      <c r="Q769" s="37" t="s">
        <v>1683</v>
      </c>
      <c r="R769" s="37"/>
      <c r="S769" s="37" t="s">
        <v>1653</v>
      </c>
      <c r="T769" s="31"/>
    </row>
    <row r="770" spans="1:20">
      <c r="A770" s="31"/>
      <c r="B770" s="32"/>
      <c r="C770" s="33"/>
      <c r="D770" s="32" t="s">
        <v>1684</v>
      </c>
      <c r="E770" s="33" t="s">
        <v>42</v>
      </c>
      <c r="F770" s="34">
        <v>1</v>
      </c>
      <c r="G770" s="35">
        <v>0</v>
      </c>
      <c r="H770" s="35">
        <v>0</v>
      </c>
      <c r="I770" s="35">
        <f>Tabla1[[#This Row],[P.U. M.N.]]*Tabla1[[#This Row],[CANTIDADES DE REFERENCIA]]</f>
        <v>0</v>
      </c>
      <c r="J770" s="35">
        <f>Tabla1[[#This Row],[P.U. USD]]*Tabla1[[#This Row],[CANTIDADES DE REFERENCIA]]</f>
        <v>0</v>
      </c>
      <c r="K770" s="36"/>
      <c r="L770" s="36"/>
      <c r="M770" s="36"/>
      <c r="N770" s="37" t="s">
        <v>1650</v>
      </c>
      <c r="O770" s="37" t="s">
        <v>1651</v>
      </c>
      <c r="P770" s="39"/>
      <c r="Q770" s="37" t="s">
        <v>1685</v>
      </c>
      <c r="R770" s="37"/>
      <c r="S770" s="37" t="s">
        <v>1653</v>
      </c>
      <c r="T770" s="31"/>
    </row>
    <row r="771" spans="1:20">
      <c r="A771" s="31"/>
      <c r="B771" s="32"/>
      <c r="C771" s="33"/>
      <c r="D771" s="32" t="s">
        <v>1686</v>
      </c>
      <c r="E771" s="33" t="s">
        <v>42</v>
      </c>
      <c r="F771" s="34">
        <v>1</v>
      </c>
      <c r="G771" s="35">
        <v>0</v>
      </c>
      <c r="H771" s="35">
        <v>0</v>
      </c>
      <c r="I771" s="35">
        <f>Tabla1[[#This Row],[P.U. M.N.]]*Tabla1[[#This Row],[CANTIDADES DE REFERENCIA]]</f>
        <v>0</v>
      </c>
      <c r="J771" s="35">
        <f>Tabla1[[#This Row],[P.U. USD]]*Tabla1[[#This Row],[CANTIDADES DE REFERENCIA]]</f>
        <v>0</v>
      </c>
      <c r="K771" s="36"/>
      <c r="L771" s="36"/>
      <c r="M771" s="36"/>
      <c r="N771" s="37" t="s">
        <v>1650</v>
      </c>
      <c r="O771" s="37" t="s">
        <v>1651</v>
      </c>
      <c r="P771" s="39"/>
      <c r="Q771" s="37" t="s">
        <v>1687</v>
      </c>
      <c r="R771" s="37"/>
      <c r="S771" s="37" t="s">
        <v>1653</v>
      </c>
      <c r="T771" s="31"/>
    </row>
    <row r="772" spans="1:20">
      <c r="A772" s="31"/>
      <c r="B772" s="32"/>
      <c r="C772" s="33"/>
      <c r="D772" s="32" t="s">
        <v>1688</v>
      </c>
      <c r="E772" s="33" t="s">
        <v>42</v>
      </c>
      <c r="F772" s="34">
        <v>1</v>
      </c>
      <c r="G772" s="35">
        <v>0</v>
      </c>
      <c r="H772" s="35">
        <v>0</v>
      </c>
      <c r="I772" s="35">
        <f>Tabla1[[#This Row],[P.U. M.N.]]*Tabla1[[#This Row],[CANTIDADES DE REFERENCIA]]</f>
        <v>0</v>
      </c>
      <c r="J772" s="35">
        <f>Tabla1[[#This Row],[P.U. USD]]*Tabla1[[#This Row],[CANTIDADES DE REFERENCIA]]</f>
        <v>0</v>
      </c>
      <c r="K772" s="36"/>
      <c r="L772" s="36"/>
      <c r="M772" s="36"/>
      <c r="N772" s="37" t="s">
        <v>1650</v>
      </c>
      <c r="O772" s="37" t="s">
        <v>1651</v>
      </c>
      <c r="P772" s="39"/>
      <c r="Q772" s="37" t="s">
        <v>1689</v>
      </c>
      <c r="R772" s="37"/>
      <c r="S772" s="37" t="s">
        <v>1653</v>
      </c>
      <c r="T772" s="31"/>
    </row>
    <row r="773" spans="1:20">
      <c r="A773" s="31"/>
      <c r="B773" s="32"/>
      <c r="C773" s="33"/>
      <c r="D773" s="32" t="s">
        <v>1690</v>
      </c>
      <c r="E773" s="33" t="s">
        <v>42</v>
      </c>
      <c r="F773" s="34">
        <v>1</v>
      </c>
      <c r="G773" s="35">
        <v>0</v>
      </c>
      <c r="H773" s="35">
        <v>0</v>
      </c>
      <c r="I773" s="35">
        <f>Tabla1[[#This Row],[P.U. M.N.]]*Tabla1[[#This Row],[CANTIDADES DE REFERENCIA]]</f>
        <v>0</v>
      </c>
      <c r="J773" s="35">
        <f>Tabla1[[#This Row],[P.U. USD]]*Tabla1[[#This Row],[CANTIDADES DE REFERENCIA]]</f>
        <v>0</v>
      </c>
      <c r="K773" s="36"/>
      <c r="L773" s="36"/>
      <c r="M773" s="36"/>
      <c r="N773" s="37" t="s">
        <v>1650</v>
      </c>
      <c r="O773" s="37" t="s">
        <v>1651</v>
      </c>
      <c r="P773" s="39"/>
      <c r="Q773" s="37" t="s">
        <v>1691</v>
      </c>
      <c r="R773" s="37"/>
      <c r="S773" s="37" t="s">
        <v>1653</v>
      </c>
      <c r="T773" s="31"/>
    </row>
    <row r="774" spans="1:20">
      <c r="A774" s="31"/>
      <c r="B774" s="32"/>
      <c r="C774" s="33"/>
      <c r="D774" s="32" t="s">
        <v>1692</v>
      </c>
      <c r="E774" s="33" t="s">
        <v>42</v>
      </c>
      <c r="F774" s="34">
        <v>1</v>
      </c>
      <c r="G774" s="35">
        <v>0</v>
      </c>
      <c r="H774" s="35">
        <v>0</v>
      </c>
      <c r="I774" s="35">
        <f>Tabla1[[#This Row],[P.U. M.N.]]*Tabla1[[#This Row],[CANTIDADES DE REFERENCIA]]</f>
        <v>0</v>
      </c>
      <c r="J774" s="35">
        <f>Tabla1[[#This Row],[P.U. USD]]*Tabla1[[#This Row],[CANTIDADES DE REFERENCIA]]</f>
        <v>0</v>
      </c>
      <c r="K774" s="36"/>
      <c r="L774" s="36"/>
      <c r="M774" s="36"/>
      <c r="N774" s="37" t="s">
        <v>1650</v>
      </c>
      <c r="O774" s="37" t="s">
        <v>1651</v>
      </c>
      <c r="P774" s="39"/>
      <c r="Q774" s="37" t="s">
        <v>1693</v>
      </c>
      <c r="R774" s="37"/>
      <c r="S774" s="37" t="s">
        <v>1653</v>
      </c>
      <c r="T774" s="31"/>
    </row>
    <row r="775" spans="1:20">
      <c r="A775" s="31"/>
      <c r="B775" s="32"/>
      <c r="C775" s="33"/>
      <c r="D775" s="32" t="s">
        <v>1694</v>
      </c>
      <c r="E775" s="33" t="s">
        <v>42</v>
      </c>
      <c r="F775" s="34">
        <v>1</v>
      </c>
      <c r="G775" s="35">
        <v>0</v>
      </c>
      <c r="H775" s="35">
        <v>0</v>
      </c>
      <c r="I775" s="35">
        <f>Tabla1[[#This Row],[P.U. M.N.]]*Tabla1[[#This Row],[CANTIDADES DE REFERENCIA]]</f>
        <v>0</v>
      </c>
      <c r="J775" s="35">
        <f>Tabla1[[#This Row],[P.U. USD]]*Tabla1[[#This Row],[CANTIDADES DE REFERENCIA]]</f>
        <v>0</v>
      </c>
      <c r="K775" s="36"/>
      <c r="L775" s="36"/>
      <c r="M775" s="36"/>
      <c r="N775" s="37" t="s">
        <v>1650</v>
      </c>
      <c r="O775" s="37" t="s">
        <v>1651</v>
      </c>
      <c r="P775" s="39"/>
      <c r="Q775" s="37" t="s">
        <v>1695</v>
      </c>
      <c r="R775" s="37"/>
      <c r="S775" s="37" t="s">
        <v>1653</v>
      </c>
      <c r="T775" s="31"/>
    </row>
    <row r="776" spans="1:20">
      <c r="A776" s="31"/>
      <c r="B776" s="32"/>
      <c r="C776" s="33"/>
      <c r="D776" s="32" t="s">
        <v>1696</v>
      </c>
      <c r="E776" s="33" t="s">
        <v>42</v>
      </c>
      <c r="F776" s="34">
        <v>1</v>
      </c>
      <c r="G776" s="35">
        <v>0</v>
      </c>
      <c r="H776" s="35">
        <v>0</v>
      </c>
      <c r="I776" s="35">
        <f>Tabla1[[#This Row],[P.U. M.N.]]*Tabla1[[#This Row],[CANTIDADES DE REFERENCIA]]</f>
        <v>0</v>
      </c>
      <c r="J776" s="35">
        <f>Tabla1[[#This Row],[P.U. USD]]*Tabla1[[#This Row],[CANTIDADES DE REFERENCIA]]</f>
        <v>0</v>
      </c>
      <c r="K776" s="36"/>
      <c r="L776" s="36"/>
      <c r="M776" s="36"/>
      <c r="N776" s="37" t="s">
        <v>1650</v>
      </c>
      <c r="O776" s="37" t="s">
        <v>1651</v>
      </c>
      <c r="P776" s="39"/>
      <c r="Q776" s="37" t="s">
        <v>1697</v>
      </c>
      <c r="R776" s="37"/>
      <c r="S776" s="37" t="s">
        <v>1653</v>
      </c>
      <c r="T776" s="31"/>
    </row>
    <row r="777" spans="1:20">
      <c r="A777" s="31"/>
      <c r="B777" s="32"/>
      <c r="C777" s="33"/>
      <c r="D777" s="32" t="s">
        <v>1698</v>
      </c>
      <c r="E777" s="33" t="s">
        <v>42</v>
      </c>
      <c r="F777" s="34">
        <v>1</v>
      </c>
      <c r="G777" s="35">
        <v>0</v>
      </c>
      <c r="H777" s="35">
        <v>0</v>
      </c>
      <c r="I777" s="35">
        <f>Tabla1[[#This Row],[P.U. M.N.]]*Tabla1[[#This Row],[CANTIDADES DE REFERENCIA]]</f>
        <v>0</v>
      </c>
      <c r="J777" s="35">
        <f>Tabla1[[#This Row],[P.U. USD]]*Tabla1[[#This Row],[CANTIDADES DE REFERENCIA]]</f>
        <v>0</v>
      </c>
      <c r="K777" s="36"/>
      <c r="L777" s="36"/>
      <c r="M777" s="36"/>
      <c r="N777" s="37" t="s">
        <v>1650</v>
      </c>
      <c r="O777" s="37" t="s">
        <v>1651</v>
      </c>
      <c r="P777" s="39"/>
      <c r="Q777" s="37" t="s">
        <v>1699</v>
      </c>
      <c r="R777" s="37"/>
      <c r="S777" s="37" t="s">
        <v>1653</v>
      </c>
      <c r="T777" s="31"/>
    </row>
    <row r="778" spans="1:20">
      <c r="A778" s="31"/>
      <c r="B778" s="32"/>
      <c r="C778" s="33"/>
      <c r="D778" s="32" t="s">
        <v>1700</v>
      </c>
      <c r="E778" s="33" t="s">
        <v>42</v>
      </c>
      <c r="F778" s="34">
        <v>1</v>
      </c>
      <c r="G778" s="35">
        <v>0</v>
      </c>
      <c r="H778" s="35">
        <v>0</v>
      </c>
      <c r="I778" s="35">
        <f>Tabla1[[#This Row],[P.U. M.N.]]*Tabla1[[#This Row],[CANTIDADES DE REFERENCIA]]</f>
        <v>0</v>
      </c>
      <c r="J778" s="35">
        <f>Tabla1[[#This Row],[P.U. USD]]*Tabla1[[#This Row],[CANTIDADES DE REFERENCIA]]</f>
        <v>0</v>
      </c>
      <c r="K778" s="36"/>
      <c r="L778" s="36"/>
      <c r="M778" s="36"/>
      <c r="N778" s="37" t="s">
        <v>1650</v>
      </c>
      <c r="O778" s="37" t="s">
        <v>1651</v>
      </c>
      <c r="P778" s="39"/>
      <c r="Q778" s="37" t="s">
        <v>1701</v>
      </c>
      <c r="R778" s="37"/>
      <c r="S778" s="37" t="s">
        <v>1653</v>
      </c>
      <c r="T778" s="31"/>
    </row>
    <row r="779" spans="1:20">
      <c r="A779" s="31"/>
      <c r="B779" s="32"/>
      <c r="C779" s="33"/>
      <c r="D779" s="32" t="s">
        <v>1702</v>
      </c>
      <c r="E779" s="33" t="s">
        <v>42</v>
      </c>
      <c r="F779" s="34">
        <v>1</v>
      </c>
      <c r="G779" s="35">
        <v>0</v>
      </c>
      <c r="H779" s="35">
        <v>0</v>
      </c>
      <c r="I779" s="35">
        <f>Tabla1[[#This Row],[P.U. M.N.]]*Tabla1[[#This Row],[CANTIDADES DE REFERENCIA]]</f>
        <v>0</v>
      </c>
      <c r="J779" s="35">
        <f>Tabla1[[#This Row],[P.U. USD]]*Tabla1[[#This Row],[CANTIDADES DE REFERENCIA]]</f>
        <v>0</v>
      </c>
      <c r="K779" s="36"/>
      <c r="L779" s="36"/>
      <c r="M779" s="36"/>
      <c r="N779" s="37" t="s">
        <v>1650</v>
      </c>
      <c r="O779" s="37" t="s">
        <v>1651</v>
      </c>
      <c r="P779" s="39"/>
      <c r="Q779" s="37" t="s">
        <v>1703</v>
      </c>
      <c r="R779" s="37"/>
      <c r="S779" s="37" t="s">
        <v>1653</v>
      </c>
      <c r="T779" s="31"/>
    </row>
    <row r="780" spans="1:20">
      <c r="A780" s="31"/>
      <c r="B780" s="32"/>
      <c r="C780" s="33"/>
      <c r="D780" s="32" t="s">
        <v>1704</v>
      </c>
      <c r="E780" s="33" t="s">
        <v>42</v>
      </c>
      <c r="F780" s="34">
        <v>1</v>
      </c>
      <c r="G780" s="35">
        <v>0</v>
      </c>
      <c r="H780" s="35">
        <v>0</v>
      </c>
      <c r="I780" s="35">
        <f>Tabla1[[#This Row],[P.U. M.N.]]*Tabla1[[#This Row],[CANTIDADES DE REFERENCIA]]</f>
        <v>0</v>
      </c>
      <c r="J780" s="35">
        <f>Tabla1[[#This Row],[P.U. USD]]*Tabla1[[#This Row],[CANTIDADES DE REFERENCIA]]</f>
        <v>0</v>
      </c>
      <c r="K780" s="36"/>
      <c r="L780" s="36"/>
      <c r="M780" s="36"/>
      <c r="N780" s="37" t="s">
        <v>1650</v>
      </c>
      <c r="O780" s="37" t="s">
        <v>1651</v>
      </c>
      <c r="P780" s="39"/>
      <c r="Q780" s="37" t="s">
        <v>1705</v>
      </c>
      <c r="R780" s="37"/>
      <c r="S780" s="37" t="s">
        <v>1653</v>
      </c>
      <c r="T780" s="31"/>
    </row>
    <row r="781" spans="1:20">
      <c r="A781" s="31"/>
      <c r="B781" s="32"/>
      <c r="C781" s="33"/>
      <c r="D781" s="32" t="s">
        <v>1706</v>
      </c>
      <c r="E781" s="33" t="s">
        <v>42</v>
      </c>
      <c r="F781" s="34">
        <v>1</v>
      </c>
      <c r="G781" s="35">
        <v>0</v>
      </c>
      <c r="H781" s="35">
        <v>0</v>
      </c>
      <c r="I781" s="35">
        <f>Tabla1[[#This Row],[P.U. M.N.]]*Tabla1[[#This Row],[CANTIDADES DE REFERENCIA]]</f>
        <v>0</v>
      </c>
      <c r="J781" s="35">
        <f>Tabla1[[#This Row],[P.U. USD]]*Tabla1[[#This Row],[CANTIDADES DE REFERENCIA]]</f>
        <v>0</v>
      </c>
      <c r="K781" s="36"/>
      <c r="L781" s="36"/>
      <c r="M781" s="36"/>
      <c r="N781" s="37" t="s">
        <v>1650</v>
      </c>
      <c r="O781" s="37" t="s">
        <v>1651</v>
      </c>
      <c r="P781" s="39"/>
      <c r="Q781" s="37" t="s">
        <v>1707</v>
      </c>
      <c r="R781" s="37"/>
      <c r="S781" s="37" t="s">
        <v>1653</v>
      </c>
      <c r="T781" s="31"/>
    </row>
    <row r="782" spans="1:20">
      <c r="A782" s="31"/>
      <c r="B782" s="32"/>
      <c r="C782" s="33"/>
      <c r="D782" s="32" t="s">
        <v>1708</v>
      </c>
      <c r="E782" s="33" t="s">
        <v>42</v>
      </c>
      <c r="F782" s="34">
        <v>1</v>
      </c>
      <c r="G782" s="35">
        <v>0</v>
      </c>
      <c r="H782" s="35">
        <v>0</v>
      </c>
      <c r="I782" s="35">
        <f>Tabla1[[#This Row],[P.U. M.N.]]*Tabla1[[#This Row],[CANTIDADES DE REFERENCIA]]</f>
        <v>0</v>
      </c>
      <c r="J782" s="35">
        <f>Tabla1[[#This Row],[P.U. USD]]*Tabla1[[#This Row],[CANTIDADES DE REFERENCIA]]</f>
        <v>0</v>
      </c>
      <c r="K782" s="36"/>
      <c r="L782" s="36"/>
      <c r="M782" s="36"/>
      <c r="N782" s="37" t="s">
        <v>1650</v>
      </c>
      <c r="O782" s="37" t="s">
        <v>1651</v>
      </c>
      <c r="P782" s="39"/>
      <c r="Q782" s="37" t="s">
        <v>1709</v>
      </c>
      <c r="R782" s="37"/>
      <c r="S782" s="37" t="s">
        <v>1653</v>
      </c>
      <c r="T782" s="31"/>
    </row>
    <row r="783" spans="1:20">
      <c r="A783" s="31"/>
      <c r="B783" s="32"/>
      <c r="C783" s="33"/>
      <c r="D783" s="32" t="s">
        <v>1710</v>
      </c>
      <c r="E783" s="33" t="s">
        <v>42</v>
      </c>
      <c r="F783" s="34">
        <v>1</v>
      </c>
      <c r="G783" s="35">
        <v>0</v>
      </c>
      <c r="H783" s="35">
        <v>0</v>
      </c>
      <c r="I783" s="35">
        <f>Tabla1[[#This Row],[P.U. M.N.]]*Tabla1[[#This Row],[CANTIDADES DE REFERENCIA]]</f>
        <v>0</v>
      </c>
      <c r="J783" s="35">
        <f>Tabla1[[#This Row],[P.U. USD]]*Tabla1[[#This Row],[CANTIDADES DE REFERENCIA]]</f>
        <v>0</v>
      </c>
      <c r="K783" s="36"/>
      <c r="L783" s="36"/>
      <c r="M783" s="36"/>
      <c r="N783" s="37" t="s">
        <v>1650</v>
      </c>
      <c r="O783" s="37" t="s">
        <v>1651</v>
      </c>
      <c r="P783" s="39"/>
      <c r="Q783" s="37" t="s">
        <v>1711</v>
      </c>
      <c r="R783" s="37"/>
      <c r="S783" s="37" t="s">
        <v>1653</v>
      </c>
      <c r="T783" s="31"/>
    </row>
    <row r="784" spans="1:20">
      <c r="A784" s="31"/>
      <c r="B784" s="32"/>
      <c r="C784" s="33"/>
      <c r="D784" s="32" t="s">
        <v>1712</v>
      </c>
      <c r="E784" s="33" t="s">
        <v>42</v>
      </c>
      <c r="F784" s="34">
        <v>1</v>
      </c>
      <c r="G784" s="35">
        <v>0</v>
      </c>
      <c r="H784" s="35">
        <v>0</v>
      </c>
      <c r="I784" s="35">
        <f>Tabla1[[#This Row],[P.U. M.N.]]*Tabla1[[#This Row],[CANTIDADES DE REFERENCIA]]</f>
        <v>0</v>
      </c>
      <c r="J784" s="35">
        <f>Tabla1[[#This Row],[P.U. USD]]*Tabla1[[#This Row],[CANTIDADES DE REFERENCIA]]</f>
        <v>0</v>
      </c>
      <c r="K784" s="36"/>
      <c r="L784" s="36"/>
      <c r="M784" s="36"/>
      <c r="N784" s="37" t="s">
        <v>1650</v>
      </c>
      <c r="O784" s="37" t="s">
        <v>1651</v>
      </c>
      <c r="P784" s="39"/>
      <c r="Q784" s="37" t="s">
        <v>1713</v>
      </c>
      <c r="R784" s="37"/>
      <c r="S784" s="37" t="s">
        <v>1653</v>
      </c>
      <c r="T784" s="31"/>
    </row>
    <row r="785" spans="1:20">
      <c r="A785" s="31"/>
      <c r="B785" s="32"/>
      <c r="C785" s="33"/>
      <c r="D785" s="32" t="s">
        <v>1714</v>
      </c>
      <c r="E785" s="33" t="s">
        <v>42</v>
      </c>
      <c r="F785" s="34">
        <v>1</v>
      </c>
      <c r="G785" s="35">
        <v>0</v>
      </c>
      <c r="H785" s="35">
        <v>0</v>
      </c>
      <c r="I785" s="35">
        <f>Tabla1[[#This Row],[P.U. M.N.]]*Tabla1[[#This Row],[CANTIDADES DE REFERENCIA]]</f>
        <v>0</v>
      </c>
      <c r="J785" s="35">
        <f>Tabla1[[#This Row],[P.U. USD]]*Tabla1[[#This Row],[CANTIDADES DE REFERENCIA]]</f>
        <v>0</v>
      </c>
      <c r="K785" s="36"/>
      <c r="L785" s="36"/>
      <c r="M785" s="36"/>
      <c r="N785" s="37" t="s">
        <v>1650</v>
      </c>
      <c r="O785" s="37" t="s">
        <v>1651</v>
      </c>
      <c r="P785" s="39"/>
      <c r="Q785" s="37" t="s">
        <v>1715</v>
      </c>
      <c r="R785" s="37"/>
      <c r="S785" s="37" t="s">
        <v>1653</v>
      </c>
      <c r="T785" s="31"/>
    </row>
    <row r="786" spans="1:20">
      <c r="A786" s="31"/>
      <c r="B786" s="32"/>
      <c r="C786" s="33"/>
      <c r="D786" s="32" t="s">
        <v>1716</v>
      </c>
      <c r="E786" s="33" t="s">
        <v>42</v>
      </c>
      <c r="F786" s="34">
        <v>1</v>
      </c>
      <c r="G786" s="35">
        <v>0</v>
      </c>
      <c r="H786" s="35">
        <v>0</v>
      </c>
      <c r="I786" s="35">
        <f>Tabla1[[#This Row],[P.U. M.N.]]*Tabla1[[#This Row],[CANTIDADES DE REFERENCIA]]</f>
        <v>0</v>
      </c>
      <c r="J786" s="35">
        <f>Tabla1[[#This Row],[P.U. USD]]*Tabla1[[#This Row],[CANTIDADES DE REFERENCIA]]</f>
        <v>0</v>
      </c>
      <c r="K786" s="36"/>
      <c r="L786" s="36"/>
      <c r="M786" s="36"/>
      <c r="N786" s="37" t="s">
        <v>1650</v>
      </c>
      <c r="O786" s="37" t="s">
        <v>1651</v>
      </c>
      <c r="P786" s="39"/>
      <c r="Q786" s="37" t="s">
        <v>1717</v>
      </c>
      <c r="R786" s="37"/>
      <c r="S786" s="37" t="s">
        <v>1653</v>
      </c>
      <c r="T786" s="31"/>
    </row>
    <row r="787" spans="1:20">
      <c r="A787" s="31"/>
      <c r="B787" s="32"/>
      <c r="C787" s="33"/>
      <c r="D787" s="32" t="s">
        <v>1718</v>
      </c>
      <c r="E787" s="33" t="s">
        <v>42</v>
      </c>
      <c r="F787" s="34">
        <v>1</v>
      </c>
      <c r="G787" s="35">
        <v>0</v>
      </c>
      <c r="H787" s="35">
        <v>0</v>
      </c>
      <c r="I787" s="35">
        <f>Tabla1[[#This Row],[P.U. M.N.]]*Tabla1[[#This Row],[CANTIDADES DE REFERENCIA]]</f>
        <v>0</v>
      </c>
      <c r="J787" s="35">
        <f>Tabla1[[#This Row],[P.U. USD]]*Tabla1[[#This Row],[CANTIDADES DE REFERENCIA]]</f>
        <v>0</v>
      </c>
      <c r="K787" s="36"/>
      <c r="L787" s="36"/>
      <c r="M787" s="36"/>
      <c r="N787" s="37" t="s">
        <v>1650</v>
      </c>
      <c r="O787" s="37" t="s">
        <v>1651</v>
      </c>
      <c r="P787" s="39"/>
      <c r="Q787" s="37" t="s">
        <v>1719</v>
      </c>
      <c r="R787" s="37"/>
      <c r="S787" s="37" t="s">
        <v>1653</v>
      </c>
      <c r="T787" s="31"/>
    </row>
    <row r="788" spans="1:20">
      <c r="A788" s="31"/>
      <c r="B788" s="32"/>
      <c r="C788" s="33"/>
      <c r="D788" s="32" t="s">
        <v>1720</v>
      </c>
      <c r="E788" s="33" t="s">
        <v>42</v>
      </c>
      <c r="F788" s="34">
        <v>1</v>
      </c>
      <c r="G788" s="35">
        <v>0</v>
      </c>
      <c r="H788" s="35">
        <v>0</v>
      </c>
      <c r="I788" s="35">
        <f>Tabla1[[#This Row],[P.U. M.N.]]*Tabla1[[#This Row],[CANTIDADES DE REFERENCIA]]</f>
        <v>0</v>
      </c>
      <c r="J788" s="35">
        <f>Tabla1[[#This Row],[P.U. USD]]*Tabla1[[#This Row],[CANTIDADES DE REFERENCIA]]</f>
        <v>0</v>
      </c>
      <c r="K788" s="36"/>
      <c r="L788" s="36"/>
      <c r="M788" s="36"/>
      <c r="N788" s="37" t="s">
        <v>1650</v>
      </c>
      <c r="O788" s="37" t="s">
        <v>1651</v>
      </c>
      <c r="P788" s="39"/>
      <c r="Q788" s="37" t="s">
        <v>1721</v>
      </c>
      <c r="R788" s="37"/>
      <c r="S788" s="37" t="s">
        <v>1653</v>
      </c>
      <c r="T788" s="31"/>
    </row>
    <row r="789" spans="1:20">
      <c r="A789" s="31"/>
      <c r="B789" s="32"/>
      <c r="C789" s="33"/>
      <c r="D789" s="32" t="s">
        <v>1722</v>
      </c>
      <c r="E789" s="33" t="s">
        <v>42</v>
      </c>
      <c r="F789" s="34">
        <v>1</v>
      </c>
      <c r="G789" s="35">
        <v>0</v>
      </c>
      <c r="H789" s="35">
        <v>0</v>
      </c>
      <c r="I789" s="35">
        <f>Tabla1[[#This Row],[P.U. M.N.]]*Tabla1[[#This Row],[CANTIDADES DE REFERENCIA]]</f>
        <v>0</v>
      </c>
      <c r="J789" s="35">
        <f>Tabla1[[#This Row],[P.U. USD]]*Tabla1[[#This Row],[CANTIDADES DE REFERENCIA]]</f>
        <v>0</v>
      </c>
      <c r="K789" s="36"/>
      <c r="L789" s="36"/>
      <c r="M789" s="36"/>
      <c r="N789" s="37" t="s">
        <v>1650</v>
      </c>
      <c r="O789" s="37" t="s">
        <v>1651</v>
      </c>
      <c r="P789" s="39"/>
      <c r="Q789" s="37" t="s">
        <v>1723</v>
      </c>
      <c r="R789" s="37"/>
      <c r="S789" s="37" t="s">
        <v>1653</v>
      </c>
      <c r="T789" s="31"/>
    </row>
    <row r="790" spans="1:20">
      <c r="A790" s="31"/>
      <c r="B790" s="32"/>
      <c r="C790" s="33"/>
      <c r="D790" s="32" t="s">
        <v>1724</v>
      </c>
      <c r="E790" s="33" t="s">
        <v>42</v>
      </c>
      <c r="F790" s="34">
        <v>1</v>
      </c>
      <c r="G790" s="35">
        <v>0</v>
      </c>
      <c r="H790" s="35">
        <v>0</v>
      </c>
      <c r="I790" s="35">
        <f>Tabla1[[#This Row],[P.U. M.N.]]*Tabla1[[#This Row],[CANTIDADES DE REFERENCIA]]</f>
        <v>0</v>
      </c>
      <c r="J790" s="35">
        <f>Tabla1[[#This Row],[P.U. USD]]*Tabla1[[#This Row],[CANTIDADES DE REFERENCIA]]</f>
        <v>0</v>
      </c>
      <c r="K790" s="36"/>
      <c r="L790" s="36"/>
      <c r="M790" s="36"/>
      <c r="N790" s="37" t="s">
        <v>1650</v>
      </c>
      <c r="O790" s="37" t="s">
        <v>1651</v>
      </c>
      <c r="P790" s="39"/>
      <c r="Q790" s="37" t="s">
        <v>1725</v>
      </c>
      <c r="R790" s="37"/>
      <c r="S790" s="37" t="s">
        <v>1653</v>
      </c>
      <c r="T790" s="31"/>
    </row>
    <row r="791" spans="1:20">
      <c r="A791" s="31"/>
      <c r="B791" s="32"/>
      <c r="C791" s="33"/>
      <c r="D791" s="32" t="s">
        <v>1726</v>
      </c>
      <c r="E791" s="33" t="s">
        <v>42</v>
      </c>
      <c r="F791" s="34">
        <v>1</v>
      </c>
      <c r="G791" s="35">
        <v>0</v>
      </c>
      <c r="H791" s="35">
        <v>0</v>
      </c>
      <c r="I791" s="35">
        <f>Tabla1[[#This Row],[P.U. M.N.]]*Tabla1[[#This Row],[CANTIDADES DE REFERENCIA]]</f>
        <v>0</v>
      </c>
      <c r="J791" s="35">
        <f>Tabla1[[#This Row],[P.U. USD]]*Tabla1[[#This Row],[CANTIDADES DE REFERENCIA]]</f>
        <v>0</v>
      </c>
      <c r="K791" s="36"/>
      <c r="L791" s="36"/>
      <c r="M791" s="36"/>
      <c r="N791" s="37" t="s">
        <v>1650</v>
      </c>
      <c r="O791" s="37" t="s">
        <v>1651</v>
      </c>
      <c r="P791" s="39"/>
      <c r="Q791" s="37" t="s">
        <v>1727</v>
      </c>
      <c r="R791" s="37"/>
      <c r="S791" s="37" t="s">
        <v>1653</v>
      </c>
      <c r="T791" s="31"/>
    </row>
    <row r="792" spans="1:20">
      <c r="A792" s="31"/>
      <c r="B792" s="32"/>
      <c r="C792" s="33"/>
      <c r="D792" s="32" t="s">
        <v>1728</v>
      </c>
      <c r="E792" s="33" t="s">
        <v>42</v>
      </c>
      <c r="F792" s="34">
        <v>1</v>
      </c>
      <c r="G792" s="35">
        <v>0</v>
      </c>
      <c r="H792" s="35">
        <v>0</v>
      </c>
      <c r="I792" s="35">
        <f>Tabla1[[#This Row],[P.U. M.N.]]*Tabla1[[#This Row],[CANTIDADES DE REFERENCIA]]</f>
        <v>0</v>
      </c>
      <c r="J792" s="35">
        <f>Tabla1[[#This Row],[P.U. USD]]*Tabla1[[#This Row],[CANTIDADES DE REFERENCIA]]</f>
        <v>0</v>
      </c>
      <c r="K792" s="36"/>
      <c r="L792" s="36"/>
      <c r="M792" s="36"/>
      <c r="N792" s="37" t="s">
        <v>1650</v>
      </c>
      <c r="O792" s="37" t="s">
        <v>1651</v>
      </c>
      <c r="P792" s="39"/>
      <c r="Q792" s="37" t="s">
        <v>1729</v>
      </c>
      <c r="R792" s="37"/>
      <c r="S792" s="37" t="s">
        <v>1653</v>
      </c>
      <c r="T792" s="31"/>
    </row>
    <row r="793" spans="1:20">
      <c r="A793" s="31"/>
      <c r="B793" s="32"/>
      <c r="C793" s="33"/>
      <c r="D793" s="32" t="s">
        <v>1730</v>
      </c>
      <c r="E793" s="33" t="s">
        <v>42</v>
      </c>
      <c r="F793" s="34">
        <v>1</v>
      </c>
      <c r="G793" s="35">
        <v>0</v>
      </c>
      <c r="H793" s="35">
        <v>0</v>
      </c>
      <c r="I793" s="35">
        <f>Tabla1[[#This Row],[P.U. M.N.]]*Tabla1[[#This Row],[CANTIDADES DE REFERENCIA]]</f>
        <v>0</v>
      </c>
      <c r="J793" s="35">
        <f>Tabla1[[#This Row],[P.U. USD]]*Tabla1[[#This Row],[CANTIDADES DE REFERENCIA]]</f>
        <v>0</v>
      </c>
      <c r="K793" s="36"/>
      <c r="L793" s="36"/>
      <c r="M793" s="36"/>
      <c r="N793" s="37" t="s">
        <v>1650</v>
      </c>
      <c r="O793" s="37" t="s">
        <v>1651</v>
      </c>
      <c r="P793" s="39"/>
      <c r="Q793" s="37" t="s">
        <v>1731</v>
      </c>
      <c r="R793" s="37"/>
      <c r="S793" s="37" t="s">
        <v>1653</v>
      </c>
      <c r="T793" s="31"/>
    </row>
    <row r="794" spans="1:20">
      <c r="A794" s="31"/>
      <c r="B794" s="32"/>
      <c r="C794" s="33"/>
      <c r="D794" s="32" t="s">
        <v>1732</v>
      </c>
      <c r="E794" s="33" t="s">
        <v>42</v>
      </c>
      <c r="F794" s="34">
        <v>1</v>
      </c>
      <c r="G794" s="35">
        <v>0</v>
      </c>
      <c r="H794" s="35">
        <v>0</v>
      </c>
      <c r="I794" s="35">
        <f>Tabla1[[#This Row],[P.U. M.N.]]*Tabla1[[#This Row],[CANTIDADES DE REFERENCIA]]</f>
        <v>0</v>
      </c>
      <c r="J794" s="35">
        <f>Tabla1[[#This Row],[P.U. USD]]*Tabla1[[#This Row],[CANTIDADES DE REFERENCIA]]</f>
        <v>0</v>
      </c>
      <c r="K794" s="36"/>
      <c r="L794" s="36"/>
      <c r="M794" s="36"/>
      <c r="N794" s="37" t="s">
        <v>1650</v>
      </c>
      <c r="O794" s="37" t="s">
        <v>1651</v>
      </c>
      <c r="P794" s="39"/>
      <c r="Q794" s="37" t="s">
        <v>1733</v>
      </c>
      <c r="R794" s="37"/>
      <c r="S794" s="37" t="s">
        <v>1653</v>
      </c>
      <c r="T794" s="31"/>
    </row>
    <row r="795" spans="1:20">
      <c r="A795" s="31"/>
      <c r="B795" s="32"/>
      <c r="C795" s="33"/>
      <c r="D795" s="32" t="s">
        <v>1734</v>
      </c>
      <c r="E795" s="33" t="s">
        <v>42</v>
      </c>
      <c r="F795" s="34">
        <v>1</v>
      </c>
      <c r="G795" s="35">
        <v>0</v>
      </c>
      <c r="H795" s="35">
        <v>0</v>
      </c>
      <c r="I795" s="35">
        <f>Tabla1[[#This Row],[P.U. M.N.]]*Tabla1[[#This Row],[CANTIDADES DE REFERENCIA]]</f>
        <v>0</v>
      </c>
      <c r="J795" s="35">
        <f>Tabla1[[#This Row],[P.U. USD]]*Tabla1[[#This Row],[CANTIDADES DE REFERENCIA]]</f>
        <v>0</v>
      </c>
      <c r="K795" s="36"/>
      <c r="L795" s="36"/>
      <c r="M795" s="36"/>
      <c r="N795" s="37" t="s">
        <v>1650</v>
      </c>
      <c r="O795" s="37" t="s">
        <v>1651</v>
      </c>
      <c r="P795" s="39"/>
      <c r="Q795" s="37" t="s">
        <v>1735</v>
      </c>
      <c r="R795" s="37"/>
      <c r="S795" s="37" t="s">
        <v>1653</v>
      </c>
      <c r="T795" s="31"/>
    </row>
    <row r="796" spans="1:20">
      <c r="A796" s="31"/>
      <c r="B796" s="32"/>
      <c r="C796" s="33"/>
      <c r="D796" s="32" t="s">
        <v>1736</v>
      </c>
      <c r="E796" s="33" t="s">
        <v>42</v>
      </c>
      <c r="F796" s="34">
        <v>1</v>
      </c>
      <c r="G796" s="35">
        <v>0</v>
      </c>
      <c r="H796" s="35">
        <v>0</v>
      </c>
      <c r="I796" s="35">
        <f>Tabla1[[#This Row],[P.U. M.N.]]*Tabla1[[#This Row],[CANTIDADES DE REFERENCIA]]</f>
        <v>0</v>
      </c>
      <c r="J796" s="35">
        <f>Tabla1[[#This Row],[P.U. USD]]*Tabla1[[#This Row],[CANTIDADES DE REFERENCIA]]</f>
        <v>0</v>
      </c>
      <c r="K796" s="36"/>
      <c r="L796" s="36"/>
      <c r="M796" s="36"/>
      <c r="N796" s="37" t="s">
        <v>1650</v>
      </c>
      <c r="O796" s="37" t="s">
        <v>1651</v>
      </c>
      <c r="P796" s="39"/>
      <c r="Q796" s="37" t="s">
        <v>1737</v>
      </c>
      <c r="R796" s="37"/>
      <c r="S796" s="37" t="s">
        <v>1653</v>
      </c>
      <c r="T796" s="31"/>
    </row>
    <row r="797" spans="1:20">
      <c r="A797" s="31"/>
      <c r="B797" s="32"/>
      <c r="C797" s="33"/>
      <c r="D797" s="32" t="s">
        <v>1738</v>
      </c>
      <c r="E797" s="33" t="s">
        <v>42</v>
      </c>
      <c r="F797" s="34">
        <v>1</v>
      </c>
      <c r="G797" s="35">
        <v>0</v>
      </c>
      <c r="H797" s="35">
        <v>0</v>
      </c>
      <c r="I797" s="35">
        <f>Tabla1[[#This Row],[P.U. M.N.]]*Tabla1[[#This Row],[CANTIDADES DE REFERENCIA]]</f>
        <v>0</v>
      </c>
      <c r="J797" s="35">
        <f>Tabla1[[#This Row],[P.U. USD]]*Tabla1[[#This Row],[CANTIDADES DE REFERENCIA]]</f>
        <v>0</v>
      </c>
      <c r="K797" s="36"/>
      <c r="L797" s="36"/>
      <c r="M797" s="36"/>
      <c r="N797" s="37" t="s">
        <v>1650</v>
      </c>
      <c r="O797" s="37" t="s">
        <v>1651</v>
      </c>
      <c r="P797" s="39"/>
      <c r="Q797" s="37" t="s">
        <v>1739</v>
      </c>
      <c r="R797" s="37"/>
      <c r="S797" s="37" t="s">
        <v>1653</v>
      </c>
      <c r="T797" s="31"/>
    </row>
    <row r="798" spans="1:20">
      <c r="A798" s="31"/>
      <c r="B798" s="32"/>
      <c r="C798" s="33"/>
      <c r="D798" s="32" t="s">
        <v>1740</v>
      </c>
      <c r="E798" s="33" t="s">
        <v>42</v>
      </c>
      <c r="F798" s="34">
        <v>1</v>
      </c>
      <c r="G798" s="35">
        <v>0</v>
      </c>
      <c r="H798" s="35">
        <v>0</v>
      </c>
      <c r="I798" s="35">
        <f>Tabla1[[#This Row],[P.U. M.N.]]*Tabla1[[#This Row],[CANTIDADES DE REFERENCIA]]</f>
        <v>0</v>
      </c>
      <c r="J798" s="35">
        <f>Tabla1[[#This Row],[P.U. USD]]*Tabla1[[#This Row],[CANTIDADES DE REFERENCIA]]</f>
        <v>0</v>
      </c>
      <c r="K798" s="36"/>
      <c r="L798" s="36"/>
      <c r="M798" s="36"/>
      <c r="N798" s="37" t="s">
        <v>1650</v>
      </c>
      <c r="O798" s="37" t="s">
        <v>1651</v>
      </c>
      <c r="P798" s="39"/>
      <c r="Q798" s="37" t="s">
        <v>1741</v>
      </c>
      <c r="R798" s="37"/>
      <c r="S798" s="37" t="s">
        <v>1653</v>
      </c>
      <c r="T798" s="31"/>
    </row>
    <row r="799" spans="1:20">
      <c r="A799" s="31"/>
      <c r="B799" s="32"/>
      <c r="C799" s="33"/>
      <c r="D799" s="32" t="s">
        <v>1742</v>
      </c>
      <c r="E799" s="33" t="s">
        <v>42</v>
      </c>
      <c r="F799" s="34">
        <v>1</v>
      </c>
      <c r="G799" s="35">
        <v>0</v>
      </c>
      <c r="H799" s="35">
        <v>0</v>
      </c>
      <c r="I799" s="35">
        <f>Tabla1[[#This Row],[P.U. M.N.]]*Tabla1[[#This Row],[CANTIDADES DE REFERENCIA]]</f>
        <v>0</v>
      </c>
      <c r="J799" s="35">
        <f>Tabla1[[#This Row],[P.U. USD]]*Tabla1[[#This Row],[CANTIDADES DE REFERENCIA]]</f>
        <v>0</v>
      </c>
      <c r="K799" s="36"/>
      <c r="L799" s="36"/>
      <c r="M799" s="36"/>
      <c r="N799" s="37" t="s">
        <v>1650</v>
      </c>
      <c r="O799" s="37" t="s">
        <v>1651</v>
      </c>
      <c r="P799" s="39"/>
      <c r="Q799" s="37" t="s">
        <v>1743</v>
      </c>
      <c r="R799" s="37"/>
      <c r="S799" s="37" t="s">
        <v>1653</v>
      </c>
      <c r="T799" s="31"/>
    </row>
    <row r="800" spans="1:20">
      <c r="A800" s="31"/>
      <c r="B800" s="32"/>
      <c r="C800" s="33"/>
      <c r="D800" s="32" t="s">
        <v>1744</v>
      </c>
      <c r="E800" s="33" t="s">
        <v>42</v>
      </c>
      <c r="F800" s="34">
        <v>1</v>
      </c>
      <c r="G800" s="35">
        <v>0</v>
      </c>
      <c r="H800" s="35">
        <v>0</v>
      </c>
      <c r="I800" s="35">
        <f>Tabla1[[#This Row],[P.U. M.N.]]*Tabla1[[#This Row],[CANTIDADES DE REFERENCIA]]</f>
        <v>0</v>
      </c>
      <c r="J800" s="35">
        <f>Tabla1[[#This Row],[P.U. USD]]*Tabla1[[#This Row],[CANTIDADES DE REFERENCIA]]</f>
        <v>0</v>
      </c>
      <c r="K800" s="36"/>
      <c r="L800" s="36"/>
      <c r="M800" s="36"/>
      <c r="N800" s="37" t="s">
        <v>1650</v>
      </c>
      <c r="O800" s="37" t="s">
        <v>1651</v>
      </c>
      <c r="P800" s="39"/>
      <c r="Q800" s="37" t="s">
        <v>1745</v>
      </c>
      <c r="R800" s="37"/>
      <c r="S800" s="37" t="s">
        <v>1653</v>
      </c>
      <c r="T800" s="31"/>
    </row>
    <row r="801" spans="1:20">
      <c r="A801" s="31"/>
      <c r="B801" s="32"/>
      <c r="C801" s="33"/>
      <c r="D801" s="32" t="s">
        <v>1746</v>
      </c>
      <c r="E801" s="33" t="s">
        <v>42</v>
      </c>
      <c r="F801" s="34">
        <v>1</v>
      </c>
      <c r="G801" s="35">
        <v>0</v>
      </c>
      <c r="H801" s="35">
        <v>0</v>
      </c>
      <c r="I801" s="35">
        <f>Tabla1[[#This Row],[P.U. M.N.]]*Tabla1[[#This Row],[CANTIDADES DE REFERENCIA]]</f>
        <v>0</v>
      </c>
      <c r="J801" s="35">
        <f>Tabla1[[#This Row],[P.U. USD]]*Tabla1[[#This Row],[CANTIDADES DE REFERENCIA]]</f>
        <v>0</v>
      </c>
      <c r="K801" s="36"/>
      <c r="L801" s="36"/>
      <c r="M801" s="36"/>
      <c r="N801" s="37" t="s">
        <v>1650</v>
      </c>
      <c r="O801" s="37" t="s">
        <v>1651</v>
      </c>
      <c r="P801" s="39"/>
      <c r="Q801" s="37" t="s">
        <v>1747</v>
      </c>
      <c r="R801" s="37"/>
      <c r="S801" s="37" t="s">
        <v>1653</v>
      </c>
      <c r="T801" s="31"/>
    </row>
    <row r="802" spans="1:20">
      <c r="A802" s="31"/>
      <c r="B802" s="32"/>
      <c r="C802" s="33"/>
      <c r="D802" s="32" t="s">
        <v>1748</v>
      </c>
      <c r="E802" s="33" t="s">
        <v>42</v>
      </c>
      <c r="F802" s="34">
        <v>1</v>
      </c>
      <c r="G802" s="35">
        <v>0</v>
      </c>
      <c r="H802" s="35">
        <v>0</v>
      </c>
      <c r="I802" s="35">
        <f>Tabla1[[#This Row],[P.U. M.N.]]*Tabla1[[#This Row],[CANTIDADES DE REFERENCIA]]</f>
        <v>0</v>
      </c>
      <c r="J802" s="35">
        <f>Tabla1[[#This Row],[P.U. USD]]*Tabla1[[#This Row],[CANTIDADES DE REFERENCIA]]</f>
        <v>0</v>
      </c>
      <c r="K802" s="36"/>
      <c r="L802" s="36"/>
      <c r="M802" s="36"/>
      <c r="N802" s="37" t="s">
        <v>1650</v>
      </c>
      <c r="O802" s="37" t="s">
        <v>1651</v>
      </c>
      <c r="P802" s="39"/>
      <c r="Q802" s="37" t="s">
        <v>1749</v>
      </c>
      <c r="R802" s="37"/>
      <c r="S802" s="37" t="s">
        <v>1653</v>
      </c>
      <c r="T802" s="31"/>
    </row>
    <row r="803" spans="1:20">
      <c r="A803" s="31"/>
      <c r="B803" s="32"/>
      <c r="C803" s="33"/>
      <c r="D803" s="32" t="s">
        <v>1750</v>
      </c>
      <c r="E803" s="33" t="s">
        <v>42</v>
      </c>
      <c r="F803" s="34">
        <v>1</v>
      </c>
      <c r="G803" s="35">
        <v>0</v>
      </c>
      <c r="H803" s="35">
        <v>0</v>
      </c>
      <c r="I803" s="35">
        <f>Tabla1[[#This Row],[P.U. M.N.]]*Tabla1[[#This Row],[CANTIDADES DE REFERENCIA]]</f>
        <v>0</v>
      </c>
      <c r="J803" s="35">
        <f>Tabla1[[#This Row],[P.U. USD]]*Tabla1[[#This Row],[CANTIDADES DE REFERENCIA]]</f>
        <v>0</v>
      </c>
      <c r="K803" s="36"/>
      <c r="L803" s="36"/>
      <c r="M803" s="36"/>
      <c r="N803" s="37" t="s">
        <v>1650</v>
      </c>
      <c r="O803" s="37" t="s">
        <v>1651</v>
      </c>
      <c r="P803" s="39"/>
      <c r="Q803" s="37" t="s">
        <v>1751</v>
      </c>
      <c r="R803" s="37"/>
      <c r="S803" s="37" t="s">
        <v>1653</v>
      </c>
      <c r="T803" s="31"/>
    </row>
    <row r="804" spans="1:20">
      <c r="A804" s="31"/>
      <c r="B804" s="32"/>
      <c r="C804" s="33"/>
      <c r="D804" s="32" t="s">
        <v>1752</v>
      </c>
      <c r="E804" s="33" t="s">
        <v>42</v>
      </c>
      <c r="F804" s="34">
        <v>1</v>
      </c>
      <c r="G804" s="35">
        <v>0</v>
      </c>
      <c r="H804" s="35">
        <v>0</v>
      </c>
      <c r="I804" s="35">
        <f>Tabla1[[#This Row],[P.U. M.N.]]*Tabla1[[#This Row],[CANTIDADES DE REFERENCIA]]</f>
        <v>0</v>
      </c>
      <c r="J804" s="35">
        <f>Tabla1[[#This Row],[P.U. USD]]*Tabla1[[#This Row],[CANTIDADES DE REFERENCIA]]</f>
        <v>0</v>
      </c>
      <c r="K804" s="36"/>
      <c r="L804" s="36"/>
      <c r="M804" s="36"/>
      <c r="N804" s="37" t="s">
        <v>1650</v>
      </c>
      <c r="O804" s="37" t="s">
        <v>1651</v>
      </c>
      <c r="P804" s="39"/>
      <c r="Q804" s="37" t="s">
        <v>1753</v>
      </c>
      <c r="R804" s="37"/>
      <c r="S804" s="37" t="s">
        <v>1653</v>
      </c>
      <c r="T804" s="31"/>
    </row>
    <row r="805" spans="1:20">
      <c r="A805" s="31"/>
      <c r="B805" s="32"/>
      <c r="C805" s="33"/>
      <c r="D805" s="32" t="s">
        <v>1754</v>
      </c>
      <c r="E805" s="33" t="s">
        <v>42</v>
      </c>
      <c r="F805" s="34">
        <v>1</v>
      </c>
      <c r="G805" s="35">
        <v>0</v>
      </c>
      <c r="H805" s="35">
        <v>0</v>
      </c>
      <c r="I805" s="35">
        <f>Tabla1[[#This Row],[P.U. M.N.]]*Tabla1[[#This Row],[CANTIDADES DE REFERENCIA]]</f>
        <v>0</v>
      </c>
      <c r="J805" s="35">
        <f>Tabla1[[#This Row],[P.U. USD]]*Tabla1[[#This Row],[CANTIDADES DE REFERENCIA]]</f>
        <v>0</v>
      </c>
      <c r="K805" s="36"/>
      <c r="L805" s="36"/>
      <c r="M805" s="36"/>
      <c r="N805" s="37" t="s">
        <v>1650</v>
      </c>
      <c r="O805" s="37" t="s">
        <v>1651</v>
      </c>
      <c r="P805" s="39"/>
      <c r="Q805" s="37" t="s">
        <v>1755</v>
      </c>
      <c r="R805" s="37"/>
      <c r="S805" s="37" t="s">
        <v>1653</v>
      </c>
      <c r="T805" s="31"/>
    </row>
    <row r="806" spans="1:20">
      <c r="A806" s="31"/>
      <c r="B806" s="32"/>
      <c r="C806" s="33"/>
      <c r="D806" s="32" t="s">
        <v>1756</v>
      </c>
      <c r="E806" s="33" t="s">
        <v>42</v>
      </c>
      <c r="F806" s="34">
        <v>1</v>
      </c>
      <c r="G806" s="35">
        <v>0</v>
      </c>
      <c r="H806" s="35">
        <v>0</v>
      </c>
      <c r="I806" s="35">
        <f>Tabla1[[#This Row],[P.U. M.N.]]*Tabla1[[#This Row],[CANTIDADES DE REFERENCIA]]</f>
        <v>0</v>
      </c>
      <c r="J806" s="35">
        <f>Tabla1[[#This Row],[P.U. USD]]*Tabla1[[#This Row],[CANTIDADES DE REFERENCIA]]</f>
        <v>0</v>
      </c>
      <c r="K806" s="36"/>
      <c r="L806" s="36"/>
      <c r="M806" s="36"/>
      <c r="N806" s="37" t="s">
        <v>1650</v>
      </c>
      <c r="O806" s="37" t="s">
        <v>1651</v>
      </c>
      <c r="P806" s="39"/>
      <c r="Q806" s="37" t="s">
        <v>1757</v>
      </c>
      <c r="R806" s="37"/>
      <c r="S806" s="37" t="s">
        <v>1653</v>
      </c>
      <c r="T806" s="31"/>
    </row>
    <row r="807" spans="1:20">
      <c r="A807" s="31"/>
      <c r="B807" s="32"/>
      <c r="C807" s="33"/>
      <c r="D807" s="32" t="s">
        <v>1758</v>
      </c>
      <c r="E807" s="33" t="s">
        <v>42</v>
      </c>
      <c r="F807" s="34">
        <v>1</v>
      </c>
      <c r="G807" s="35">
        <v>0</v>
      </c>
      <c r="H807" s="35">
        <v>0</v>
      </c>
      <c r="I807" s="35">
        <f>Tabla1[[#This Row],[P.U. M.N.]]*Tabla1[[#This Row],[CANTIDADES DE REFERENCIA]]</f>
        <v>0</v>
      </c>
      <c r="J807" s="35">
        <f>Tabla1[[#This Row],[P.U. USD]]*Tabla1[[#This Row],[CANTIDADES DE REFERENCIA]]</f>
        <v>0</v>
      </c>
      <c r="K807" s="36"/>
      <c r="L807" s="36"/>
      <c r="M807" s="36"/>
      <c r="N807" s="37" t="s">
        <v>1650</v>
      </c>
      <c r="O807" s="37" t="s">
        <v>1651</v>
      </c>
      <c r="P807" s="39"/>
      <c r="Q807" s="37" t="s">
        <v>1759</v>
      </c>
      <c r="R807" s="37"/>
      <c r="S807" s="37" t="s">
        <v>1653</v>
      </c>
      <c r="T807" s="31"/>
    </row>
    <row r="808" spans="1:20">
      <c r="A808" s="31"/>
      <c r="B808" s="32"/>
      <c r="C808" s="33"/>
      <c r="D808" s="32" t="s">
        <v>1760</v>
      </c>
      <c r="E808" s="33" t="s">
        <v>42</v>
      </c>
      <c r="F808" s="34">
        <v>1</v>
      </c>
      <c r="G808" s="35">
        <v>0</v>
      </c>
      <c r="H808" s="35">
        <v>0</v>
      </c>
      <c r="I808" s="35">
        <f>Tabla1[[#This Row],[P.U. M.N.]]*Tabla1[[#This Row],[CANTIDADES DE REFERENCIA]]</f>
        <v>0</v>
      </c>
      <c r="J808" s="35">
        <f>Tabla1[[#This Row],[P.U. USD]]*Tabla1[[#This Row],[CANTIDADES DE REFERENCIA]]</f>
        <v>0</v>
      </c>
      <c r="K808" s="36"/>
      <c r="L808" s="36"/>
      <c r="M808" s="36"/>
      <c r="N808" s="37" t="s">
        <v>1650</v>
      </c>
      <c r="O808" s="37" t="s">
        <v>1651</v>
      </c>
      <c r="P808" s="39"/>
      <c r="Q808" s="37" t="s">
        <v>1761</v>
      </c>
      <c r="R808" s="37"/>
      <c r="S808" s="37" t="s">
        <v>1653</v>
      </c>
      <c r="T808" s="31"/>
    </row>
    <row r="809" spans="1:20">
      <c r="A809" s="31"/>
      <c r="B809" s="32"/>
      <c r="C809" s="33"/>
      <c r="D809" s="32" t="s">
        <v>1762</v>
      </c>
      <c r="E809" s="33" t="s">
        <v>116</v>
      </c>
      <c r="F809" s="34">
        <v>1</v>
      </c>
      <c r="G809" s="35">
        <v>0</v>
      </c>
      <c r="H809" s="35">
        <v>0</v>
      </c>
      <c r="I809" s="35">
        <f>Tabla1[[#This Row],[P.U. M.N.]]*Tabla1[[#This Row],[CANTIDADES DE REFERENCIA]]</f>
        <v>0</v>
      </c>
      <c r="J809" s="35">
        <f>Tabla1[[#This Row],[P.U. USD]]*Tabla1[[#This Row],[CANTIDADES DE REFERENCIA]]</f>
        <v>0</v>
      </c>
      <c r="K809" s="36"/>
      <c r="L809" s="36"/>
      <c r="M809" s="36"/>
      <c r="N809" s="37" t="s">
        <v>1277</v>
      </c>
      <c r="O809" s="37"/>
      <c r="P809" s="39"/>
      <c r="Q809" s="37" t="s">
        <v>1763</v>
      </c>
      <c r="R809" s="37"/>
      <c r="S809" s="37" t="s">
        <v>1764</v>
      </c>
      <c r="T809" s="31"/>
    </row>
    <row r="810" spans="1:20">
      <c r="A810" s="31"/>
      <c r="B810" s="32"/>
      <c r="C810" s="33"/>
      <c r="D810" s="32" t="s">
        <v>1765</v>
      </c>
      <c r="E810" s="33" t="s">
        <v>116</v>
      </c>
      <c r="F810" s="34">
        <v>1</v>
      </c>
      <c r="G810" s="35">
        <v>0</v>
      </c>
      <c r="H810" s="35">
        <v>0</v>
      </c>
      <c r="I810" s="35">
        <f>Tabla1[[#This Row],[P.U. M.N.]]*Tabla1[[#This Row],[CANTIDADES DE REFERENCIA]]</f>
        <v>0</v>
      </c>
      <c r="J810" s="35">
        <f>Tabla1[[#This Row],[P.U. USD]]*Tabla1[[#This Row],[CANTIDADES DE REFERENCIA]]</f>
        <v>0</v>
      </c>
      <c r="K810" s="36"/>
      <c r="L810" s="36"/>
      <c r="M810" s="36"/>
      <c r="N810" s="37" t="s">
        <v>1277</v>
      </c>
      <c r="O810" s="37"/>
      <c r="P810" s="39"/>
      <c r="Q810" s="37" t="s">
        <v>1766</v>
      </c>
      <c r="R810" s="37"/>
      <c r="S810" s="37" t="s">
        <v>1764</v>
      </c>
      <c r="T810" s="31"/>
    </row>
    <row r="811" spans="1:20">
      <c r="A811" s="31"/>
      <c r="B811" s="32"/>
      <c r="C811" s="33"/>
      <c r="D811" s="32" t="s">
        <v>1767</v>
      </c>
      <c r="E811" s="33" t="s">
        <v>116</v>
      </c>
      <c r="F811" s="34">
        <v>1</v>
      </c>
      <c r="G811" s="35">
        <v>0</v>
      </c>
      <c r="H811" s="35">
        <v>0</v>
      </c>
      <c r="I811" s="35">
        <f>Tabla1[[#This Row],[P.U. M.N.]]*Tabla1[[#This Row],[CANTIDADES DE REFERENCIA]]</f>
        <v>0</v>
      </c>
      <c r="J811" s="35">
        <f>Tabla1[[#This Row],[P.U. USD]]*Tabla1[[#This Row],[CANTIDADES DE REFERENCIA]]</f>
        <v>0</v>
      </c>
      <c r="K811" s="36"/>
      <c r="L811" s="36"/>
      <c r="M811" s="36"/>
      <c r="N811" s="37" t="s">
        <v>1277</v>
      </c>
      <c r="O811" s="37"/>
      <c r="P811" s="39"/>
      <c r="Q811" s="37" t="s">
        <v>1768</v>
      </c>
      <c r="R811" s="37"/>
      <c r="S811" s="37" t="s">
        <v>1764</v>
      </c>
      <c r="T811" s="31"/>
    </row>
    <row r="812" spans="1:20">
      <c r="A812" s="31"/>
      <c r="B812" s="32"/>
      <c r="C812" s="33"/>
      <c r="D812" s="32" t="s">
        <v>1769</v>
      </c>
      <c r="E812" s="33" t="s">
        <v>116</v>
      </c>
      <c r="F812" s="34">
        <v>1</v>
      </c>
      <c r="G812" s="35">
        <v>0</v>
      </c>
      <c r="H812" s="35">
        <v>0</v>
      </c>
      <c r="I812" s="35">
        <f>Tabla1[[#This Row],[P.U. M.N.]]*Tabla1[[#This Row],[CANTIDADES DE REFERENCIA]]</f>
        <v>0</v>
      </c>
      <c r="J812" s="35">
        <f>Tabla1[[#This Row],[P.U. USD]]*Tabla1[[#This Row],[CANTIDADES DE REFERENCIA]]</f>
        <v>0</v>
      </c>
      <c r="K812" s="36"/>
      <c r="L812" s="36"/>
      <c r="M812" s="36"/>
      <c r="N812" s="37" t="s">
        <v>1277</v>
      </c>
      <c r="O812" s="37"/>
      <c r="P812" s="39"/>
      <c r="Q812" s="37" t="s">
        <v>1770</v>
      </c>
      <c r="R812" s="37"/>
      <c r="S812" s="37" t="s">
        <v>1764</v>
      </c>
      <c r="T812" s="31"/>
    </row>
    <row r="813" spans="1:20">
      <c r="A813" s="31"/>
      <c r="B813" s="32"/>
      <c r="C813" s="33"/>
      <c r="D813" s="32" t="s">
        <v>1771</v>
      </c>
      <c r="E813" s="33" t="s">
        <v>116</v>
      </c>
      <c r="F813" s="34">
        <v>1</v>
      </c>
      <c r="G813" s="35">
        <v>0</v>
      </c>
      <c r="H813" s="35">
        <v>0</v>
      </c>
      <c r="I813" s="35">
        <f>Tabla1[[#This Row],[P.U. M.N.]]*Tabla1[[#This Row],[CANTIDADES DE REFERENCIA]]</f>
        <v>0</v>
      </c>
      <c r="J813" s="35">
        <f>Tabla1[[#This Row],[P.U. USD]]*Tabla1[[#This Row],[CANTIDADES DE REFERENCIA]]</f>
        <v>0</v>
      </c>
      <c r="K813" s="36"/>
      <c r="L813" s="36"/>
      <c r="M813" s="36"/>
      <c r="N813" s="37" t="s">
        <v>1277</v>
      </c>
      <c r="O813" s="37"/>
      <c r="P813" s="39"/>
      <c r="Q813" s="37" t="s">
        <v>1772</v>
      </c>
      <c r="R813" s="37"/>
      <c r="S813" s="37" t="s">
        <v>1764</v>
      </c>
      <c r="T813" s="31"/>
    </row>
    <row r="814" spans="1:20">
      <c r="A814" s="31"/>
      <c r="B814" s="32"/>
      <c r="C814" s="33"/>
      <c r="D814" s="32" t="s">
        <v>1773</v>
      </c>
      <c r="E814" s="33" t="s">
        <v>116</v>
      </c>
      <c r="F814" s="34">
        <v>1</v>
      </c>
      <c r="G814" s="35">
        <v>0</v>
      </c>
      <c r="H814" s="35">
        <v>0</v>
      </c>
      <c r="I814" s="35">
        <f>Tabla1[[#This Row],[P.U. M.N.]]*Tabla1[[#This Row],[CANTIDADES DE REFERENCIA]]</f>
        <v>0</v>
      </c>
      <c r="J814" s="35">
        <f>Tabla1[[#This Row],[P.U. USD]]*Tabla1[[#This Row],[CANTIDADES DE REFERENCIA]]</f>
        <v>0</v>
      </c>
      <c r="K814" s="36"/>
      <c r="L814" s="36"/>
      <c r="M814" s="36"/>
      <c r="N814" s="37" t="s">
        <v>1277</v>
      </c>
      <c r="O814" s="37"/>
      <c r="P814" s="39"/>
      <c r="Q814" s="37" t="s">
        <v>1774</v>
      </c>
      <c r="R814" s="37"/>
      <c r="S814" s="37" t="s">
        <v>1764</v>
      </c>
      <c r="T814" s="31"/>
    </row>
    <row r="815" spans="1:20">
      <c r="A815" s="31"/>
      <c r="B815" s="32"/>
      <c r="C815" s="33"/>
      <c r="D815" s="32" t="s">
        <v>1775</v>
      </c>
      <c r="E815" s="33" t="s">
        <v>116</v>
      </c>
      <c r="F815" s="34">
        <v>1</v>
      </c>
      <c r="G815" s="35">
        <v>0</v>
      </c>
      <c r="H815" s="35">
        <v>0</v>
      </c>
      <c r="I815" s="35">
        <f>Tabla1[[#This Row],[P.U. M.N.]]*Tabla1[[#This Row],[CANTIDADES DE REFERENCIA]]</f>
        <v>0</v>
      </c>
      <c r="J815" s="35">
        <f>Tabla1[[#This Row],[P.U. USD]]*Tabla1[[#This Row],[CANTIDADES DE REFERENCIA]]</f>
        <v>0</v>
      </c>
      <c r="K815" s="36"/>
      <c r="L815" s="36"/>
      <c r="M815" s="36"/>
      <c r="N815" s="37" t="s">
        <v>1277</v>
      </c>
      <c r="O815" s="37"/>
      <c r="P815" s="39"/>
      <c r="Q815" s="37" t="s">
        <v>1776</v>
      </c>
      <c r="R815" s="37"/>
      <c r="S815" s="37" t="s">
        <v>1764</v>
      </c>
      <c r="T815" s="31"/>
    </row>
    <row r="816" spans="1:20">
      <c r="A816" s="31"/>
      <c r="B816" s="32"/>
      <c r="C816" s="33"/>
      <c r="D816" s="32" t="s">
        <v>1777</v>
      </c>
      <c r="E816" s="33" t="s">
        <v>116</v>
      </c>
      <c r="F816" s="34">
        <v>1</v>
      </c>
      <c r="G816" s="35">
        <v>0</v>
      </c>
      <c r="H816" s="35">
        <v>0</v>
      </c>
      <c r="I816" s="35">
        <f>Tabla1[[#This Row],[P.U. M.N.]]*Tabla1[[#This Row],[CANTIDADES DE REFERENCIA]]</f>
        <v>0</v>
      </c>
      <c r="J816" s="35">
        <f>Tabla1[[#This Row],[P.U. USD]]*Tabla1[[#This Row],[CANTIDADES DE REFERENCIA]]</f>
        <v>0</v>
      </c>
      <c r="K816" s="36"/>
      <c r="L816" s="36"/>
      <c r="M816" s="36"/>
      <c r="N816" s="37" t="s">
        <v>1277</v>
      </c>
      <c r="O816" s="37"/>
      <c r="P816" s="39"/>
      <c r="Q816" s="37" t="s">
        <v>1778</v>
      </c>
      <c r="R816" s="37"/>
      <c r="S816" s="37" t="s">
        <v>1764</v>
      </c>
      <c r="T816" s="31"/>
    </row>
    <row r="817" spans="1:20">
      <c r="A817" s="31"/>
      <c r="B817" s="32"/>
      <c r="C817" s="33"/>
      <c r="D817" s="32" t="s">
        <v>1779</v>
      </c>
      <c r="E817" s="33" t="s">
        <v>116</v>
      </c>
      <c r="F817" s="34">
        <v>1</v>
      </c>
      <c r="G817" s="35">
        <v>0</v>
      </c>
      <c r="H817" s="35">
        <v>0</v>
      </c>
      <c r="I817" s="35">
        <f>Tabla1[[#This Row],[P.U. M.N.]]*Tabla1[[#This Row],[CANTIDADES DE REFERENCIA]]</f>
        <v>0</v>
      </c>
      <c r="J817" s="35">
        <f>Tabla1[[#This Row],[P.U. USD]]*Tabla1[[#This Row],[CANTIDADES DE REFERENCIA]]</f>
        <v>0</v>
      </c>
      <c r="K817" s="36"/>
      <c r="L817" s="36"/>
      <c r="M817" s="36"/>
      <c r="N817" s="37" t="s">
        <v>1277</v>
      </c>
      <c r="O817" s="37"/>
      <c r="P817" s="39"/>
      <c r="Q817" s="37" t="s">
        <v>1780</v>
      </c>
      <c r="R817" s="37"/>
      <c r="S817" s="37" t="s">
        <v>1764</v>
      </c>
      <c r="T817" s="31"/>
    </row>
    <row r="818" spans="1:20">
      <c r="A818" s="31"/>
      <c r="B818" s="32"/>
      <c r="C818" s="33"/>
      <c r="D818" s="32" t="s">
        <v>1781</v>
      </c>
      <c r="E818" s="33" t="s">
        <v>61</v>
      </c>
      <c r="F818" s="34">
        <v>1</v>
      </c>
      <c r="G818" s="35">
        <v>0</v>
      </c>
      <c r="H818" s="35">
        <v>0</v>
      </c>
      <c r="I818" s="35">
        <f>Tabla1[[#This Row],[P.U. M.N.]]*Tabla1[[#This Row],[CANTIDADES DE REFERENCIA]]</f>
        <v>0</v>
      </c>
      <c r="J818" s="35">
        <f>Tabla1[[#This Row],[P.U. USD]]*Tabla1[[#This Row],[CANTIDADES DE REFERENCIA]]</f>
        <v>0</v>
      </c>
      <c r="K818" s="36"/>
      <c r="L818" s="36"/>
      <c r="M818" s="36"/>
      <c r="N818" s="37" t="s">
        <v>1277</v>
      </c>
      <c r="O818" s="37"/>
      <c r="P818" s="39"/>
      <c r="Q818" s="37" t="s">
        <v>1782</v>
      </c>
      <c r="R818" s="37"/>
      <c r="S818" s="37" t="s">
        <v>1764</v>
      </c>
      <c r="T818" s="31"/>
    </row>
    <row r="819" spans="1:20">
      <c r="A819" s="31"/>
      <c r="B819" s="32"/>
      <c r="C819" s="33"/>
      <c r="D819" s="32" t="s">
        <v>1783</v>
      </c>
      <c r="E819" s="33" t="s">
        <v>116</v>
      </c>
      <c r="F819" s="34">
        <v>1</v>
      </c>
      <c r="G819" s="35">
        <v>0</v>
      </c>
      <c r="H819" s="35">
        <v>0</v>
      </c>
      <c r="I819" s="35">
        <f>Tabla1[[#This Row],[P.U. M.N.]]*Tabla1[[#This Row],[CANTIDADES DE REFERENCIA]]</f>
        <v>0</v>
      </c>
      <c r="J819" s="35">
        <f>Tabla1[[#This Row],[P.U. USD]]*Tabla1[[#This Row],[CANTIDADES DE REFERENCIA]]</f>
        <v>0</v>
      </c>
      <c r="K819" s="36"/>
      <c r="L819" s="36"/>
      <c r="M819" s="36"/>
      <c r="N819" s="37" t="s">
        <v>1277</v>
      </c>
      <c r="O819" s="37"/>
      <c r="P819" s="39"/>
      <c r="Q819" s="37" t="s">
        <v>1784</v>
      </c>
      <c r="R819" s="37"/>
      <c r="S819" s="37" t="s">
        <v>1764</v>
      </c>
      <c r="T819" s="31"/>
    </row>
    <row r="820" spans="1:20">
      <c r="A820" s="31"/>
      <c r="B820" s="32"/>
      <c r="C820" s="33"/>
      <c r="D820" s="32" t="s">
        <v>1785</v>
      </c>
      <c r="E820" s="33" t="s">
        <v>116</v>
      </c>
      <c r="F820" s="34">
        <v>1</v>
      </c>
      <c r="G820" s="35">
        <v>0</v>
      </c>
      <c r="H820" s="35">
        <v>0</v>
      </c>
      <c r="I820" s="35">
        <f>Tabla1[[#This Row],[P.U. M.N.]]*Tabla1[[#This Row],[CANTIDADES DE REFERENCIA]]</f>
        <v>0</v>
      </c>
      <c r="J820" s="35">
        <f>Tabla1[[#This Row],[P.U. USD]]*Tabla1[[#This Row],[CANTIDADES DE REFERENCIA]]</f>
        <v>0</v>
      </c>
      <c r="K820" s="36"/>
      <c r="L820" s="36"/>
      <c r="M820" s="36"/>
      <c r="N820" s="37" t="s">
        <v>1277</v>
      </c>
      <c r="O820" s="37"/>
      <c r="P820" s="39"/>
      <c r="Q820" s="37" t="s">
        <v>1786</v>
      </c>
      <c r="R820" s="37"/>
      <c r="S820" s="37" t="s">
        <v>1764</v>
      </c>
      <c r="T820" s="31"/>
    </row>
    <row r="821" spans="1:20">
      <c r="A821" s="31"/>
      <c r="B821" s="32"/>
      <c r="C821" s="33"/>
      <c r="D821" s="32" t="s">
        <v>1787</v>
      </c>
      <c r="E821" s="33" t="s">
        <v>116</v>
      </c>
      <c r="F821" s="34">
        <v>1</v>
      </c>
      <c r="G821" s="35">
        <v>0</v>
      </c>
      <c r="H821" s="35">
        <v>0</v>
      </c>
      <c r="I821" s="35">
        <f>Tabla1[[#This Row],[P.U. M.N.]]*Tabla1[[#This Row],[CANTIDADES DE REFERENCIA]]</f>
        <v>0</v>
      </c>
      <c r="J821" s="35">
        <f>Tabla1[[#This Row],[P.U. USD]]*Tabla1[[#This Row],[CANTIDADES DE REFERENCIA]]</f>
        <v>0</v>
      </c>
      <c r="K821" s="36"/>
      <c r="L821" s="36"/>
      <c r="M821" s="36"/>
      <c r="N821" s="37" t="s">
        <v>1277</v>
      </c>
      <c r="O821" s="37"/>
      <c r="P821" s="39"/>
      <c r="Q821" s="37" t="s">
        <v>1788</v>
      </c>
      <c r="R821" s="37"/>
      <c r="S821" s="37" t="s">
        <v>1764</v>
      </c>
      <c r="T821" s="31"/>
    </row>
    <row r="822" spans="1:20">
      <c r="A822" s="31"/>
      <c r="B822" s="32"/>
      <c r="C822" s="33"/>
      <c r="D822" s="32" t="s">
        <v>1789</v>
      </c>
      <c r="E822" s="33" t="s">
        <v>116</v>
      </c>
      <c r="F822" s="34">
        <v>1</v>
      </c>
      <c r="G822" s="35">
        <v>0</v>
      </c>
      <c r="H822" s="35">
        <v>0</v>
      </c>
      <c r="I822" s="35">
        <f>Tabla1[[#This Row],[P.U. M.N.]]*Tabla1[[#This Row],[CANTIDADES DE REFERENCIA]]</f>
        <v>0</v>
      </c>
      <c r="J822" s="35">
        <f>Tabla1[[#This Row],[P.U. USD]]*Tabla1[[#This Row],[CANTIDADES DE REFERENCIA]]</f>
        <v>0</v>
      </c>
      <c r="K822" s="36"/>
      <c r="L822" s="36"/>
      <c r="M822" s="36"/>
      <c r="N822" s="37" t="s">
        <v>1277</v>
      </c>
      <c r="O822" s="37"/>
      <c r="P822" s="39"/>
      <c r="Q822" s="37" t="s">
        <v>1790</v>
      </c>
      <c r="R822" s="37"/>
      <c r="S822" s="37" t="s">
        <v>1764</v>
      </c>
      <c r="T822" s="31"/>
    </row>
    <row r="823" spans="1:20">
      <c r="A823" s="31"/>
      <c r="B823" s="32"/>
      <c r="C823" s="33"/>
      <c r="D823" s="32" t="s">
        <v>1791</v>
      </c>
      <c r="E823" s="33" t="s">
        <v>116</v>
      </c>
      <c r="F823" s="34">
        <v>1</v>
      </c>
      <c r="G823" s="35">
        <v>0</v>
      </c>
      <c r="H823" s="35">
        <v>0</v>
      </c>
      <c r="I823" s="35">
        <f>Tabla1[[#This Row],[P.U. M.N.]]*Tabla1[[#This Row],[CANTIDADES DE REFERENCIA]]</f>
        <v>0</v>
      </c>
      <c r="J823" s="35">
        <f>Tabla1[[#This Row],[P.U. USD]]*Tabla1[[#This Row],[CANTIDADES DE REFERENCIA]]</f>
        <v>0</v>
      </c>
      <c r="K823" s="36"/>
      <c r="L823" s="36"/>
      <c r="M823" s="36"/>
      <c r="N823" s="37" t="s">
        <v>1277</v>
      </c>
      <c r="O823" s="37"/>
      <c r="P823" s="39"/>
      <c r="Q823" s="37" t="s">
        <v>1792</v>
      </c>
      <c r="R823" s="37"/>
      <c r="S823" s="37" t="s">
        <v>1764</v>
      </c>
      <c r="T823" s="31"/>
    </row>
    <row r="824" spans="1:20">
      <c r="A824" s="31"/>
      <c r="B824" s="32"/>
      <c r="C824" s="33"/>
      <c r="D824" s="32" t="s">
        <v>1793</v>
      </c>
      <c r="E824" s="33" t="s">
        <v>116</v>
      </c>
      <c r="F824" s="34">
        <v>1</v>
      </c>
      <c r="G824" s="35">
        <v>0</v>
      </c>
      <c r="H824" s="35">
        <v>0</v>
      </c>
      <c r="I824" s="35">
        <f>Tabla1[[#This Row],[P.U. M.N.]]*Tabla1[[#This Row],[CANTIDADES DE REFERENCIA]]</f>
        <v>0</v>
      </c>
      <c r="J824" s="35">
        <f>Tabla1[[#This Row],[P.U. USD]]*Tabla1[[#This Row],[CANTIDADES DE REFERENCIA]]</f>
        <v>0</v>
      </c>
      <c r="K824" s="36"/>
      <c r="L824" s="36"/>
      <c r="M824" s="36"/>
      <c r="N824" s="37" t="s">
        <v>1277</v>
      </c>
      <c r="O824" s="37"/>
      <c r="P824" s="39"/>
      <c r="Q824" s="37" t="s">
        <v>1794</v>
      </c>
      <c r="R824" s="37"/>
      <c r="S824" s="37" t="s">
        <v>1764</v>
      </c>
      <c r="T824" s="31"/>
    </row>
    <row r="825" spans="1:20">
      <c r="A825" s="31"/>
      <c r="B825" s="32"/>
      <c r="C825" s="33"/>
      <c r="D825" s="32" t="s">
        <v>1795</v>
      </c>
      <c r="E825" s="33" t="s">
        <v>116</v>
      </c>
      <c r="F825" s="34">
        <v>1</v>
      </c>
      <c r="G825" s="35">
        <v>0</v>
      </c>
      <c r="H825" s="35">
        <v>0</v>
      </c>
      <c r="I825" s="35">
        <f>Tabla1[[#This Row],[P.U. M.N.]]*Tabla1[[#This Row],[CANTIDADES DE REFERENCIA]]</f>
        <v>0</v>
      </c>
      <c r="J825" s="35">
        <f>Tabla1[[#This Row],[P.U. USD]]*Tabla1[[#This Row],[CANTIDADES DE REFERENCIA]]</f>
        <v>0</v>
      </c>
      <c r="K825" s="36"/>
      <c r="L825" s="36"/>
      <c r="M825" s="36"/>
      <c r="N825" s="37" t="s">
        <v>1277</v>
      </c>
      <c r="O825" s="37"/>
      <c r="P825" s="39"/>
      <c r="Q825" s="37" t="s">
        <v>1796</v>
      </c>
      <c r="R825" s="37"/>
      <c r="S825" s="37" t="s">
        <v>1764</v>
      </c>
      <c r="T825" s="31"/>
    </row>
    <row r="826" spans="1:20">
      <c r="A826" s="31"/>
      <c r="B826" s="32"/>
      <c r="C826" s="33"/>
      <c r="D826" s="32" t="s">
        <v>1797</v>
      </c>
      <c r="E826" s="33" t="s">
        <v>116</v>
      </c>
      <c r="F826" s="34">
        <v>1</v>
      </c>
      <c r="G826" s="35">
        <v>0</v>
      </c>
      <c r="H826" s="35">
        <v>0</v>
      </c>
      <c r="I826" s="35">
        <f>Tabla1[[#This Row],[P.U. M.N.]]*Tabla1[[#This Row],[CANTIDADES DE REFERENCIA]]</f>
        <v>0</v>
      </c>
      <c r="J826" s="35">
        <f>Tabla1[[#This Row],[P.U. USD]]*Tabla1[[#This Row],[CANTIDADES DE REFERENCIA]]</f>
        <v>0</v>
      </c>
      <c r="K826" s="36"/>
      <c r="L826" s="36"/>
      <c r="M826" s="36"/>
      <c r="N826" s="37" t="s">
        <v>1277</v>
      </c>
      <c r="O826" s="37"/>
      <c r="P826" s="39"/>
      <c r="Q826" s="37" t="s">
        <v>1798</v>
      </c>
      <c r="R826" s="37"/>
      <c r="S826" s="37" t="s">
        <v>1764</v>
      </c>
      <c r="T826" s="31"/>
    </row>
    <row r="827" spans="1:20">
      <c r="A827" s="31"/>
      <c r="B827" s="32"/>
      <c r="C827" s="33"/>
      <c r="D827" s="32" t="s">
        <v>1799</v>
      </c>
      <c r="E827" s="33" t="s">
        <v>116</v>
      </c>
      <c r="F827" s="34">
        <v>1</v>
      </c>
      <c r="G827" s="35">
        <v>0</v>
      </c>
      <c r="H827" s="35">
        <v>0</v>
      </c>
      <c r="I827" s="35">
        <f>Tabla1[[#This Row],[P.U. M.N.]]*Tabla1[[#This Row],[CANTIDADES DE REFERENCIA]]</f>
        <v>0</v>
      </c>
      <c r="J827" s="35">
        <f>Tabla1[[#This Row],[P.U. USD]]*Tabla1[[#This Row],[CANTIDADES DE REFERENCIA]]</f>
        <v>0</v>
      </c>
      <c r="K827" s="36"/>
      <c r="L827" s="36"/>
      <c r="M827" s="36"/>
      <c r="N827" s="37" t="s">
        <v>1277</v>
      </c>
      <c r="O827" s="37"/>
      <c r="P827" s="39"/>
      <c r="Q827" s="37" t="s">
        <v>1800</v>
      </c>
      <c r="R827" s="37"/>
      <c r="S827" s="37" t="s">
        <v>1764</v>
      </c>
      <c r="T827" s="31"/>
    </row>
    <row r="828" spans="1:20">
      <c r="A828" s="31"/>
      <c r="B828" s="32"/>
      <c r="C828" s="33"/>
      <c r="D828" s="32" t="s">
        <v>1801</v>
      </c>
      <c r="E828" s="33" t="s">
        <v>116</v>
      </c>
      <c r="F828" s="34">
        <v>1</v>
      </c>
      <c r="G828" s="35">
        <v>0</v>
      </c>
      <c r="H828" s="35">
        <v>0</v>
      </c>
      <c r="I828" s="35">
        <f>Tabla1[[#This Row],[P.U. M.N.]]*Tabla1[[#This Row],[CANTIDADES DE REFERENCIA]]</f>
        <v>0</v>
      </c>
      <c r="J828" s="35">
        <f>Tabla1[[#This Row],[P.U. USD]]*Tabla1[[#This Row],[CANTIDADES DE REFERENCIA]]</f>
        <v>0</v>
      </c>
      <c r="K828" s="36"/>
      <c r="L828" s="36"/>
      <c r="M828" s="36"/>
      <c r="N828" s="37" t="s">
        <v>1277</v>
      </c>
      <c r="O828" s="37"/>
      <c r="P828" s="39"/>
      <c r="Q828" s="37" t="s">
        <v>1802</v>
      </c>
      <c r="R828" s="37"/>
      <c r="S828" s="37" t="s">
        <v>1764</v>
      </c>
      <c r="T828" s="31"/>
    </row>
    <row r="829" spans="1:20">
      <c r="A829" s="31"/>
      <c r="B829" s="32"/>
      <c r="C829" s="33"/>
      <c r="D829" s="32" t="s">
        <v>1803</v>
      </c>
      <c r="E829" s="33" t="s">
        <v>116</v>
      </c>
      <c r="F829" s="34">
        <v>1</v>
      </c>
      <c r="G829" s="35">
        <v>0</v>
      </c>
      <c r="H829" s="35">
        <v>0</v>
      </c>
      <c r="I829" s="35">
        <f>Tabla1[[#This Row],[P.U. M.N.]]*Tabla1[[#This Row],[CANTIDADES DE REFERENCIA]]</f>
        <v>0</v>
      </c>
      <c r="J829" s="35">
        <f>Tabla1[[#This Row],[P.U. USD]]*Tabla1[[#This Row],[CANTIDADES DE REFERENCIA]]</f>
        <v>0</v>
      </c>
      <c r="K829" s="36"/>
      <c r="L829" s="36"/>
      <c r="M829" s="36"/>
      <c r="N829" s="37" t="s">
        <v>1277</v>
      </c>
      <c r="O829" s="37"/>
      <c r="P829" s="39"/>
      <c r="Q829" s="37" t="s">
        <v>1804</v>
      </c>
      <c r="R829" s="37"/>
      <c r="S829" s="37" t="s">
        <v>1764</v>
      </c>
      <c r="T829" s="31"/>
    </row>
    <row r="830" spans="1:20">
      <c r="A830" s="31"/>
      <c r="B830" s="32"/>
      <c r="C830" s="33"/>
      <c r="D830" s="32" t="s">
        <v>1805</v>
      </c>
      <c r="E830" s="33" t="s">
        <v>135</v>
      </c>
      <c r="F830" s="34">
        <v>1</v>
      </c>
      <c r="G830" s="35">
        <v>0</v>
      </c>
      <c r="H830" s="35">
        <v>0</v>
      </c>
      <c r="I830" s="35">
        <f>Tabla1[[#This Row],[P.U. M.N.]]*Tabla1[[#This Row],[CANTIDADES DE REFERENCIA]]</f>
        <v>0</v>
      </c>
      <c r="J830" s="35">
        <f>Tabla1[[#This Row],[P.U. USD]]*Tabla1[[#This Row],[CANTIDADES DE REFERENCIA]]</f>
        <v>0</v>
      </c>
      <c r="K830" s="36"/>
      <c r="L830" s="36"/>
      <c r="M830" s="36"/>
      <c r="N830" s="37" t="s">
        <v>1277</v>
      </c>
      <c r="O830" s="37"/>
      <c r="P830" s="39"/>
      <c r="Q830" s="37" t="s">
        <v>1806</v>
      </c>
      <c r="R830" s="37"/>
      <c r="S830" s="37" t="s">
        <v>1764</v>
      </c>
      <c r="T830" s="31"/>
    </row>
    <row r="831" spans="1:20">
      <c r="A831" s="31"/>
      <c r="B831" s="32"/>
      <c r="C831" s="33"/>
      <c r="D831" s="32" t="s">
        <v>1807</v>
      </c>
      <c r="E831" s="33" t="s">
        <v>135</v>
      </c>
      <c r="F831" s="34">
        <v>1</v>
      </c>
      <c r="G831" s="35">
        <v>0</v>
      </c>
      <c r="H831" s="35">
        <v>0</v>
      </c>
      <c r="I831" s="35">
        <f>Tabla1[[#This Row],[P.U. M.N.]]*Tabla1[[#This Row],[CANTIDADES DE REFERENCIA]]</f>
        <v>0</v>
      </c>
      <c r="J831" s="35">
        <f>Tabla1[[#This Row],[P.U. USD]]*Tabla1[[#This Row],[CANTIDADES DE REFERENCIA]]</f>
        <v>0</v>
      </c>
      <c r="K831" s="36"/>
      <c r="L831" s="36"/>
      <c r="M831" s="36"/>
      <c r="N831" s="37" t="s">
        <v>1277</v>
      </c>
      <c r="O831" s="37"/>
      <c r="P831" s="39"/>
      <c r="Q831" s="37" t="s">
        <v>1808</v>
      </c>
      <c r="R831" s="37"/>
      <c r="S831" s="37" t="s">
        <v>1764</v>
      </c>
      <c r="T831" s="31"/>
    </row>
    <row r="832" spans="1:20">
      <c r="A832" s="31"/>
      <c r="B832" s="32"/>
      <c r="C832" s="33"/>
      <c r="D832" s="32" t="s">
        <v>1809</v>
      </c>
      <c r="E832" s="33" t="s">
        <v>116</v>
      </c>
      <c r="F832" s="34">
        <v>1</v>
      </c>
      <c r="G832" s="35">
        <v>0</v>
      </c>
      <c r="H832" s="35">
        <v>0</v>
      </c>
      <c r="I832" s="35">
        <f>Tabla1[[#This Row],[P.U. M.N.]]*Tabla1[[#This Row],[CANTIDADES DE REFERENCIA]]</f>
        <v>0</v>
      </c>
      <c r="J832" s="35">
        <f>Tabla1[[#This Row],[P.U. USD]]*Tabla1[[#This Row],[CANTIDADES DE REFERENCIA]]</f>
        <v>0</v>
      </c>
      <c r="K832" s="36"/>
      <c r="L832" s="36"/>
      <c r="M832" s="36"/>
      <c r="N832" s="37" t="s">
        <v>1277</v>
      </c>
      <c r="O832" s="37"/>
      <c r="P832" s="39"/>
      <c r="Q832" s="37" t="s">
        <v>1810</v>
      </c>
      <c r="R832" s="37"/>
      <c r="S832" s="37" t="s">
        <v>1764</v>
      </c>
      <c r="T832" s="31"/>
    </row>
    <row r="833" spans="1:20">
      <c r="A833" s="31"/>
      <c r="B833" s="32"/>
      <c r="C833" s="33"/>
      <c r="D833" s="32" t="s">
        <v>1811</v>
      </c>
      <c r="E833" s="33" t="s">
        <v>116</v>
      </c>
      <c r="F833" s="34">
        <v>1</v>
      </c>
      <c r="G833" s="35">
        <v>0</v>
      </c>
      <c r="H833" s="35">
        <v>0</v>
      </c>
      <c r="I833" s="35">
        <f>Tabla1[[#This Row],[P.U. M.N.]]*Tabla1[[#This Row],[CANTIDADES DE REFERENCIA]]</f>
        <v>0</v>
      </c>
      <c r="J833" s="35">
        <f>Tabla1[[#This Row],[P.U. USD]]*Tabla1[[#This Row],[CANTIDADES DE REFERENCIA]]</f>
        <v>0</v>
      </c>
      <c r="K833" s="36"/>
      <c r="L833" s="36"/>
      <c r="M833" s="36"/>
      <c r="N833" s="37" t="s">
        <v>1277</v>
      </c>
      <c r="O833" s="37"/>
      <c r="P833" s="39"/>
      <c r="Q833" s="37" t="s">
        <v>1812</v>
      </c>
      <c r="R833" s="37"/>
      <c r="S833" s="37" t="s">
        <v>1764</v>
      </c>
      <c r="T833" s="31"/>
    </row>
    <row r="834" spans="1:20">
      <c r="A834" s="31"/>
      <c r="B834" s="32"/>
      <c r="C834" s="33"/>
      <c r="D834" s="32" t="s">
        <v>1813</v>
      </c>
      <c r="E834" s="33" t="s">
        <v>135</v>
      </c>
      <c r="F834" s="34">
        <v>1</v>
      </c>
      <c r="G834" s="35">
        <v>0</v>
      </c>
      <c r="H834" s="35">
        <v>0</v>
      </c>
      <c r="I834" s="35">
        <f>Tabla1[[#This Row],[P.U. M.N.]]*Tabla1[[#This Row],[CANTIDADES DE REFERENCIA]]</f>
        <v>0</v>
      </c>
      <c r="J834" s="35">
        <f>Tabla1[[#This Row],[P.U. USD]]*Tabla1[[#This Row],[CANTIDADES DE REFERENCIA]]</f>
        <v>0</v>
      </c>
      <c r="K834" s="36"/>
      <c r="L834" s="36"/>
      <c r="M834" s="36"/>
      <c r="N834" s="37" t="s">
        <v>1277</v>
      </c>
      <c r="O834" s="37"/>
      <c r="P834" s="39"/>
      <c r="Q834" s="37" t="s">
        <v>1814</v>
      </c>
      <c r="R834" s="37"/>
      <c r="S834" s="37" t="s">
        <v>1764</v>
      </c>
      <c r="T834" s="31"/>
    </row>
    <row r="835" spans="1:20">
      <c r="A835" s="31"/>
      <c r="B835" s="32"/>
      <c r="C835" s="33"/>
      <c r="D835" s="32" t="s">
        <v>1815</v>
      </c>
      <c r="E835" s="33" t="s">
        <v>135</v>
      </c>
      <c r="F835" s="34">
        <v>1</v>
      </c>
      <c r="G835" s="35">
        <v>0</v>
      </c>
      <c r="H835" s="35">
        <v>0</v>
      </c>
      <c r="I835" s="35">
        <f>Tabla1[[#This Row],[P.U. M.N.]]*Tabla1[[#This Row],[CANTIDADES DE REFERENCIA]]</f>
        <v>0</v>
      </c>
      <c r="J835" s="35">
        <f>Tabla1[[#This Row],[P.U. USD]]*Tabla1[[#This Row],[CANTIDADES DE REFERENCIA]]</f>
        <v>0</v>
      </c>
      <c r="K835" s="36"/>
      <c r="L835" s="36"/>
      <c r="M835" s="36"/>
      <c r="N835" s="37" t="s">
        <v>1277</v>
      </c>
      <c r="O835" s="37"/>
      <c r="P835" s="39"/>
      <c r="Q835" s="37" t="s">
        <v>1816</v>
      </c>
      <c r="R835" s="37"/>
      <c r="S835" s="37" t="s">
        <v>1764</v>
      </c>
      <c r="T835" s="31"/>
    </row>
    <row r="836" spans="1:20">
      <c r="A836" s="31"/>
      <c r="B836" s="32"/>
      <c r="C836" s="33"/>
      <c r="D836" s="32" t="s">
        <v>1817</v>
      </c>
      <c r="E836" s="33" t="s">
        <v>116</v>
      </c>
      <c r="F836" s="34">
        <v>1</v>
      </c>
      <c r="G836" s="35">
        <v>0</v>
      </c>
      <c r="H836" s="35">
        <v>0</v>
      </c>
      <c r="I836" s="35">
        <f>Tabla1[[#This Row],[P.U. M.N.]]*Tabla1[[#This Row],[CANTIDADES DE REFERENCIA]]</f>
        <v>0</v>
      </c>
      <c r="J836" s="35">
        <f>Tabla1[[#This Row],[P.U. USD]]*Tabla1[[#This Row],[CANTIDADES DE REFERENCIA]]</f>
        <v>0</v>
      </c>
      <c r="K836" s="36"/>
      <c r="L836" s="36"/>
      <c r="M836" s="36"/>
      <c r="N836" s="37" t="s">
        <v>1277</v>
      </c>
      <c r="O836" s="37"/>
      <c r="P836" s="39"/>
      <c r="Q836" s="37" t="s">
        <v>1818</v>
      </c>
      <c r="R836" s="37"/>
      <c r="S836" s="37" t="s">
        <v>1764</v>
      </c>
      <c r="T836" s="31"/>
    </row>
    <row r="837" spans="1:20">
      <c r="A837" s="31"/>
      <c r="B837" s="32"/>
      <c r="C837" s="33"/>
      <c r="D837" s="32" t="s">
        <v>1819</v>
      </c>
      <c r="E837" s="33" t="s">
        <v>135</v>
      </c>
      <c r="F837" s="34">
        <v>1</v>
      </c>
      <c r="G837" s="35">
        <v>0</v>
      </c>
      <c r="H837" s="35">
        <v>0</v>
      </c>
      <c r="I837" s="35">
        <f>Tabla1[[#This Row],[P.U. M.N.]]*Tabla1[[#This Row],[CANTIDADES DE REFERENCIA]]</f>
        <v>0</v>
      </c>
      <c r="J837" s="35">
        <f>Tabla1[[#This Row],[P.U. USD]]*Tabla1[[#This Row],[CANTIDADES DE REFERENCIA]]</f>
        <v>0</v>
      </c>
      <c r="K837" s="36"/>
      <c r="L837" s="36"/>
      <c r="M837" s="36"/>
      <c r="N837" s="37" t="s">
        <v>1277</v>
      </c>
      <c r="O837" s="37"/>
      <c r="P837" s="39"/>
      <c r="Q837" s="37" t="s">
        <v>1820</v>
      </c>
      <c r="R837" s="37"/>
      <c r="S837" s="37" t="s">
        <v>1764</v>
      </c>
      <c r="T837" s="31"/>
    </row>
    <row r="838" spans="1:20">
      <c r="A838" s="31"/>
      <c r="B838" s="32"/>
      <c r="C838" s="33"/>
      <c r="D838" s="32" t="s">
        <v>1821</v>
      </c>
      <c r="E838" s="33" t="s">
        <v>135</v>
      </c>
      <c r="F838" s="34">
        <v>1</v>
      </c>
      <c r="G838" s="35">
        <v>0</v>
      </c>
      <c r="H838" s="35">
        <v>0</v>
      </c>
      <c r="I838" s="35">
        <f>Tabla1[[#This Row],[P.U. M.N.]]*Tabla1[[#This Row],[CANTIDADES DE REFERENCIA]]</f>
        <v>0</v>
      </c>
      <c r="J838" s="35">
        <f>Tabla1[[#This Row],[P.U. USD]]*Tabla1[[#This Row],[CANTIDADES DE REFERENCIA]]</f>
        <v>0</v>
      </c>
      <c r="K838" s="36"/>
      <c r="L838" s="36"/>
      <c r="M838" s="36"/>
      <c r="N838" s="37" t="s">
        <v>1277</v>
      </c>
      <c r="O838" s="37"/>
      <c r="P838" s="39"/>
      <c r="Q838" s="37" t="s">
        <v>1822</v>
      </c>
      <c r="R838" s="37"/>
      <c r="S838" s="37" t="s">
        <v>1764</v>
      </c>
      <c r="T838" s="31"/>
    </row>
    <row r="839" spans="1:20">
      <c r="A839" s="31"/>
      <c r="B839" s="32"/>
      <c r="C839" s="33"/>
      <c r="D839" s="32" t="s">
        <v>1823</v>
      </c>
      <c r="E839" s="33" t="s">
        <v>135</v>
      </c>
      <c r="F839" s="34">
        <v>1</v>
      </c>
      <c r="G839" s="35">
        <v>0</v>
      </c>
      <c r="H839" s="35">
        <v>0</v>
      </c>
      <c r="I839" s="35">
        <f>Tabla1[[#This Row],[P.U. M.N.]]*Tabla1[[#This Row],[CANTIDADES DE REFERENCIA]]</f>
        <v>0</v>
      </c>
      <c r="J839" s="35">
        <f>Tabla1[[#This Row],[P.U. USD]]*Tabla1[[#This Row],[CANTIDADES DE REFERENCIA]]</f>
        <v>0</v>
      </c>
      <c r="K839" s="36"/>
      <c r="L839" s="36"/>
      <c r="M839" s="36"/>
      <c r="N839" s="37" t="s">
        <v>1277</v>
      </c>
      <c r="O839" s="37"/>
      <c r="P839" s="39"/>
      <c r="Q839" s="37" t="s">
        <v>1824</v>
      </c>
      <c r="R839" s="37"/>
      <c r="S839" s="37" t="s">
        <v>1764</v>
      </c>
      <c r="T839" s="31"/>
    </row>
    <row r="840" spans="1:20">
      <c r="A840" s="31"/>
      <c r="B840" s="32"/>
      <c r="C840" s="33"/>
      <c r="D840" s="32" t="s">
        <v>1825</v>
      </c>
      <c r="E840" s="33" t="s">
        <v>116</v>
      </c>
      <c r="F840" s="34">
        <v>1</v>
      </c>
      <c r="G840" s="35">
        <v>0</v>
      </c>
      <c r="H840" s="35">
        <v>0</v>
      </c>
      <c r="I840" s="35">
        <f>Tabla1[[#This Row],[P.U. M.N.]]*Tabla1[[#This Row],[CANTIDADES DE REFERENCIA]]</f>
        <v>0</v>
      </c>
      <c r="J840" s="35">
        <f>Tabla1[[#This Row],[P.U. USD]]*Tabla1[[#This Row],[CANTIDADES DE REFERENCIA]]</f>
        <v>0</v>
      </c>
      <c r="K840" s="36"/>
      <c r="L840" s="36"/>
      <c r="M840" s="36"/>
      <c r="N840" s="37" t="s">
        <v>1277</v>
      </c>
      <c r="O840" s="37"/>
      <c r="P840" s="39"/>
      <c r="Q840" s="37" t="s">
        <v>1826</v>
      </c>
      <c r="R840" s="37"/>
      <c r="S840" s="37" t="s">
        <v>1764</v>
      </c>
      <c r="T840" s="31"/>
    </row>
    <row r="841" spans="1:20">
      <c r="A841" s="31"/>
      <c r="B841" s="32"/>
      <c r="C841" s="33"/>
      <c r="D841" s="32" t="s">
        <v>1827</v>
      </c>
      <c r="E841" s="33" t="s">
        <v>116</v>
      </c>
      <c r="F841" s="34">
        <v>1</v>
      </c>
      <c r="G841" s="35">
        <v>0</v>
      </c>
      <c r="H841" s="35">
        <v>0</v>
      </c>
      <c r="I841" s="35">
        <f>Tabla1[[#This Row],[P.U. M.N.]]*Tabla1[[#This Row],[CANTIDADES DE REFERENCIA]]</f>
        <v>0</v>
      </c>
      <c r="J841" s="35">
        <f>Tabla1[[#This Row],[P.U. USD]]*Tabla1[[#This Row],[CANTIDADES DE REFERENCIA]]</f>
        <v>0</v>
      </c>
      <c r="K841" s="36"/>
      <c r="L841" s="36"/>
      <c r="M841" s="36"/>
      <c r="N841" s="37" t="s">
        <v>1277</v>
      </c>
      <c r="O841" s="37"/>
      <c r="P841" s="39"/>
      <c r="Q841" s="37" t="s">
        <v>1828</v>
      </c>
      <c r="R841" s="37"/>
      <c r="S841" s="37" t="s">
        <v>1764</v>
      </c>
      <c r="T841" s="31"/>
    </row>
    <row r="842" spans="1:20">
      <c r="A842" s="31"/>
      <c r="B842" s="32"/>
      <c r="C842" s="33"/>
      <c r="D842" s="32" t="s">
        <v>1829</v>
      </c>
      <c r="E842" s="33" t="s">
        <v>135</v>
      </c>
      <c r="F842" s="34">
        <v>1</v>
      </c>
      <c r="G842" s="35">
        <v>0</v>
      </c>
      <c r="H842" s="35">
        <v>0</v>
      </c>
      <c r="I842" s="35">
        <f>Tabla1[[#This Row],[P.U. M.N.]]*Tabla1[[#This Row],[CANTIDADES DE REFERENCIA]]</f>
        <v>0</v>
      </c>
      <c r="J842" s="35">
        <f>Tabla1[[#This Row],[P.U. USD]]*Tabla1[[#This Row],[CANTIDADES DE REFERENCIA]]</f>
        <v>0</v>
      </c>
      <c r="K842" s="36"/>
      <c r="L842" s="36"/>
      <c r="M842" s="36"/>
      <c r="N842" s="37" t="s">
        <v>1277</v>
      </c>
      <c r="O842" s="37"/>
      <c r="P842" s="39"/>
      <c r="Q842" s="37" t="s">
        <v>1830</v>
      </c>
      <c r="R842" s="37"/>
      <c r="S842" s="37" t="s">
        <v>1764</v>
      </c>
      <c r="T842" s="31"/>
    </row>
    <row r="843" spans="1:20">
      <c r="A843" s="31"/>
      <c r="B843" s="32"/>
      <c r="C843" s="33"/>
      <c r="D843" s="32" t="s">
        <v>1831</v>
      </c>
      <c r="E843" s="33" t="s">
        <v>135</v>
      </c>
      <c r="F843" s="34">
        <v>1</v>
      </c>
      <c r="G843" s="35">
        <v>0</v>
      </c>
      <c r="H843" s="35">
        <v>0</v>
      </c>
      <c r="I843" s="35">
        <f>Tabla1[[#This Row],[P.U. M.N.]]*Tabla1[[#This Row],[CANTIDADES DE REFERENCIA]]</f>
        <v>0</v>
      </c>
      <c r="J843" s="35">
        <f>Tabla1[[#This Row],[P.U. USD]]*Tabla1[[#This Row],[CANTIDADES DE REFERENCIA]]</f>
        <v>0</v>
      </c>
      <c r="K843" s="36"/>
      <c r="L843" s="36"/>
      <c r="M843" s="36"/>
      <c r="N843" s="37" t="s">
        <v>1277</v>
      </c>
      <c r="O843" s="37"/>
      <c r="P843" s="39"/>
      <c r="Q843" s="37" t="s">
        <v>1832</v>
      </c>
      <c r="R843" s="37"/>
      <c r="S843" s="37" t="s">
        <v>1764</v>
      </c>
      <c r="T843" s="31"/>
    </row>
    <row r="844" spans="1:20">
      <c r="A844" s="31"/>
      <c r="B844" s="32"/>
      <c r="C844" s="33"/>
      <c r="D844" s="32" t="s">
        <v>1833</v>
      </c>
      <c r="E844" s="33" t="s">
        <v>135</v>
      </c>
      <c r="F844" s="34">
        <v>1</v>
      </c>
      <c r="G844" s="35">
        <v>0</v>
      </c>
      <c r="H844" s="35">
        <v>0</v>
      </c>
      <c r="I844" s="35">
        <f>Tabla1[[#This Row],[P.U. M.N.]]*Tabla1[[#This Row],[CANTIDADES DE REFERENCIA]]</f>
        <v>0</v>
      </c>
      <c r="J844" s="35">
        <f>Tabla1[[#This Row],[P.U. USD]]*Tabla1[[#This Row],[CANTIDADES DE REFERENCIA]]</f>
        <v>0</v>
      </c>
      <c r="K844" s="36"/>
      <c r="L844" s="36"/>
      <c r="M844" s="36"/>
      <c r="N844" s="37" t="s">
        <v>1277</v>
      </c>
      <c r="O844" s="37" t="s">
        <v>1278</v>
      </c>
      <c r="P844" s="39"/>
      <c r="Q844" s="37" t="s">
        <v>1834</v>
      </c>
      <c r="R844" s="37"/>
      <c r="S844" s="37" t="s">
        <v>1835</v>
      </c>
      <c r="T844" s="31"/>
    </row>
    <row r="845" spans="1:20">
      <c r="A845" s="31"/>
      <c r="B845" s="32"/>
      <c r="C845" s="33"/>
      <c r="D845" s="32" t="s">
        <v>1836</v>
      </c>
      <c r="E845" s="33" t="s">
        <v>116</v>
      </c>
      <c r="F845" s="34">
        <v>1</v>
      </c>
      <c r="G845" s="35">
        <v>0</v>
      </c>
      <c r="H845" s="35">
        <v>0</v>
      </c>
      <c r="I845" s="35">
        <f>Tabla1[[#This Row],[P.U. M.N.]]*Tabla1[[#This Row],[CANTIDADES DE REFERENCIA]]</f>
        <v>0</v>
      </c>
      <c r="J845" s="35">
        <f>Tabla1[[#This Row],[P.U. USD]]*Tabla1[[#This Row],[CANTIDADES DE REFERENCIA]]</f>
        <v>0</v>
      </c>
      <c r="K845" s="36"/>
      <c r="L845" s="36"/>
      <c r="M845" s="36"/>
      <c r="N845" s="37" t="s">
        <v>1277</v>
      </c>
      <c r="O845" s="37" t="s">
        <v>1278</v>
      </c>
      <c r="P845" s="39"/>
      <c r="Q845" s="37" t="s">
        <v>1837</v>
      </c>
      <c r="R845" s="37"/>
      <c r="S845" s="37" t="s">
        <v>1835</v>
      </c>
      <c r="T845" s="31"/>
    </row>
    <row r="846" spans="1:20">
      <c r="A846" s="31"/>
      <c r="B846" s="32"/>
      <c r="C846" s="33"/>
      <c r="D846" s="32" t="s">
        <v>1838</v>
      </c>
      <c r="E846" s="33" t="s">
        <v>116</v>
      </c>
      <c r="F846" s="34">
        <v>1</v>
      </c>
      <c r="G846" s="35">
        <v>0</v>
      </c>
      <c r="H846" s="35">
        <v>0</v>
      </c>
      <c r="I846" s="35">
        <f>Tabla1[[#This Row],[P.U. M.N.]]*Tabla1[[#This Row],[CANTIDADES DE REFERENCIA]]</f>
        <v>0</v>
      </c>
      <c r="J846" s="35">
        <f>Tabla1[[#This Row],[P.U. USD]]*Tabla1[[#This Row],[CANTIDADES DE REFERENCIA]]</f>
        <v>0</v>
      </c>
      <c r="K846" s="36"/>
      <c r="L846" s="36"/>
      <c r="M846" s="36"/>
      <c r="N846" s="37" t="s">
        <v>1277</v>
      </c>
      <c r="O846" s="37" t="s">
        <v>1278</v>
      </c>
      <c r="P846" s="39"/>
      <c r="Q846" s="37" t="s">
        <v>1839</v>
      </c>
      <c r="R846" s="37"/>
      <c r="S846" s="37" t="s">
        <v>1835</v>
      </c>
      <c r="T846" s="31"/>
    </row>
    <row r="847" spans="1:20">
      <c r="A847" s="31"/>
      <c r="B847" s="32"/>
      <c r="C847" s="33"/>
      <c r="D847" s="32" t="s">
        <v>1840</v>
      </c>
      <c r="E847" s="33" t="s">
        <v>116</v>
      </c>
      <c r="F847" s="34">
        <v>1</v>
      </c>
      <c r="G847" s="35">
        <v>0</v>
      </c>
      <c r="H847" s="35">
        <v>0</v>
      </c>
      <c r="I847" s="35">
        <f>Tabla1[[#This Row],[P.U. M.N.]]*Tabla1[[#This Row],[CANTIDADES DE REFERENCIA]]</f>
        <v>0</v>
      </c>
      <c r="J847" s="35">
        <f>Tabla1[[#This Row],[P.U. USD]]*Tabla1[[#This Row],[CANTIDADES DE REFERENCIA]]</f>
        <v>0</v>
      </c>
      <c r="K847" s="36"/>
      <c r="L847" s="36"/>
      <c r="M847" s="36"/>
      <c r="N847" s="37" t="s">
        <v>1277</v>
      </c>
      <c r="O847" s="37" t="s">
        <v>1278</v>
      </c>
      <c r="P847" s="39"/>
      <c r="Q847" s="37" t="s">
        <v>1841</v>
      </c>
      <c r="R847" s="37"/>
      <c r="S847" s="37" t="s">
        <v>1835</v>
      </c>
      <c r="T847" s="31"/>
    </row>
    <row r="848" spans="1:20">
      <c r="A848" s="31"/>
      <c r="B848" s="32"/>
      <c r="C848" s="33"/>
      <c r="D848" s="32" t="s">
        <v>1842</v>
      </c>
      <c r="E848" s="33" t="s">
        <v>116</v>
      </c>
      <c r="F848" s="34">
        <v>1</v>
      </c>
      <c r="G848" s="35">
        <v>0</v>
      </c>
      <c r="H848" s="35">
        <v>0</v>
      </c>
      <c r="I848" s="35">
        <f>Tabla1[[#This Row],[P.U. M.N.]]*Tabla1[[#This Row],[CANTIDADES DE REFERENCIA]]</f>
        <v>0</v>
      </c>
      <c r="J848" s="35">
        <f>Tabla1[[#This Row],[P.U. USD]]*Tabla1[[#This Row],[CANTIDADES DE REFERENCIA]]</f>
        <v>0</v>
      </c>
      <c r="K848" s="36"/>
      <c r="L848" s="36"/>
      <c r="M848" s="36"/>
      <c r="N848" s="37" t="s">
        <v>1277</v>
      </c>
      <c r="O848" s="37" t="s">
        <v>1278</v>
      </c>
      <c r="P848" s="39"/>
      <c r="Q848" s="37" t="s">
        <v>1843</v>
      </c>
      <c r="R848" s="37"/>
      <c r="S848" s="37" t="s">
        <v>1835</v>
      </c>
      <c r="T848" s="31"/>
    </row>
    <row r="849" spans="1:20">
      <c r="A849" s="31"/>
      <c r="B849" s="32"/>
      <c r="C849" s="33"/>
      <c r="D849" s="32" t="s">
        <v>1844</v>
      </c>
      <c r="E849" s="33" t="s">
        <v>116</v>
      </c>
      <c r="F849" s="34">
        <v>1</v>
      </c>
      <c r="G849" s="35">
        <v>0</v>
      </c>
      <c r="H849" s="35">
        <v>0</v>
      </c>
      <c r="I849" s="35">
        <f>Tabla1[[#This Row],[P.U. M.N.]]*Tabla1[[#This Row],[CANTIDADES DE REFERENCIA]]</f>
        <v>0</v>
      </c>
      <c r="J849" s="35">
        <f>Tabla1[[#This Row],[P.U. USD]]*Tabla1[[#This Row],[CANTIDADES DE REFERENCIA]]</f>
        <v>0</v>
      </c>
      <c r="K849" s="36"/>
      <c r="L849" s="36"/>
      <c r="M849" s="36"/>
      <c r="N849" s="37" t="s">
        <v>1277</v>
      </c>
      <c r="O849" s="37" t="s">
        <v>1278</v>
      </c>
      <c r="P849" s="39"/>
      <c r="Q849" s="37" t="s">
        <v>1845</v>
      </c>
      <c r="R849" s="37"/>
      <c r="S849" s="37" t="s">
        <v>1835</v>
      </c>
      <c r="T849" s="31"/>
    </row>
    <row r="850" spans="1:20">
      <c r="A850" s="31"/>
      <c r="B850" s="32"/>
      <c r="C850" s="33"/>
      <c r="D850" s="32" t="s">
        <v>1846</v>
      </c>
      <c r="E850" s="33" t="s">
        <v>116</v>
      </c>
      <c r="F850" s="34">
        <v>1</v>
      </c>
      <c r="G850" s="35">
        <v>0</v>
      </c>
      <c r="H850" s="35">
        <v>0</v>
      </c>
      <c r="I850" s="35">
        <f>Tabla1[[#This Row],[P.U. M.N.]]*Tabla1[[#This Row],[CANTIDADES DE REFERENCIA]]</f>
        <v>0</v>
      </c>
      <c r="J850" s="35">
        <f>Tabla1[[#This Row],[P.U. USD]]*Tabla1[[#This Row],[CANTIDADES DE REFERENCIA]]</f>
        <v>0</v>
      </c>
      <c r="K850" s="36"/>
      <c r="L850" s="36"/>
      <c r="M850" s="36"/>
      <c r="N850" s="37" t="s">
        <v>1277</v>
      </c>
      <c r="O850" s="37" t="s">
        <v>1278</v>
      </c>
      <c r="P850" s="39"/>
      <c r="Q850" s="37" t="s">
        <v>1847</v>
      </c>
      <c r="R850" s="37"/>
      <c r="S850" s="37" t="s">
        <v>1835</v>
      </c>
      <c r="T850" s="31"/>
    </row>
    <row r="851" spans="1:20">
      <c r="A851" s="31"/>
      <c r="B851" s="32"/>
      <c r="C851" s="33"/>
      <c r="D851" s="32" t="s">
        <v>1848</v>
      </c>
      <c r="E851" s="33" t="s">
        <v>116</v>
      </c>
      <c r="F851" s="34">
        <v>1</v>
      </c>
      <c r="G851" s="35">
        <v>0</v>
      </c>
      <c r="H851" s="35">
        <v>0</v>
      </c>
      <c r="I851" s="35">
        <f>Tabla1[[#This Row],[P.U. M.N.]]*Tabla1[[#This Row],[CANTIDADES DE REFERENCIA]]</f>
        <v>0</v>
      </c>
      <c r="J851" s="35">
        <f>Tabla1[[#This Row],[P.U. USD]]*Tabla1[[#This Row],[CANTIDADES DE REFERENCIA]]</f>
        <v>0</v>
      </c>
      <c r="K851" s="36"/>
      <c r="L851" s="36"/>
      <c r="M851" s="36"/>
      <c r="N851" s="37" t="s">
        <v>1849</v>
      </c>
      <c r="O851" s="37"/>
      <c r="P851" s="39"/>
      <c r="Q851" s="37" t="s">
        <v>1850</v>
      </c>
      <c r="R851" s="37"/>
      <c r="S851" s="37"/>
      <c r="T851" s="31"/>
    </row>
    <row r="852" spans="1:20">
      <c r="A852" s="31"/>
      <c r="B852" s="32"/>
      <c r="C852" s="33"/>
      <c r="D852" s="32" t="s">
        <v>1851</v>
      </c>
      <c r="E852" s="33" t="s">
        <v>54</v>
      </c>
      <c r="F852" s="34">
        <v>1</v>
      </c>
      <c r="G852" s="35">
        <v>0</v>
      </c>
      <c r="H852" s="35">
        <v>0</v>
      </c>
      <c r="I852" s="35">
        <f>Tabla1[[#This Row],[P.U. M.N.]]*Tabla1[[#This Row],[CANTIDADES DE REFERENCIA]]</f>
        <v>0</v>
      </c>
      <c r="J852" s="35">
        <f>Tabla1[[#This Row],[P.U. USD]]*Tabla1[[#This Row],[CANTIDADES DE REFERENCIA]]</f>
        <v>0</v>
      </c>
      <c r="K852" s="36"/>
      <c r="L852" s="36"/>
      <c r="M852" s="36"/>
      <c r="N852" s="37" t="s">
        <v>1849</v>
      </c>
      <c r="O852" s="37"/>
      <c r="P852" s="39"/>
      <c r="Q852" s="37" t="s">
        <v>1852</v>
      </c>
      <c r="R852" s="37"/>
      <c r="S852" s="37"/>
      <c r="T852" s="31"/>
    </row>
    <row r="853" spans="1:20">
      <c r="A853" s="31"/>
      <c r="B853" s="32"/>
      <c r="C853" s="33"/>
      <c r="D853" s="32" t="s">
        <v>1853</v>
      </c>
      <c r="E853" s="33" t="s">
        <v>116</v>
      </c>
      <c r="F853" s="34">
        <v>1</v>
      </c>
      <c r="G853" s="35">
        <v>0</v>
      </c>
      <c r="H853" s="35">
        <v>0</v>
      </c>
      <c r="I853" s="35">
        <f>Tabla1[[#This Row],[P.U. M.N.]]*Tabla1[[#This Row],[CANTIDADES DE REFERENCIA]]</f>
        <v>0</v>
      </c>
      <c r="J853" s="35">
        <f>Tabla1[[#This Row],[P.U. USD]]*Tabla1[[#This Row],[CANTIDADES DE REFERENCIA]]</f>
        <v>0</v>
      </c>
      <c r="K853" s="36"/>
      <c r="L853" s="36"/>
      <c r="M853" s="36"/>
      <c r="N853" s="37" t="s">
        <v>1849</v>
      </c>
      <c r="O853" s="37"/>
      <c r="P853" s="39"/>
      <c r="Q853" s="37" t="s">
        <v>1854</v>
      </c>
      <c r="R853" s="37"/>
      <c r="S853" s="37"/>
      <c r="T853" s="31"/>
    </row>
    <row r="854" spans="1:20">
      <c r="A854" s="31"/>
      <c r="B854" s="32"/>
      <c r="C854" s="33"/>
      <c r="D854" s="32" t="s">
        <v>1855</v>
      </c>
      <c r="E854" s="33" t="s">
        <v>54</v>
      </c>
      <c r="F854" s="34">
        <v>1</v>
      </c>
      <c r="G854" s="35">
        <v>0</v>
      </c>
      <c r="H854" s="35">
        <v>0</v>
      </c>
      <c r="I854" s="35">
        <f>Tabla1[[#This Row],[P.U. M.N.]]*Tabla1[[#This Row],[CANTIDADES DE REFERENCIA]]</f>
        <v>0</v>
      </c>
      <c r="J854" s="35">
        <f>Tabla1[[#This Row],[P.U. USD]]*Tabla1[[#This Row],[CANTIDADES DE REFERENCIA]]</f>
        <v>0</v>
      </c>
      <c r="K854" s="36"/>
      <c r="L854" s="36"/>
      <c r="M854" s="36"/>
      <c r="N854" s="37" t="s">
        <v>1849</v>
      </c>
      <c r="O854" s="37"/>
      <c r="P854" s="39"/>
      <c r="Q854" s="37" t="s">
        <v>1856</v>
      </c>
      <c r="R854" s="37"/>
      <c r="S854" s="37"/>
      <c r="T854" s="31"/>
    </row>
    <row r="855" spans="1:20">
      <c r="A855" s="31"/>
      <c r="B855" s="32"/>
      <c r="C855" s="33"/>
      <c r="D855" s="32" t="s">
        <v>1857</v>
      </c>
      <c r="E855" s="33" t="s">
        <v>1858</v>
      </c>
      <c r="F855" s="34">
        <v>1</v>
      </c>
      <c r="G855" s="35">
        <v>0</v>
      </c>
      <c r="H855" s="35">
        <v>0</v>
      </c>
      <c r="I855" s="35">
        <f>Tabla1[[#This Row],[P.U. M.N.]]*Tabla1[[#This Row],[CANTIDADES DE REFERENCIA]]</f>
        <v>0</v>
      </c>
      <c r="J855" s="35">
        <f>Tabla1[[#This Row],[P.U. USD]]*Tabla1[[#This Row],[CANTIDADES DE REFERENCIA]]</f>
        <v>0</v>
      </c>
      <c r="K855" s="36"/>
      <c r="L855" s="36"/>
      <c r="M855" s="36"/>
      <c r="N855" s="37" t="s">
        <v>1859</v>
      </c>
      <c r="O855" s="37"/>
      <c r="P855" s="39"/>
      <c r="Q855" s="37" t="s">
        <v>1860</v>
      </c>
      <c r="R855" s="37"/>
      <c r="S855" s="37"/>
      <c r="T855" s="31"/>
    </row>
    <row r="856" spans="1:20">
      <c r="A856" s="31"/>
      <c r="B856" s="32"/>
      <c r="C856" s="33"/>
      <c r="D856" s="32" t="s">
        <v>1861</v>
      </c>
      <c r="E856" s="33" t="s">
        <v>1858</v>
      </c>
      <c r="F856" s="34">
        <v>1</v>
      </c>
      <c r="G856" s="35">
        <v>0</v>
      </c>
      <c r="H856" s="35">
        <v>0</v>
      </c>
      <c r="I856" s="35">
        <f>Tabla1[[#This Row],[P.U. M.N.]]*Tabla1[[#This Row],[CANTIDADES DE REFERENCIA]]</f>
        <v>0</v>
      </c>
      <c r="J856" s="35">
        <f>Tabla1[[#This Row],[P.U. USD]]*Tabla1[[#This Row],[CANTIDADES DE REFERENCIA]]</f>
        <v>0</v>
      </c>
      <c r="K856" s="36"/>
      <c r="L856" s="36"/>
      <c r="M856" s="36"/>
      <c r="N856" s="37" t="s">
        <v>1859</v>
      </c>
      <c r="O856" s="37"/>
      <c r="P856" s="39"/>
      <c r="Q856" s="37" t="s">
        <v>1862</v>
      </c>
      <c r="R856" s="37"/>
      <c r="S856" s="37"/>
      <c r="T856" s="31"/>
    </row>
    <row r="857" spans="1:20">
      <c r="A857" s="31"/>
      <c r="B857" s="32"/>
      <c r="C857" s="33"/>
      <c r="D857" s="32" t="s">
        <v>1863</v>
      </c>
      <c r="E857" s="33" t="s">
        <v>1858</v>
      </c>
      <c r="F857" s="34">
        <v>1</v>
      </c>
      <c r="G857" s="35">
        <v>0</v>
      </c>
      <c r="H857" s="35">
        <v>0</v>
      </c>
      <c r="I857" s="35">
        <f>Tabla1[[#This Row],[P.U. M.N.]]*Tabla1[[#This Row],[CANTIDADES DE REFERENCIA]]</f>
        <v>0</v>
      </c>
      <c r="J857" s="35">
        <f>Tabla1[[#This Row],[P.U. USD]]*Tabla1[[#This Row],[CANTIDADES DE REFERENCIA]]</f>
        <v>0</v>
      </c>
      <c r="K857" s="36"/>
      <c r="L857" s="36"/>
      <c r="M857" s="36"/>
      <c r="N857" s="37" t="s">
        <v>1859</v>
      </c>
      <c r="O857" s="37"/>
      <c r="P857" s="39"/>
      <c r="Q857" s="37" t="s">
        <v>1864</v>
      </c>
      <c r="R857" s="37"/>
      <c r="S857" s="37"/>
      <c r="T857" s="31"/>
    </row>
    <row r="858" spans="1:20">
      <c r="A858" s="31"/>
      <c r="B858" s="32"/>
      <c r="C858" s="33"/>
      <c r="D858" s="32" t="s">
        <v>1865</v>
      </c>
      <c r="E858" s="33" t="s">
        <v>1858</v>
      </c>
      <c r="F858" s="34">
        <v>1</v>
      </c>
      <c r="G858" s="35">
        <v>0</v>
      </c>
      <c r="H858" s="35">
        <v>0</v>
      </c>
      <c r="I858" s="35">
        <f>Tabla1[[#This Row],[P.U. M.N.]]*Tabla1[[#This Row],[CANTIDADES DE REFERENCIA]]</f>
        <v>0</v>
      </c>
      <c r="J858" s="35">
        <f>Tabla1[[#This Row],[P.U. USD]]*Tabla1[[#This Row],[CANTIDADES DE REFERENCIA]]</f>
        <v>0</v>
      </c>
      <c r="K858" s="36"/>
      <c r="L858" s="36"/>
      <c r="M858" s="36"/>
      <c r="N858" s="37" t="s">
        <v>1859</v>
      </c>
      <c r="O858" s="37"/>
      <c r="P858" s="39"/>
      <c r="Q858" s="37" t="s">
        <v>1866</v>
      </c>
      <c r="R858" s="37"/>
      <c r="S858" s="37"/>
      <c r="T858" s="31"/>
    </row>
    <row r="859" spans="1:20">
      <c r="A859" s="31"/>
      <c r="B859" s="32"/>
      <c r="C859" s="33"/>
      <c r="D859" s="32" t="s">
        <v>1867</v>
      </c>
      <c r="E859" s="33" t="s">
        <v>1858</v>
      </c>
      <c r="F859" s="34">
        <v>1</v>
      </c>
      <c r="G859" s="35">
        <v>0</v>
      </c>
      <c r="H859" s="35">
        <v>0</v>
      </c>
      <c r="I859" s="35">
        <f>Tabla1[[#This Row],[P.U. M.N.]]*Tabla1[[#This Row],[CANTIDADES DE REFERENCIA]]</f>
        <v>0</v>
      </c>
      <c r="J859" s="35">
        <f>Tabla1[[#This Row],[P.U. USD]]*Tabla1[[#This Row],[CANTIDADES DE REFERENCIA]]</f>
        <v>0</v>
      </c>
      <c r="K859" s="36"/>
      <c r="L859" s="36"/>
      <c r="M859" s="36"/>
      <c r="N859" s="37" t="s">
        <v>1859</v>
      </c>
      <c r="O859" s="37"/>
      <c r="P859" s="39"/>
      <c r="Q859" s="37" t="s">
        <v>1868</v>
      </c>
      <c r="R859" s="37"/>
      <c r="S859" s="37"/>
      <c r="T859" s="31"/>
    </row>
    <row r="860" spans="1:20">
      <c r="A860" s="31"/>
      <c r="B860" s="32"/>
      <c r="C860" s="33"/>
      <c r="D860" s="32" t="s">
        <v>1869</v>
      </c>
      <c r="E860" s="33" t="s">
        <v>1858</v>
      </c>
      <c r="F860" s="34">
        <v>1</v>
      </c>
      <c r="G860" s="35">
        <v>0</v>
      </c>
      <c r="H860" s="35">
        <v>0</v>
      </c>
      <c r="I860" s="35">
        <f>Tabla1[[#This Row],[P.U. M.N.]]*Tabla1[[#This Row],[CANTIDADES DE REFERENCIA]]</f>
        <v>0</v>
      </c>
      <c r="J860" s="35">
        <f>Tabla1[[#This Row],[P.U. USD]]*Tabla1[[#This Row],[CANTIDADES DE REFERENCIA]]</f>
        <v>0</v>
      </c>
      <c r="K860" s="36"/>
      <c r="L860" s="36"/>
      <c r="M860" s="36"/>
      <c r="N860" s="37" t="s">
        <v>1859</v>
      </c>
      <c r="O860" s="37"/>
      <c r="P860" s="39"/>
      <c r="Q860" s="37" t="s">
        <v>1870</v>
      </c>
      <c r="R860" s="37"/>
      <c r="S860" s="37"/>
      <c r="T860" s="31"/>
    </row>
    <row r="861" spans="1:20">
      <c r="A861" s="31"/>
      <c r="B861" s="32"/>
      <c r="C861" s="33"/>
      <c r="D861" s="32" t="s">
        <v>1871</v>
      </c>
      <c r="E861" s="33" t="s">
        <v>1858</v>
      </c>
      <c r="F861" s="34">
        <v>1</v>
      </c>
      <c r="G861" s="35">
        <v>0</v>
      </c>
      <c r="H861" s="35">
        <v>0</v>
      </c>
      <c r="I861" s="35">
        <f>Tabla1[[#This Row],[P.U. M.N.]]*Tabla1[[#This Row],[CANTIDADES DE REFERENCIA]]</f>
        <v>0</v>
      </c>
      <c r="J861" s="35">
        <f>Tabla1[[#This Row],[P.U. USD]]*Tabla1[[#This Row],[CANTIDADES DE REFERENCIA]]</f>
        <v>0</v>
      </c>
      <c r="K861" s="36"/>
      <c r="L861" s="36"/>
      <c r="M861" s="36"/>
      <c r="N861" s="37" t="s">
        <v>1859</v>
      </c>
      <c r="O861" s="37"/>
      <c r="P861" s="39"/>
      <c r="Q861" s="37" t="s">
        <v>1872</v>
      </c>
      <c r="R861" s="37"/>
      <c r="S861" s="37"/>
      <c r="T861" s="31"/>
    </row>
    <row r="862" spans="1:20">
      <c r="A862" s="31"/>
      <c r="B862" s="32"/>
      <c r="C862" s="33"/>
      <c r="D862" s="32" t="s">
        <v>1873</v>
      </c>
      <c r="E862" s="33" t="s">
        <v>1858</v>
      </c>
      <c r="F862" s="34">
        <v>1</v>
      </c>
      <c r="G862" s="35">
        <v>0</v>
      </c>
      <c r="H862" s="35">
        <v>0</v>
      </c>
      <c r="I862" s="35">
        <f>Tabla1[[#This Row],[P.U. M.N.]]*Tabla1[[#This Row],[CANTIDADES DE REFERENCIA]]</f>
        <v>0</v>
      </c>
      <c r="J862" s="35">
        <f>Tabla1[[#This Row],[P.U. USD]]*Tabla1[[#This Row],[CANTIDADES DE REFERENCIA]]</f>
        <v>0</v>
      </c>
      <c r="K862" s="36"/>
      <c r="L862" s="36"/>
      <c r="M862" s="36"/>
      <c r="N862" s="37" t="s">
        <v>1859</v>
      </c>
      <c r="O862" s="37"/>
      <c r="P862" s="39"/>
      <c r="Q862" s="37" t="s">
        <v>1874</v>
      </c>
      <c r="R862" s="37"/>
      <c r="S862" s="37"/>
      <c r="T862" s="31"/>
    </row>
    <row r="863" spans="1:20">
      <c r="A863" s="31"/>
      <c r="B863" s="32"/>
      <c r="C863" s="33"/>
      <c r="D863" s="32" t="s">
        <v>1875</v>
      </c>
      <c r="E863" s="33" t="s">
        <v>1858</v>
      </c>
      <c r="F863" s="34">
        <v>1</v>
      </c>
      <c r="G863" s="35">
        <v>0</v>
      </c>
      <c r="H863" s="35">
        <v>0</v>
      </c>
      <c r="I863" s="35">
        <f>Tabla1[[#This Row],[P.U. M.N.]]*Tabla1[[#This Row],[CANTIDADES DE REFERENCIA]]</f>
        <v>0</v>
      </c>
      <c r="J863" s="35">
        <f>Tabla1[[#This Row],[P.U. USD]]*Tabla1[[#This Row],[CANTIDADES DE REFERENCIA]]</f>
        <v>0</v>
      </c>
      <c r="K863" s="36"/>
      <c r="L863" s="36"/>
      <c r="M863" s="36"/>
      <c r="N863" s="37" t="s">
        <v>1859</v>
      </c>
      <c r="O863" s="37"/>
      <c r="P863" s="39"/>
      <c r="Q863" s="37" t="s">
        <v>1876</v>
      </c>
      <c r="R863" s="37"/>
      <c r="S863" s="37"/>
      <c r="T863" s="31"/>
    </row>
    <row r="864" spans="1:20">
      <c r="A864" s="31"/>
      <c r="B864" s="32"/>
      <c r="C864" s="33"/>
      <c r="D864" s="32" t="s">
        <v>1877</v>
      </c>
      <c r="E864" s="33" t="s">
        <v>1858</v>
      </c>
      <c r="F864" s="34">
        <v>1</v>
      </c>
      <c r="G864" s="35">
        <v>0</v>
      </c>
      <c r="H864" s="35">
        <v>0</v>
      </c>
      <c r="I864" s="35">
        <f>Tabla1[[#This Row],[P.U. M.N.]]*Tabla1[[#This Row],[CANTIDADES DE REFERENCIA]]</f>
        <v>0</v>
      </c>
      <c r="J864" s="35">
        <f>Tabla1[[#This Row],[P.U. USD]]*Tabla1[[#This Row],[CANTIDADES DE REFERENCIA]]</f>
        <v>0</v>
      </c>
      <c r="K864" s="36"/>
      <c r="L864" s="36"/>
      <c r="M864" s="36"/>
      <c r="N864" s="37" t="s">
        <v>1859</v>
      </c>
      <c r="O864" s="37"/>
      <c r="P864" s="39"/>
      <c r="Q864" s="37" t="s">
        <v>1878</v>
      </c>
      <c r="R864" s="37"/>
      <c r="S864" s="37"/>
      <c r="T864" s="31"/>
    </row>
    <row r="865" spans="1:20">
      <c r="A865" s="31"/>
      <c r="B865" s="32"/>
      <c r="C865" s="33"/>
      <c r="D865" s="32" t="s">
        <v>1879</v>
      </c>
      <c r="E865" s="33" t="s">
        <v>1858</v>
      </c>
      <c r="F865" s="34">
        <v>1</v>
      </c>
      <c r="G865" s="35">
        <v>0</v>
      </c>
      <c r="H865" s="35">
        <v>0</v>
      </c>
      <c r="I865" s="35">
        <f>Tabla1[[#This Row],[P.U. M.N.]]*Tabla1[[#This Row],[CANTIDADES DE REFERENCIA]]</f>
        <v>0</v>
      </c>
      <c r="J865" s="35">
        <f>Tabla1[[#This Row],[P.U. USD]]*Tabla1[[#This Row],[CANTIDADES DE REFERENCIA]]</f>
        <v>0</v>
      </c>
      <c r="K865" s="36"/>
      <c r="L865" s="36"/>
      <c r="M865" s="36"/>
      <c r="N865" s="37" t="s">
        <v>1859</v>
      </c>
      <c r="O865" s="37"/>
      <c r="P865" s="39"/>
      <c r="Q865" s="37" t="s">
        <v>1880</v>
      </c>
      <c r="R865" s="37"/>
      <c r="S865" s="37"/>
      <c r="T865" s="31"/>
    </row>
    <row r="866" spans="1:20">
      <c r="A866" s="31"/>
      <c r="B866" s="32"/>
      <c r="C866" s="33"/>
      <c r="D866" s="32" t="s">
        <v>1881</v>
      </c>
      <c r="E866" s="33" t="s">
        <v>1858</v>
      </c>
      <c r="F866" s="34">
        <v>1</v>
      </c>
      <c r="G866" s="35">
        <v>0</v>
      </c>
      <c r="H866" s="35">
        <v>0</v>
      </c>
      <c r="I866" s="35">
        <f>Tabla1[[#This Row],[P.U. M.N.]]*Tabla1[[#This Row],[CANTIDADES DE REFERENCIA]]</f>
        <v>0</v>
      </c>
      <c r="J866" s="35">
        <f>Tabla1[[#This Row],[P.U. USD]]*Tabla1[[#This Row],[CANTIDADES DE REFERENCIA]]</f>
        <v>0</v>
      </c>
      <c r="K866" s="36"/>
      <c r="L866" s="36"/>
      <c r="M866" s="36"/>
      <c r="N866" s="37" t="s">
        <v>1859</v>
      </c>
      <c r="O866" s="37"/>
      <c r="P866" s="39"/>
      <c r="Q866" s="37" t="s">
        <v>1882</v>
      </c>
      <c r="R866" s="37"/>
      <c r="S866" s="37"/>
      <c r="T866" s="31"/>
    </row>
    <row r="867" spans="1:20">
      <c r="A867" s="31"/>
      <c r="B867" s="32"/>
      <c r="C867" s="33"/>
      <c r="D867" s="32" t="s">
        <v>1883</v>
      </c>
      <c r="E867" s="33" t="s">
        <v>1858</v>
      </c>
      <c r="F867" s="34">
        <v>1</v>
      </c>
      <c r="G867" s="35">
        <v>0</v>
      </c>
      <c r="H867" s="35">
        <v>0</v>
      </c>
      <c r="I867" s="35">
        <f>Tabla1[[#This Row],[P.U. M.N.]]*Tabla1[[#This Row],[CANTIDADES DE REFERENCIA]]</f>
        <v>0</v>
      </c>
      <c r="J867" s="35">
        <f>Tabla1[[#This Row],[P.U. USD]]*Tabla1[[#This Row],[CANTIDADES DE REFERENCIA]]</f>
        <v>0</v>
      </c>
      <c r="K867" s="36"/>
      <c r="L867" s="36"/>
      <c r="M867" s="36"/>
      <c r="N867" s="37" t="s">
        <v>1859</v>
      </c>
      <c r="O867" s="37"/>
      <c r="P867" s="39"/>
      <c r="Q867" s="37" t="s">
        <v>1884</v>
      </c>
      <c r="R867" s="37"/>
      <c r="S867" s="37"/>
      <c r="T867" s="31"/>
    </row>
    <row r="868" spans="1:20">
      <c r="A868" s="31"/>
      <c r="B868" s="32"/>
      <c r="C868" s="33"/>
      <c r="D868" s="32" t="s">
        <v>1885</v>
      </c>
      <c r="E868" s="33" t="s">
        <v>1858</v>
      </c>
      <c r="F868" s="34">
        <v>1</v>
      </c>
      <c r="G868" s="35">
        <v>0</v>
      </c>
      <c r="H868" s="35">
        <v>0</v>
      </c>
      <c r="I868" s="35">
        <f>Tabla1[[#This Row],[P.U. M.N.]]*Tabla1[[#This Row],[CANTIDADES DE REFERENCIA]]</f>
        <v>0</v>
      </c>
      <c r="J868" s="35">
        <f>Tabla1[[#This Row],[P.U. USD]]*Tabla1[[#This Row],[CANTIDADES DE REFERENCIA]]</f>
        <v>0</v>
      </c>
      <c r="K868" s="36"/>
      <c r="L868" s="36"/>
      <c r="M868" s="36"/>
      <c r="N868" s="37" t="s">
        <v>1859</v>
      </c>
      <c r="O868" s="37"/>
      <c r="P868" s="39"/>
      <c r="Q868" s="37" t="s">
        <v>1886</v>
      </c>
      <c r="R868" s="37"/>
      <c r="S868" s="37"/>
      <c r="T868" s="31"/>
    </row>
    <row r="869" spans="1:20">
      <c r="A869" s="31"/>
      <c r="B869" s="32"/>
      <c r="C869" s="33"/>
      <c r="D869" s="32" t="s">
        <v>1887</v>
      </c>
      <c r="E869" s="33" t="s">
        <v>1858</v>
      </c>
      <c r="F869" s="34">
        <v>1</v>
      </c>
      <c r="G869" s="35">
        <v>0</v>
      </c>
      <c r="H869" s="35">
        <v>0</v>
      </c>
      <c r="I869" s="35">
        <f>Tabla1[[#This Row],[P.U. M.N.]]*Tabla1[[#This Row],[CANTIDADES DE REFERENCIA]]</f>
        <v>0</v>
      </c>
      <c r="J869" s="35">
        <f>Tabla1[[#This Row],[P.U. USD]]*Tabla1[[#This Row],[CANTIDADES DE REFERENCIA]]</f>
        <v>0</v>
      </c>
      <c r="K869" s="36"/>
      <c r="L869" s="36"/>
      <c r="M869" s="36"/>
      <c r="N869" s="37" t="s">
        <v>1859</v>
      </c>
      <c r="O869" s="37"/>
      <c r="P869" s="39"/>
      <c r="Q869" s="37" t="s">
        <v>1888</v>
      </c>
      <c r="R869" s="37"/>
      <c r="S869" s="37"/>
      <c r="T869" s="31"/>
    </row>
    <row r="870" spans="1:20">
      <c r="A870" s="31"/>
      <c r="B870" s="32"/>
      <c r="C870" s="33"/>
      <c r="D870" s="32" t="s">
        <v>1889</v>
      </c>
      <c r="E870" s="33" t="s">
        <v>1858</v>
      </c>
      <c r="F870" s="34">
        <v>1</v>
      </c>
      <c r="G870" s="35">
        <v>0</v>
      </c>
      <c r="H870" s="35">
        <v>0</v>
      </c>
      <c r="I870" s="35">
        <f>Tabla1[[#This Row],[P.U. M.N.]]*Tabla1[[#This Row],[CANTIDADES DE REFERENCIA]]</f>
        <v>0</v>
      </c>
      <c r="J870" s="35">
        <f>Tabla1[[#This Row],[P.U. USD]]*Tabla1[[#This Row],[CANTIDADES DE REFERENCIA]]</f>
        <v>0</v>
      </c>
      <c r="K870" s="36"/>
      <c r="L870" s="36"/>
      <c r="M870" s="36"/>
      <c r="N870" s="37" t="s">
        <v>1859</v>
      </c>
      <c r="O870" s="37"/>
      <c r="P870" s="39"/>
      <c r="Q870" s="37" t="s">
        <v>1890</v>
      </c>
      <c r="R870" s="37"/>
      <c r="S870" s="37"/>
      <c r="T870" s="31"/>
    </row>
    <row r="871" spans="1:20">
      <c r="A871" s="31"/>
      <c r="B871" s="32"/>
      <c r="C871" s="33"/>
      <c r="D871" s="32" t="s">
        <v>1891</v>
      </c>
      <c r="E871" s="33" t="s">
        <v>1858</v>
      </c>
      <c r="F871" s="34">
        <v>1</v>
      </c>
      <c r="G871" s="35">
        <v>0</v>
      </c>
      <c r="H871" s="35">
        <v>0</v>
      </c>
      <c r="I871" s="35">
        <f>Tabla1[[#This Row],[P.U. M.N.]]*Tabla1[[#This Row],[CANTIDADES DE REFERENCIA]]</f>
        <v>0</v>
      </c>
      <c r="J871" s="35">
        <f>Tabla1[[#This Row],[P.U. USD]]*Tabla1[[#This Row],[CANTIDADES DE REFERENCIA]]</f>
        <v>0</v>
      </c>
      <c r="K871" s="36"/>
      <c r="L871" s="36"/>
      <c r="M871" s="36"/>
      <c r="N871" s="37" t="s">
        <v>1859</v>
      </c>
      <c r="O871" s="37"/>
      <c r="P871" s="39"/>
      <c r="Q871" s="37" t="s">
        <v>1892</v>
      </c>
      <c r="R871" s="37"/>
      <c r="S871" s="37"/>
      <c r="T871" s="31"/>
    </row>
    <row r="872" spans="1:20">
      <c r="A872" s="31"/>
      <c r="B872" s="32"/>
      <c r="C872" s="33"/>
      <c r="D872" s="32" t="s">
        <v>1893</v>
      </c>
      <c r="E872" s="33" t="s">
        <v>1154</v>
      </c>
      <c r="F872" s="34">
        <v>1</v>
      </c>
      <c r="G872" s="35">
        <v>0</v>
      </c>
      <c r="H872" s="35">
        <v>0</v>
      </c>
      <c r="I872" s="35">
        <f>Tabla1[[#This Row],[P.U. M.N.]]*Tabla1[[#This Row],[CANTIDADES DE REFERENCIA]]</f>
        <v>0</v>
      </c>
      <c r="J872" s="35">
        <f>Tabla1[[#This Row],[P.U. USD]]*Tabla1[[#This Row],[CANTIDADES DE REFERENCIA]]</f>
        <v>0</v>
      </c>
      <c r="K872" s="36"/>
      <c r="L872" s="36"/>
      <c r="M872" s="36"/>
      <c r="N872" s="37" t="s">
        <v>1859</v>
      </c>
      <c r="O872" s="37"/>
      <c r="P872" s="39"/>
      <c r="Q872" s="37" t="s">
        <v>1894</v>
      </c>
      <c r="R872" s="37"/>
      <c r="S872" s="37"/>
      <c r="T872" s="31"/>
    </row>
    <row r="873" spans="1:20">
      <c r="A873" s="31"/>
      <c r="B873" s="32"/>
      <c r="C873" s="33"/>
      <c r="D873" s="32" t="s">
        <v>1895</v>
      </c>
      <c r="E873" s="33" t="s">
        <v>1858</v>
      </c>
      <c r="F873" s="34">
        <v>1</v>
      </c>
      <c r="G873" s="35">
        <v>0</v>
      </c>
      <c r="H873" s="35">
        <v>0</v>
      </c>
      <c r="I873" s="35">
        <f>Tabla1[[#This Row],[P.U. M.N.]]*Tabla1[[#This Row],[CANTIDADES DE REFERENCIA]]</f>
        <v>0</v>
      </c>
      <c r="J873" s="35">
        <f>Tabla1[[#This Row],[P.U. USD]]*Tabla1[[#This Row],[CANTIDADES DE REFERENCIA]]</f>
        <v>0</v>
      </c>
      <c r="K873" s="36"/>
      <c r="L873" s="36"/>
      <c r="M873" s="36"/>
      <c r="N873" s="37" t="s">
        <v>1859</v>
      </c>
      <c r="O873" s="37"/>
      <c r="P873" s="39"/>
      <c r="Q873" s="37" t="s">
        <v>1896</v>
      </c>
      <c r="R873" s="37"/>
      <c r="S873" s="37"/>
      <c r="T873" s="31"/>
    </row>
    <row r="874" spans="1:20">
      <c r="A874" s="31"/>
      <c r="B874" s="32"/>
      <c r="C874" s="33"/>
      <c r="D874" s="32" t="s">
        <v>1897</v>
      </c>
      <c r="E874" s="33" t="s">
        <v>1858</v>
      </c>
      <c r="F874" s="34">
        <v>1</v>
      </c>
      <c r="G874" s="35">
        <v>0</v>
      </c>
      <c r="H874" s="35">
        <v>0</v>
      </c>
      <c r="I874" s="35">
        <f>Tabla1[[#This Row],[P.U. M.N.]]*Tabla1[[#This Row],[CANTIDADES DE REFERENCIA]]</f>
        <v>0</v>
      </c>
      <c r="J874" s="35">
        <f>Tabla1[[#This Row],[P.U. USD]]*Tabla1[[#This Row],[CANTIDADES DE REFERENCIA]]</f>
        <v>0</v>
      </c>
      <c r="K874" s="36"/>
      <c r="L874" s="36"/>
      <c r="M874" s="36"/>
      <c r="N874" s="37" t="s">
        <v>1859</v>
      </c>
      <c r="O874" s="37"/>
      <c r="P874" s="39"/>
      <c r="Q874" s="37" t="s">
        <v>1898</v>
      </c>
      <c r="R874" s="37" t="s">
        <v>58</v>
      </c>
      <c r="S874" s="37"/>
      <c r="T874" s="31"/>
    </row>
    <row r="875" spans="1:20">
      <c r="A875" s="31"/>
      <c r="B875" s="32"/>
      <c r="C875" s="33"/>
      <c r="D875" s="32" t="s">
        <v>1899</v>
      </c>
      <c r="E875" s="33" t="s">
        <v>116</v>
      </c>
      <c r="F875" s="34">
        <v>1</v>
      </c>
      <c r="G875" s="35">
        <v>0</v>
      </c>
      <c r="H875" s="35">
        <v>0</v>
      </c>
      <c r="I875" s="35">
        <f>Tabla1[[#This Row],[P.U. M.N.]]*Tabla1[[#This Row],[CANTIDADES DE REFERENCIA]]</f>
        <v>0</v>
      </c>
      <c r="J875" s="35">
        <f>Tabla1[[#This Row],[P.U. USD]]*Tabla1[[#This Row],[CANTIDADES DE REFERENCIA]]</f>
        <v>0</v>
      </c>
      <c r="K875" s="36"/>
      <c r="L875" s="36"/>
      <c r="M875" s="36"/>
      <c r="N875" s="37" t="s">
        <v>1125</v>
      </c>
      <c r="O875" s="37"/>
      <c r="P875" s="39"/>
      <c r="Q875" s="37" t="s">
        <v>1900</v>
      </c>
      <c r="R875" s="37"/>
      <c r="S875" s="37" t="s">
        <v>1127</v>
      </c>
      <c r="T875" s="31"/>
    </row>
    <row r="876" spans="1:20">
      <c r="A876" s="31"/>
      <c r="B876" s="32"/>
      <c r="C876" s="33"/>
      <c r="D876" s="32" t="s">
        <v>1901</v>
      </c>
      <c r="E876" s="33" t="s">
        <v>116</v>
      </c>
      <c r="F876" s="34">
        <v>1</v>
      </c>
      <c r="G876" s="35">
        <v>0</v>
      </c>
      <c r="H876" s="35">
        <v>0</v>
      </c>
      <c r="I876" s="35">
        <f>Tabla1[[#This Row],[P.U. M.N.]]*Tabla1[[#This Row],[CANTIDADES DE REFERENCIA]]</f>
        <v>0</v>
      </c>
      <c r="J876" s="35">
        <f>Tabla1[[#This Row],[P.U. USD]]*Tabla1[[#This Row],[CANTIDADES DE REFERENCIA]]</f>
        <v>0</v>
      </c>
      <c r="K876" s="36"/>
      <c r="L876" s="36"/>
      <c r="M876" s="36"/>
      <c r="N876" s="37" t="s">
        <v>1125</v>
      </c>
      <c r="O876" s="37"/>
      <c r="P876" s="39"/>
      <c r="Q876" s="37" t="s">
        <v>1902</v>
      </c>
      <c r="R876" s="37"/>
      <c r="S876" s="37" t="s">
        <v>1127</v>
      </c>
      <c r="T876" s="31"/>
    </row>
    <row r="877" spans="1:20">
      <c r="A877" s="31"/>
      <c r="B877" s="32"/>
      <c r="C877" s="33"/>
      <c r="D877" s="32" t="s">
        <v>1903</v>
      </c>
      <c r="E877" s="33" t="s">
        <v>116</v>
      </c>
      <c r="F877" s="34">
        <v>1</v>
      </c>
      <c r="G877" s="35">
        <v>0</v>
      </c>
      <c r="H877" s="35">
        <v>0</v>
      </c>
      <c r="I877" s="35">
        <f>Tabla1[[#This Row],[P.U. M.N.]]*Tabla1[[#This Row],[CANTIDADES DE REFERENCIA]]</f>
        <v>0</v>
      </c>
      <c r="J877" s="35">
        <f>Tabla1[[#This Row],[P.U. USD]]*Tabla1[[#This Row],[CANTIDADES DE REFERENCIA]]</f>
        <v>0</v>
      </c>
      <c r="K877" s="36"/>
      <c r="L877" s="36"/>
      <c r="M877" s="36"/>
      <c r="N877" s="37" t="s">
        <v>1125</v>
      </c>
      <c r="O877" s="37"/>
      <c r="P877" s="39"/>
      <c r="Q877" s="37" t="s">
        <v>1904</v>
      </c>
      <c r="R877" s="37"/>
      <c r="S877" s="37" t="s">
        <v>1127</v>
      </c>
      <c r="T877" s="31"/>
    </row>
    <row r="878" spans="1:20">
      <c r="A878" s="31"/>
      <c r="B878" s="32"/>
      <c r="C878" s="33"/>
      <c r="D878" s="32" t="s">
        <v>1905</v>
      </c>
      <c r="E878" s="33" t="s">
        <v>116</v>
      </c>
      <c r="F878" s="34">
        <v>1</v>
      </c>
      <c r="G878" s="35">
        <v>0</v>
      </c>
      <c r="H878" s="35">
        <v>0</v>
      </c>
      <c r="I878" s="35">
        <f>Tabla1[[#This Row],[P.U. M.N.]]*Tabla1[[#This Row],[CANTIDADES DE REFERENCIA]]</f>
        <v>0</v>
      </c>
      <c r="J878" s="35">
        <f>Tabla1[[#This Row],[P.U. USD]]*Tabla1[[#This Row],[CANTIDADES DE REFERENCIA]]</f>
        <v>0</v>
      </c>
      <c r="K878" s="36"/>
      <c r="L878" s="36"/>
      <c r="M878" s="36"/>
      <c r="N878" s="37" t="s">
        <v>1125</v>
      </c>
      <c r="O878" s="37"/>
      <c r="P878" s="39"/>
      <c r="Q878" s="37" t="s">
        <v>1906</v>
      </c>
      <c r="R878" s="37"/>
      <c r="S878" s="37" t="s">
        <v>1127</v>
      </c>
      <c r="T878" s="31"/>
    </row>
    <row r="879" spans="1:20">
      <c r="A879" s="31"/>
      <c r="B879" s="32"/>
      <c r="C879" s="33"/>
      <c r="D879" s="32" t="s">
        <v>1907</v>
      </c>
      <c r="E879" s="33" t="s">
        <v>116</v>
      </c>
      <c r="F879" s="34">
        <v>1</v>
      </c>
      <c r="G879" s="35">
        <v>0</v>
      </c>
      <c r="H879" s="35">
        <v>0</v>
      </c>
      <c r="I879" s="35">
        <f>Tabla1[[#This Row],[P.U. M.N.]]*Tabla1[[#This Row],[CANTIDADES DE REFERENCIA]]</f>
        <v>0</v>
      </c>
      <c r="J879" s="35">
        <f>Tabla1[[#This Row],[P.U. USD]]*Tabla1[[#This Row],[CANTIDADES DE REFERENCIA]]</f>
        <v>0</v>
      </c>
      <c r="K879" s="36"/>
      <c r="L879" s="36"/>
      <c r="M879" s="36"/>
      <c r="N879" s="37" t="s">
        <v>1125</v>
      </c>
      <c r="O879" s="37"/>
      <c r="P879" s="39"/>
      <c r="Q879" s="37" t="s">
        <v>1908</v>
      </c>
      <c r="R879" s="37"/>
      <c r="S879" s="37" t="s">
        <v>1127</v>
      </c>
      <c r="T879" s="31"/>
    </row>
    <row r="880" spans="1:20">
      <c r="A880" s="31"/>
      <c r="B880" s="32"/>
      <c r="C880" s="33"/>
      <c r="D880" s="32" t="s">
        <v>1909</v>
      </c>
      <c r="E880" s="33" t="s">
        <v>116</v>
      </c>
      <c r="F880" s="34">
        <v>1</v>
      </c>
      <c r="G880" s="35">
        <v>0</v>
      </c>
      <c r="H880" s="35">
        <v>0</v>
      </c>
      <c r="I880" s="35">
        <f>Tabla1[[#This Row],[P.U. M.N.]]*Tabla1[[#This Row],[CANTIDADES DE REFERENCIA]]</f>
        <v>0</v>
      </c>
      <c r="J880" s="35">
        <f>Tabla1[[#This Row],[P.U. USD]]*Tabla1[[#This Row],[CANTIDADES DE REFERENCIA]]</f>
        <v>0</v>
      </c>
      <c r="K880" s="36"/>
      <c r="L880" s="36"/>
      <c r="M880" s="36"/>
      <c r="N880" s="37" t="s">
        <v>1125</v>
      </c>
      <c r="O880" s="37"/>
      <c r="P880" s="39"/>
      <c r="Q880" s="37" t="s">
        <v>1910</v>
      </c>
      <c r="R880" s="37"/>
      <c r="S880" s="37" t="s">
        <v>1127</v>
      </c>
      <c r="T880" s="31"/>
    </row>
    <row r="881" spans="1:20">
      <c r="A881" s="31"/>
      <c r="B881" s="32"/>
      <c r="C881" s="33"/>
      <c r="D881" s="32" t="s">
        <v>1911</v>
      </c>
      <c r="E881" s="33" t="s">
        <v>116</v>
      </c>
      <c r="F881" s="34">
        <v>1</v>
      </c>
      <c r="G881" s="35">
        <v>0</v>
      </c>
      <c r="H881" s="35">
        <v>0</v>
      </c>
      <c r="I881" s="35">
        <f>Tabla1[[#This Row],[P.U. M.N.]]*Tabla1[[#This Row],[CANTIDADES DE REFERENCIA]]</f>
        <v>0</v>
      </c>
      <c r="J881" s="35">
        <f>Tabla1[[#This Row],[P.U. USD]]*Tabla1[[#This Row],[CANTIDADES DE REFERENCIA]]</f>
        <v>0</v>
      </c>
      <c r="K881" s="36"/>
      <c r="L881" s="36"/>
      <c r="M881" s="36"/>
      <c r="N881" s="37" t="s">
        <v>1125</v>
      </c>
      <c r="O881" s="37"/>
      <c r="P881" s="39"/>
      <c r="Q881" s="37" t="s">
        <v>1912</v>
      </c>
      <c r="R881" s="37"/>
      <c r="S881" s="37" t="s">
        <v>1127</v>
      </c>
      <c r="T881" s="31"/>
    </row>
    <row r="882" spans="1:20">
      <c r="A882" s="31"/>
      <c r="B882" s="32"/>
      <c r="C882" s="33"/>
      <c r="D882" s="32" t="s">
        <v>1913</v>
      </c>
      <c r="E882" s="33" t="s">
        <v>116</v>
      </c>
      <c r="F882" s="34">
        <v>1</v>
      </c>
      <c r="G882" s="35">
        <v>0</v>
      </c>
      <c r="H882" s="35">
        <v>0</v>
      </c>
      <c r="I882" s="35">
        <f>Tabla1[[#This Row],[P.U. M.N.]]*Tabla1[[#This Row],[CANTIDADES DE REFERENCIA]]</f>
        <v>0</v>
      </c>
      <c r="J882" s="35">
        <f>Tabla1[[#This Row],[P.U. USD]]*Tabla1[[#This Row],[CANTIDADES DE REFERENCIA]]</f>
        <v>0</v>
      </c>
      <c r="K882" s="36"/>
      <c r="L882" s="36"/>
      <c r="M882" s="36"/>
      <c r="N882" s="37" t="s">
        <v>1125</v>
      </c>
      <c r="O882" s="37"/>
      <c r="P882" s="39"/>
      <c r="Q882" s="37" t="s">
        <v>1914</v>
      </c>
      <c r="R882" s="37"/>
      <c r="S882" s="37" t="s">
        <v>1127</v>
      </c>
      <c r="T882" s="31"/>
    </row>
    <row r="883" spans="1:20">
      <c r="A883" s="31"/>
      <c r="B883" s="32"/>
      <c r="C883" s="33"/>
      <c r="D883" s="32" t="s">
        <v>1915</v>
      </c>
      <c r="E883" s="33" t="s">
        <v>116</v>
      </c>
      <c r="F883" s="34">
        <v>1</v>
      </c>
      <c r="G883" s="35">
        <v>0</v>
      </c>
      <c r="H883" s="35">
        <v>0</v>
      </c>
      <c r="I883" s="35">
        <f>Tabla1[[#This Row],[P.U. M.N.]]*Tabla1[[#This Row],[CANTIDADES DE REFERENCIA]]</f>
        <v>0</v>
      </c>
      <c r="J883" s="35">
        <f>Tabla1[[#This Row],[P.U. USD]]*Tabla1[[#This Row],[CANTIDADES DE REFERENCIA]]</f>
        <v>0</v>
      </c>
      <c r="K883" s="36"/>
      <c r="L883" s="36"/>
      <c r="M883" s="36"/>
      <c r="N883" s="37" t="s">
        <v>1125</v>
      </c>
      <c r="O883" s="37"/>
      <c r="P883" s="39"/>
      <c r="Q883" s="37" t="s">
        <v>1916</v>
      </c>
      <c r="R883" s="37"/>
      <c r="S883" s="37" t="s">
        <v>1127</v>
      </c>
      <c r="T883" s="31"/>
    </row>
    <row r="884" spans="1:20">
      <c r="A884" s="31"/>
      <c r="B884" s="32"/>
      <c r="C884" s="33"/>
      <c r="D884" s="32" t="s">
        <v>1917</v>
      </c>
      <c r="E884" s="33" t="s">
        <v>116</v>
      </c>
      <c r="F884" s="34">
        <v>1</v>
      </c>
      <c r="G884" s="35">
        <v>0</v>
      </c>
      <c r="H884" s="35">
        <v>0</v>
      </c>
      <c r="I884" s="35">
        <f>Tabla1[[#This Row],[P.U. M.N.]]*Tabla1[[#This Row],[CANTIDADES DE REFERENCIA]]</f>
        <v>0</v>
      </c>
      <c r="J884" s="35">
        <f>Tabla1[[#This Row],[P.U. USD]]*Tabla1[[#This Row],[CANTIDADES DE REFERENCIA]]</f>
        <v>0</v>
      </c>
      <c r="K884" s="36"/>
      <c r="L884" s="36"/>
      <c r="M884" s="36"/>
      <c r="N884" s="37" t="s">
        <v>1125</v>
      </c>
      <c r="O884" s="37"/>
      <c r="P884" s="39"/>
      <c r="Q884" s="37" t="s">
        <v>1918</v>
      </c>
      <c r="R884" s="37"/>
      <c r="S884" s="37" t="s">
        <v>1127</v>
      </c>
      <c r="T884" s="31"/>
    </row>
    <row r="885" spans="1:20">
      <c r="A885" s="31"/>
      <c r="B885" s="32"/>
      <c r="C885" s="33"/>
      <c r="D885" s="32" t="s">
        <v>1919</v>
      </c>
      <c r="E885" s="33" t="s">
        <v>116</v>
      </c>
      <c r="F885" s="34">
        <v>1</v>
      </c>
      <c r="G885" s="35">
        <v>0</v>
      </c>
      <c r="H885" s="35">
        <v>0</v>
      </c>
      <c r="I885" s="35">
        <f>Tabla1[[#This Row],[P.U. M.N.]]*Tabla1[[#This Row],[CANTIDADES DE REFERENCIA]]</f>
        <v>0</v>
      </c>
      <c r="J885" s="35">
        <f>Tabla1[[#This Row],[P.U. USD]]*Tabla1[[#This Row],[CANTIDADES DE REFERENCIA]]</f>
        <v>0</v>
      </c>
      <c r="K885" s="36"/>
      <c r="L885" s="36"/>
      <c r="M885" s="36"/>
      <c r="N885" s="37" t="s">
        <v>1125</v>
      </c>
      <c r="O885" s="37"/>
      <c r="P885" s="39"/>
      <c r="Q885" s="37" t="s">
        <v>1920</v>
      </c>
      <c r="R885" s="37"/>
      <c r="S885" s="37" t="s">
        <v>1127</v>
      </c>
      <c r="T885" s="31"/>
    </row>
    <row r="886" spans="1:20">
      <c r="A886" s="31"/>
      <c r="B886" s="32"/>
      <c r="C886" s="33"/>
      <c r="D886" s="32" t="s">
        <v>1921</v>
      </c>
      <c r="E886" s="33" t="s">
        <v>116</v>
      </c>
      <c r="F886" s="34">
        <v>1</v>
      </c>
      <c r="G886" s="35">
        <v>0</v>
      </c>
      <c r="H886" s="35">
        <v>0</v>
      </c>
      <c r="I886" s="35">
        <f>Tabla1[[#This Row],[P.U. M.N.]]*Tabla1[[#This Row],[CANTIDADES DE REFERENCIA]]</f>
        <v>0</v>
      </c>
      <c r="J886" s="35">
        <f>Tabla1[[#This Row],[P.U. USD]]*Tabla1[[#This Row],[CANTIDADES DE REFERENCIA]]</f>
        <v>0</v>
      </c>
      <c r="K886" s="36"/>
      <c r="L886" s="36"/>
      <c r="M886" s="36"/>
      <c r="N886" s="37" t="s">
        <v>1125</v>
      </c>
      <c r="O886" s="37"/>
      <c r="P886" s="39"/>
      <c r="Q886" s="37" t="s">
        <v>1922</v>
      </c>
      <c r="R886" s="37"/>
      <c r="S886" s="37" t="s">
        <v>1127</v>
      </c>
      <c r="T886" s="31"/>
    </row>
    <row r="887" spans="1:20">
      <c r="A887" s="31"/>
      <c r="B887" s="32"/>
      <c r="C887" s="33"/>
      <c r="D887" s="32" t="s">
        <v>1923</v>
      </c>
      <c r="E887" s="33" t="s">
        <v>116</v>
      </c>
      <c r="F887" s="34">
        <v>1</v>
      </c>
      <c r="G887" s="35">
        <v>0</v>
      </c>
      <c r="H887" s="35">
        <v>0</v>
      </c>
      <c r="I887" s="35">
        <f>Tabla1[[#This Row],[P.U. M.N.]]*Tabla1[[#This Row],[CANTIDADES DE REFERENCIA]]</f>
        <v>0</v>
      </c>
      <c r="J887" s="35">
        <f>Tabla1[[#This Row],[P.U. USD]]*Tabla1[[#This Row],[CANTIDADES DE REFERENCIA]]</f>
        <v>0</v>
      </c>
      <c r="K887" s="36"/>
      <c r="L887" s="36"/>
      <c r="M887" s="36"/>
      <c r="N887" s="37" t="s">
        <v>1125</v>
      </c>
      <c r="O887" s="37"/>
      <c r="P887" s="39"/>
      <c r="Q887" s="37" t="s">
        <v>1924</v>
      </c>
      <c r="R887" s="37"/>
      <c r="S887" s="37" t="s">
        <v>1127</v>
      </c>
      <c r="T887" s="31"/>
    </row>
    <row r="888" spans="1:20">
      <c r="A888" s="31"/>
      <c r="B888" s="32"/>
      <c r="C888" s="33"/>
      <c r="D888" s="32" t="s">
        <v>1925</v>
      </c>
      <c r="E888" s="33" t="s">
        <v>116</v>
      </c>
      <c r="F888" s="34">
        <v>1</v>
      </c>
      <c r="G888" s="35">
        <v>0</v>
      </c>
      <c r="H888" s="35">
        <v>0</v>
      </c>
      <c r="I888" s="35">
        <f>Tabla1[[#This Row],[P.U. M.N.]]*Tabla1[[#This Row],[CANTIDADES DE REFERENCIA]]</f>
        <v>0</v>
      </c>
      <c r="J888" s="35">
        <f>Tabla1[[#This Row],[P.U. USD]]*Tabla1[[#This Row],[CANTIDADES DE REFERENCIA]]</f>
        <v>0</v>
      </c>
      <c r="K888" s="36"/>
      <c r="L888" s="36"/>
      <c r="M888" s="36"/>
      <c r="N888" s="37" t="s">
        <v>1125</v>
      </c>
      <c r="O888" s="37"/>
      <c r="P888" s="39"/>
      <c r="Q888" s="37" t="s">
        <v>1926</v>
      </c>
      <c r="R888" s="37"/>
      <c r="S888" s="37" t="s">
        <v>1127</v>
      </c>
      <c r="T888" s="31"/>
    </row>
    <row r="889" spans="1:20">
      <c r="A889" s="31"/>
      <c r="B889" s="32"/>
      <c r="C889" s="33"/>
      <c r="D889" s="32" t="s">
        <v>1927</v>
      </c>
      <c r="E889" s="33" t="s">
        <v>116</v>
      </c>
      <c r="F889" s="34">
        <v>1</v>
      </c>
      <c r="G889" s="35">
        <v>0</v>
      </c>
      <c r="H889" s="35">
        <v>0</v>
      </c>
      <c r="I889" s="35">
        <f>Tabla1[[#This Row],[P.U. M.N.]]*Tabla1[[#This Row],[CANTIDADES DE REFERENCIA]]</f>
        <v>0</v>
      </c>
      <c r="J889" s="35">
        <f>Tabla1[[#This Row],[P.U. USD]]*Tabla1[[#This Row],[CANTIDADES DE REFERENCIA]]</f>
        <v>0</v>
      </c>
      <c r="K889" s="36"/>
      <c r="L889" s="36"/>
      <c r="M889" s="36"/>
      <c r="N889" s="37" t="s">
        <v>1125</v>
      </c>
      <c r="O889" s="37"/>
      <c r="P889" s="39"/>
      <c r="Q889" s="37" t="s">
        <v>1928</v>
      </c>
      <c r="R889" s="37"/>
      <c r="S889" s="37" t="s">
        <v>1127</v>
      </c>
      <c r="T889" s="31"/>
    </row>
    <row r="890" spans="1:20">
      <c r="A890" s="31"/>
      <c r="B890" s="32"/>
      <c r="C890" s="33"/>
      <c r="D890" s="32" t="s">
        <v>1929</v>
      </c>
      <c r="E890" s="33" t="s">
        <v>116</v>
      </c>
      <c r="F890" s="34">
        <v>1</v>
      </c>
      <c r="G890" s="35">
        <v>0</v>
      </c>
      <c r="H890" s="35">
        <v>0</v>
      </c>
      <c r="I890" s="35">
        <f>Tabla1[[#This Row],[P.U. M.N.]]*Tabla1[[#This Row],[CANTIDADES DE REFERENCIA]]</f>
        <v>0</v>
      </c>
      <c r="J890" s="35">
        <f>Tabla1[[#This Row],[P.U. USD]]*Tabla1[[#This Row],[CANTIDADES DE REFERENCIA]]</f>
        <v>0</v>
      </c>
      <c r="K890" s="36"/>
      <c r="L890" s="36"/>
      <c r="M890" s="36"/>
      <c r="N890" s="37" t="s">
        <v>1125</v>
      </c>
      <c r="O890" s="37"/>
      <c r="P890" s="39"/>
      <c r="Q890" s="37" t="s">
        <v>1930</v>
      </c>
      <c r="R890" s="37"/>
      <c r="S890" s="37" t="s">
        <v>1127</v>
      </c>
      <c r="T890" s="31"/>
    </row>
    <row r="891" spans="1:20">
      <c r="A891" s="31"/>
      <c r="B891" s="32"/>
      <c r="C891" s="33"/>
      <c r="D891" s="32" t="s">
        <v>1931</v>
      </c>
      <c r="E891" s="33" t="s">
        <v>116</v>
      </c>
      <c r="F891" s="34">
        <v>1</v>
      </c>
      <c r="G891" s="35">
        <v>0</v>
      </c>
      <c r="H891" s="35">
        <v>0</v>
      </c>
      <c r="I891" s="35">
        <f>Tabla1[[#This Row],[P.U. M.N.]]*Tabla1[[#This Row],[CANTIDADES DE REFERENCIA]]</f>
        <v>0</v>
      </c>
      <c r="J891" s="35">
        <f>Tabla1[[#This Row],[P.U. USD]]*Tabla1[[#This Row],[CANTIDADES DE REFERENCIA]]</f>
        <v>0</v>
      </c>
      <c r="K891" s="36"/>
      <c r="L891" s="36"/>
      <c r="M891" s="36"/>
      <c r="N891" s="37" t="s">
        <v>1125</v>
      </c>
      <c r="O891" s="37"/>
      <c r="P891" s="39"/>
      <c r="Q891" s="37" t="s">
        <v>1932</v>
      </c>
      <c r="R891" s="37"/>
      <c r="S891" s="37" t="s">
        <v>1127</v>
      </c>
      <c r="T891" s="31"/>
    </row>
    <row r="892" spans="1:20">
      <c r="A892" s="31"/>
      <c r="B892" s="32"/>
      <c r="C892" s="33"/>
      <c r="D892" s="32" t="s">
        <v>1933</v>
      </c>
      <c r="E892" s="33" t="s">
        <v>116</v>
      </c>
      <c r="F892" s="34">
        <v>1</v>
      </c>
      <c r="G892" s="35">
        <v>0</v>
      </c>
      <c r="H892" s="35">
        <v>0</v>
      </c>
      <c r="I892" s="35">
        <f>Tabla1[[#This Row],[P.U. M.N.]]*Tabla1[[#This Row],[CANTIDADES DE REFERENCIA]]</f>
        <v>0</v>
      </c>
      <c r="J892" s="35">
        <f>Tabla1[[#This Row],[P.U. USD]]*Tabla1[[#This Row],[CANTIDADES DE REFERENCIA]]</f>
        <v>0</v>
      </c>
      <c r="K892" s="36"/>
      <c r="L892" s="36"/>
      <c r="M892" s="36"/>
      <c r="N892" s="37" t="s">
        <v>1125</v>
      </c>
      <c r="O892" s="37"/>
      <c r="P892" s="39"/>
      <c r="Q892" s="37" t="s">
        <v>1934</v>
      </c>
      <c r="R892" s="37"/>
      <c r="S892" s="37" t="s">
        <v>1127</v>
      </c>
      <c r="T892" s="31"/>
    </row>
    <row r="893" spans="1:20">
      <c r="A893" s="31"/>
      <c r="B893" s="32"/>
      <c r="C893" s="33"/>
      <c r="D893" s="32" t="s">
        <v>1935</v>
      </c>
      <c r="E893" s="33" t="s">
        <v>116</v>
      </c>
      <c r="F893" s="34">
        <v>1</v>
      </c>
      <c r="G893" s="35">
        <v>0</v>
      </c>
      <c r="H893" s="35">
        <v>0</v>
      </c>
      <c r="I893" s="35">
        <f>Tabla1[[#This Row],[P.U. M.N.]]*Tabla1[[#This Row],[CANTIDADES DE REFERENCIA]]</f>
        <v>0</v>
      </c>
      <c r="J893" s="35">
        <f>Tabla1[[#This Row],[P.U. USD]]*Tabla1[[#This Row],[CANTIDADES DE REFERENCIA]]</f>
        <v>0</v>
      </c>
      <c r="K893" s="36"/>
      <c r="L893" s="36"/>
      <c r="M893" s="36"/>
      <c r="N893" s="37" t="s">
        <v>1125</v>
      </c>
      <c r="O893" s="37"/>
      <c r="P893" s="39"/>
      <c r="Q893" s="37" t="s">
        <v>1936</v>
      </c>
      <c r="R893" s="37"/>
      <c r="S893" s="37" t="s">
        <v>1127</v>
      </c>
      <c r="T893" s="31"/>
    </row>
    <row r="894" spans="1:20">
      <c r="A894" s="31"/>
      <c r="B894" s="32"/>
      <c r="C894" s="33"/>
      <c r="D894" s="32" t="s">
        <v>1937</v>
      </c>
      <c r="E894" s="33" t="s">
        <v>116</v>
      </c>
      <c r="F894" s="34">
        <v>1</v>
      </c>
      <c r="G894" s="35">
        <v>0</v>
      </c>
      <c r="H894" s="35">
        <v>0</v>
      </c>
      <c r="I894" s="35">
        <f>Tabla1[[#This Row],[P.U. M.N.]]*Tabla1[[#This Row],[CANTIDADES DE REFERENCIA]]</f>
        <v>0</v>
      </c>
      <c r="J894" s="35">
        <f>Tabla1[[#This Row],[P.U. USD]]*Tabla1[[#This Row],[CANTIDADES DE REFERENCIA]]</f>
        <v>0</v>
      </c>
      <c r="K894" s="36"/>
      <c r="L894" s="36"/>
      <c r="M894" s="36"/>
      <c r="N894" s="37" t="s">
        <v>1125</v>
      </c>
      <c r="O894" s="37"/>
      <c r="P894" s="39"/>
      <c r="Q894" s="37" t="s">
        <v>1938</v>
      </c>
      <c r="R894" s="37"/>
      <c r="S894" s="37" t="s">
        <v>1127</v>
      </c>
      <c r="T894" s="31"/>
    </row>
    <row r="895" spans="1:20">
      <c r="A895" s="31"/>
      <c r="B895" s="32"/>
      <c r="C895" s="33"/>
      <c r="D895" s="32" t="s">
        <v>1939</v>
      </c>
      <c r="E895" s="33" t="s">
        <v>116</v>
      </c>
      <c r="F895" s="34">
        <v>1</v>
      </c>
      <c r="G895" s="35">
        <v>0</v>
      </c>
      <c r="H895" s="35">
        <v>0</v>
      </c>
      <c r="I895" s="35">
        <f>Tabla1[[#This Row],[P.U. M.N.]]*Tabla1[[#This Row],[CANTIDADES DE REFERENCIA]]</f>
        <v>0</v>
      </c>
      <c r="J895" s="35">
        <f>Tabla1[[#This Row],[P.U. USD]]*Tabla1[[#This Row],[CANTIDADES DE REFERENCIA]]</f>
        <v>0</v>
      </c>
      <c r="K895" s="36"/>
      <c r="L895" s="36"/>
      <c r="M895" s="36"/>
      <c r="N895" s="37" t="s">
        <v>1125</v>
      </c>
      <c r="O895" s="37"/>
      <c r="P895" s="39"/>
      <c r="Q895" s="37" t="s">
        <v>1940</v>
      </c>
      <c r="R895" s="37"/>
      <c r="S895" s="37" t="s">
        <v>1127</v>
      </c>
      <c r="T895" s="31"/>
    </row>
    <row r="896" spans="1:20">
      <c r="A896" s="31"/>
      <c r="B896" s="32"/>
      <c r="C896" s="33"/>
      <c r="D896" s="32" t="s">
        <v>1941</v>
      </c>
      <c r="E896" s="33" t="s">
        <v>116</v>
      </c>
      <c r="F896" s="34">
        <v>1</v>
      </c>
      <c r="G896" s="35">
        <v>0</v>
      </c>
      <c r="H896" s="35">
        <v>0</v>
      </c>
      <c r="I896" s="35">
        <f>Tabla1[[#This Row],[P.U. M.N.]]*Tabla1[[#This Row],[CANTIDADES DE REFERENCIA]]</f>
        <v>0</v>
      </c>
      <c r="J896" s="35">
        <f>Tabla1[[#This Row],[P.U. USD]]*Tabla1[[#This Row],[CANTIDADES DE REFERENCIA]]</f>
        <v>0</v>
      </c>
      <c r="K896" s="36"/>
      <c r="L896" s="36"/>
      <c r="M896" s="36"/>
      <c r="N896" s="37" t="s">
        <v>1125</v>
      </c>
      <c r="O896" s="37"/>
      <c r="P896" s="39"/>
      <c r="Q896" s="37" t="s">
        <v>1942</v>
      </c>
      <c r="R896" s="37"/>
      <c r="S896" s="37" t="s">
        <v>1127</v>
      </c>
      <c r="T896" s="31"/>
    </row>
    <row r="897" spans="1:20">
      <c r="A897" s="31"/>
      <c r="B897" s="32"/>
      <c r="C897" s="33"/>
      <c r="D897" s="32" t="s">
        <v>1943</v>
      </c>
      <c r="E897" s="33" t="s">
        <v>116</v>
      </c>
      <c r="F897" s="34">
        <v>1</v>
      </c>
      <c r="G897" s="35">
        <v>0</v>
      </c>
      <c r="H897" s="35">
        <v>0</v>
      </c>
      <c r="I897" s="35">
        <f>Tabla1[[#This Row],[P.U. M.N.]]*Tabla1[[#This Row],[CANTIDADES DE REFERENCIA]]</f>
        <v>0</v>
      </c>
      <c r="J897" s="35">
        <f>Tabla1[[#This Row],[P.U. USD]]*Tabla1[[#This Row],[CANTIDADES DE REFERENCIA]]</f>
        <v>0</v>
      </c>
      <c r="K897" s="36"/>
      <c r="L897" s="36"/>
      <c r="M897" s="36"/>
      <c r="N897" s="37" t="s">
        <v>1125</v>
      </c>
      <c r="O897" s="37"/>
      <c r="P897" s="39"/>
      <c r="Q897" s="37" t="s">
        <v>1944</v>
      </c>
      <c r="R897" s="37"/>
      <c r="S897" s="37" t="s">
        <v>1127</v>
      </c>
      <c r="T897" s="31"/>
    </row>
    <row r="898" spans="1:20">
      <c r="A898" s="31"/>
      <c r="B898" s="32"/>
      <c r="C898" s="33"/>
      <c r="D898" s="32" t="s">
        <v>1945</v>
      </c>
      <c r="E898" s="33" t="s">
        <v>116</v>
      </c>
      <c r="F898" s="34">
        <v>1</v>
      </c>
      <c r="G898" s="35">
        <v>0</v>
      </c>
      <c r="H898" s="35">
        <v>0</v>
      </c>
      <c r="I898" s="35">
        <f>Tabla1[[#This Row],[P.U. M.N.]]*Tabla1[[#This Row],[CANTIDADES DE REFERENCIA]]</f>
        <v>0</v>
      </c>
      <c r="J898" s="35">
        <f>Tabla1[[#This Row],[P.U. USD]]*Tabla1[[#This Row],[CANTIDADES DE REFERENCIA]]</f>
        <v>0</v>
      </c>
      <c r="K898" s="36"/>
      <c r="L898" s="36"/>
      <c r="M898" s="36"/>
      <c r="N898" s="37" t="s">
        <v>1125</v>
      </c>
      <c r="O898" s="37"/>
      <c r="P898" s="39"/>
      <c r="Q898" s="37" t="s">
        <v>1946</v>
      </c>
      <c r="R898" s="37"/>
      <c r="S898" s="37" t="s">
        <v>1127</v>
      </c>
      <c r="T898" s="31"/>
    </row>
    <row r="899" spans="1:20">
      <c r="A899" s="31"/>
      <c r="B899" s="32"/>
      <c r="C899" s="33"/>
      <c r="D899" s="32" t="s">
        <v>1947</v>
      </c>
      <c r="E899" s="33" t="s">
        <v>116</v>
      </c>
      <c r="F899" s="34">
        <v>1</v>
      </c>
      <c r="G899" s="35">
        <v>0</v>
      </c>
      <c r="H899" s="35">
        <v>0</v>
      </c>
      <c r="I899" s="35">
        <f>Tabla1[[#This Row],[P.U. M.N.]]*Tabla1[[#This Row],[CANTIDADES DE REFERENCIA]]</f>
        <v>0</v>
      </c>
      <c r="J899" s="35">
        <f>Tabla1[[#This Row],[P.U. USD]]*Tabla1[[#This Row],[CANTIDADES DE REFERENCIA]]</f>
        <v>0</v>
      </c>
      <c r="K899" s="36"/>
      <c r="L899" s="36"/>
      <c r="M899" s="36"/>
      <c r="N899" s="37" t="s">
        <v>1125</v>
      </c>
      <c r="O899" s="37"/>
      <c r="P899" s="39"/>
      <c r="Q899" s="37" t="s">
        <v>1948</v>
      </c>
      <c r="R899" s="37"/>
      <c r="S899" s="37" t="s">
        <v>1127</v>
      </c>
      <c r="T899" s="31"/>
    </row>
    <row r="900" spans="1:20">
      <c r="A900" s="31"/>
      <c r="B900" s="32"/>
      <c r="C900" s="33"/>
      <c r="D900" s="32" t="s">
        <v>1949</v>
      </c>
      <c r="E900" s="33" t="s">
        <v>116</v>
      </c>
      <c r="F900" s="34">
        <v>1</v>
      </c>
      <c r="G900" s="35">
        <v>0</v>
      </c>
      <c r="H900" s="35">
        <v>0</v>
      </c>
      <c r="I900" s="35">
        <f>Tabla1[[#This Row],[P.U. M.N.]]*Tabla1[[#This Row],[CANTIDADES DE REFERENCIA]]</f>
        <v>0</v>
      </c>
      <c r="J900" s="35">
        <f>Tabla1[[#This Row],[P.U. USD]]*Tabla1[[#This Row],[CANTIDADES DE REFERENCIA]]</f>
        <v>0</v>
      </c>
      <c r="K900" s="36"/>
      <c r="L900" s="36"/>
      <c r="M900" s="36"/>
      <c r="N900" s="37" t="s">
        <v>1125</v>
      </c>
      <c r="O900" s="37"/>
      <c r="P900" s="39"/>
      <c r="Q900" s="37" t="s">
        <v>1950</v>
      </c>
      <c r="R900" s="37"/>
      <c r="S900" s="37" t="s">
        <v>1127</v>
      </c>
      <c r="T900" s="31"/>
    </row>
    <row r="901" spans="1:20">
      <c r="A901" s="31"/>
      <c r="B901" s="32"/>
      <c r="C901" s="33"/>
      <c r="D901" s="32" t="s">
        <v>1951</v>
      </c>
      <c r="E901" s="33" t="s">
        <v>116</v>
      </c>
      <c r="F901" s="34">
        <v>1</v>
      </c>
      <c r="G901" s="35">
        <v>0</v>
      </c>
      <c r="H901" s="35">
        <v>0</v>
      </c>
      <c r="I901" s="35">
        <f>Tabla1[[#This Row],[P.U. M.N.]]*Tabla1[[#This Row],[CANTIDADES DE REFERENCIA]]</f>
        <v>0</v>
      </c>
      <c r="J901" s="35">
        <f>Tabla1[[#This Row],[P.U. USD]]*Tabla1[[#This Row],[CANTIDADES DE REFERENCIA]]</f>
        <v>0</v>
      </c>
      <c r="K901" s="36"/>
      <c r="L901" s="36"/>
      <c r="M901" s="36"/>
      <c r="N901" s="37" t="s">
        <v>1125</v>
      </c>
      <c r="O901" s="37"/>
      <c r="P901" s="39"/>
      <c r="Q901" s="37" t="s">
        <v>1952</v>
      </c>
      <c r="R901" s="37"/>
      <c r="S901" s="37" t="s">
        <v>1127</v>
      </c>
      <c r="T901" s="31"/>
    </row>
    <row r="902" spans="1:20">
      <c r="A902" s="31"/>
      <c r="B902" s="32"/>
      <c r="C902" s="33"/>
      <c r="D902" s="32" t="s">
        <v>1953</v>
      </c>
      <c r="E902" s="33" t="s">
        <v>116</v>
      </c>
      <c r="F902" s="34">
        <v>1</v>
      </c>
      <c r="G902" s="35">
        <v>0</v>
      </c>
      <c r="H902" s="35">
        <v>0</v>
      </c>
      <c r="I902" s="35">
        <f>Tabla1[[#This Row],[P.U. M.N.]]*Tabla1[[#This Row],[CANTIDADES DE REFERENCIA]]</f>
        <v>0</v>
      </c>
      <c r="J902" s="35">
        <f>Tabla1[[#This Row],[P.U. USD]]*Tabla1[[#This Row],[CANTIDADES DE REFERENCIA]]</f>
        <v>0</v>
      </c>
      <c r="K902" s="36"/>
      <c r="L902" s="36"/>
      <c r="M902" s="36"/>
      <c r="N902" s="37" t="s">
        <v>1125</v>
      </c>
      <c r="O902" s="37"/>
      <c r="P902" s="39"/>
      <c r="Q902" s="37" t="s">
        <v>1954</v>
      </c>
      <c r="R902" s="37"/>
      <c r="S902" s="37" t="s">
        <v>1127</v>
      </c>
      <c r="T902" s="31"/>
    </row>
    <row r="903" spans="1:20">
      <c r="A903" s="31"/>
      <c r="B903" s="32"/>
      <c r="C903" s="33"/>
      <c r="D903" s="32" t="s">
        <v>1955</v>
      </c>
      <c r="E903" s="33" t="s">
        <v>116</v>
      </c>
      <c r="F903" s="34">
        <v>1</v>
      </c>
      <c r="G903" s="35">
        <v>0</v>
      </c>
      <c r="H903" s="35">
        <v>0</v>
      </c>
      <c r="I903" s="35">
        <f>Tabla1[[#This Row],[P.U. M.N.]]*Tabla1[[#This Row],[CANTIDADES DE REFERENCIA]]</f>
        <v>0</v>
      </c>
      <c r="J903" s="35">
        <f>Tabla1[[#This Row],[P.U. USD]]*Tabla1[[#This Row],[CANTIDADES DE REFERENCIA]]</f>
        <v>0</v>
      </c>
      <c r="K903" s="36"/>
      <c r="L903" s="36"/>
      <c r="M903" s="36"/>
      <c r="N903" s="37" t="s">
        <v>1125</v>
      </c>
      <c r="O903" s="37"/>
      <c r="P903" s="39"/>
      <c r="Q903" s="37" t="s">
        <v>1956</v>
      </c>
      <c r="R903" s="37"/>
      <c r="S903" s="37" t="s">
        <v>1127</v>
      </c>
      <c r="T903" s="31"/>
    </row>
    <row r="904" spans="1:20">
      <c r="A904" s="31"/>
      <c r="B904" s="32"/>
      <c r="C904" s="33"/>
      <c r="D904" s="32" t="s">
        <v>1957</v>
      </c>
      <c r="E904" s="33" t="s">
        <v>116</v>
      </c>
      <c r="F904" s="34">
        <v>1</v>
      </c>
      <c r="G904" s="35">
        <v>0</v>
      </c>
      <c r="H904" s="35">
        <v>0</v>
      </c>
      <c r="I904" s="35">
        <f>Tabla1[[#This Row],[P.U. M.N.]]*Tabla1[[#This Row],[CANTIDADES DE REFERENCIA]]</f>
        <v>0</v>
      </c>
      <c r="J904" s="35">
        <f>Tabla1[[#This Row],[P.U. USD]]*Tabla1[[#This Row],[CANTIDADES DE REFERENCIA]]</f>
        <v>0</v>
      </c>
      <c r="K904" s="36"/>
      <c r="L904" s="36"/>
      <c r="M904" s="36"/>
      <c r="N904" s="37" t="s">
        <v>1125</v>
      </c>
      <c r="O904" s="37"/>
      <c r="P904" s="39"/>
      <c r="Q904" s="37" t="s">
        <v>1958</v>
      </c>
      <c r="R904" s="37"/>
      <c r="S904" s="37" t="s">
        <v>1127</v>
      </c>
      <c r="T904" s="31"/>
    </row>
    <row r="905" spans="1:20">
      <c r="A905" s="31"/>
      <c r="B905" s="32"/>
      <c r="C905" s="33"/>
      <c r="D905" s="32" t="s">
        <v>1959</v>
      </c>
      <c r="E905" s="33" t="s">
        <v>116</v>
      </c>
      <c r="F905" s="34">
        <v>1</v>
      </c>
      <c r="G905" s="35">
        <v>0</v>
      </c>
      <c r="H905" s="35">
        <v>0</v>
      </c>
      <c r="I905" s="35">
        <f>Tabla1[[#This Row],[P.U. M.N.]]*Tabla1[[#This Row],[CANTIDADES DE REFERENCIA]]</f>
        <v>0</v>
      </c>
      <c r="J905" s="35">
        <f>Tabla1[[#This Row],[P.U. USD]]*Tabla1[[#This Row],[CANTIDADES DE REFERENCIA]]</f>
        <v>0</v>
      </c>
      <c r="K905" s="36"/>
      <c r="L905" s="36"/>
      <c r="M905" s="36"/>
      <c r="N905" s="37" t="s">
        <v>1125</v>
      </c>
      <c r="O905" s="37"/>
      <c r="P905" s="39"/>
      <c r="Q905" s="37" t="s">
        <v>1960</v>
      </c>
      <c r="R905" s="37"/>
      <c r="S905" s="37" t="s">
        <v>1127</v>
      </c>
      <c r="T905" s="31"/>
    </row>
    <row r="906" spans="1:20">
      <c r="A906" s="31"/>
      <c r="B906" s="32"/>
      <c r="C906" s="33"/>
      <c r="D906" s="32" t="s">
        <v>1961</v>
      </c>
      <c r="E906" s="33" t="s">
        <v>116</v>
      </c>
      <c r="F906" s="34">
        <v>1</v>
      </c>
      <c r="G906" s="35">
        <v>0</v>
      </c>
      <c r="H906" s="35">
        <v>0</v>
      </c>
      <c r="I906" s="35">
        <f>Tabla1[[#This Row],[P.U. M.N.]]*Tabla1[[#This Row],[CANTIDADES DE REFERENCIA]]</f>
        <v>0</v>
      </c>
      <c r="J906" s="35">
        <f>Tabla1[[#This Row],[P.U. USD]]*Tabla1[[#This Row],[CANTIDADES DE REFERENCIA]]</f>
        <v>0</v>
      </c>
      <c r="K906" s="36"/>
      <c r="L906" s="36"/>
      <c r="M906" s="36"/>
      <c r="N906" s="37" t="s">
        <v>1125</v>
      </c>
      <c r="O906" s="37"/>
      <c r="P906" s="39"/>
      <c r="Q906" s="37" t="s">
        <v>1962</v>
      </c>
      <c r="R906" s="37"/>
      <c r="S906" s="37" t="s">
        <v>1127</v>
      </c>
      <c r="T906" s="31"/>
    </row>
    <row r="907" spans="1:20">
      <c r="A907" s="31"/>
      <c r="B907" s="32"/>
      <c r="C907" s="33"/>
      <c r="D907" s="32" t="s">
        <v>1963</v>
      </c>
      <c r="E907" s="33" t="s">
        <v>116</v>
      </c>
      <c r="F907" s="34">
        <v>1</v>
      </c>
      <c r="G907" s="35">
        <v>0</v>
      </c>
      <c r="H907" s="35">
        <v>0</v>
      </c>
      <c r="I907" s="35">
        <f>Tabla1[[#This Row],[P.U. M.N.]]*Tabla1[[#This Row],[CANTIDADES DE REFERENCIA]]</f>
        <v>0</v>
      </c>
      <c r="J907" s="35">
        <f>Tabla1[[#This Row],[P.U. USD]]*Tabla1[[#This Row],[CANTIDADES DE REFERENCIA]]</f>
        <v>0</v>
      </c>
      <c r="K907" s="36"/>
      <c r="L907" s="36"/>
      <c r="M907" s="36"/>
      <c r="N907" s="37" t="s">
        <v>1125</v>
      </c>
      <c r="O907" s="37"/>
      <c r="P907" s="39"/>
      <c r="Q907" s="37" t="s">
        <v>1964</v>
      </c>
      <c r="R907" s="37"/>
      <c r="S907" s="37" t="s">
        <v>1127</v>
      </c>
      <c r="T907" s="31"/>
    </row>
    <row r="908" spans="1:20">
      <c r="A908" s="31"/>
      <c r="B908" s="32"/>
      <c r="C908" s="33"/>
      <c r="D908" s="32" t="s">
        <v>1965</v>
      </c>
      <c r="E908" s="33" t="s">
        <v>116</v>
      </c>
      <c r="F908" s="34">
        <v>1</v>
      </c>
      <c r="G908" s="35">
        <v>0</v>
      </c>
      <c r="H908" s="35">
        <v>0</v>
      </c>
      <c r="I908" s="35">
        <f>Tabla1[[#This Row],[P.U. M.N.]]*Tabla1[[#This Row],[CANTIDADES DE REFERENCIA]]</f>
        <v>0</v>
      </c>
      <c r="J908" s="35">
        <f>Tabla1[[#This Row],[P.U. USD]]*Tabla1[[#This Row],[CANTIDADES DE REFERENCIA]]</f>
        <v>0</v>
      </c>
      <c r="K908" s="36"/>
      <c r="L908" s="36"/>
      <c r="M908" s="36"/>
      <c r="N908" s="37" t="s">
        <v>1125</v>
      </c>
      <c r="O908" s="37"/>
      <c r="P908" s="39"/>
      <c r="Q908" s="37" t="s">
        <v>1966</v>
      </c>
      <c r="R908" s="37"/>
      <c r="S908" s="37" t="s">
        <v>1127</v>
      </c>
      <c r="T908" s="31"/>
    </row>
    <row r="909" spans="1:20">
      <c r="A909" s="31"/>
      <c r="B909" s="32"/>
      <c r="C909" s="33"/>
      <c r="D909" s="32" t="s">
        <v>1967</v>
      </c>
      <c r="E909" s="33" t="s">
        <v>1154</v>
      </c>
      <c r="F909" s="34">
        <v>1</v>
      </c>
      <c r="G909" s="35">
        <v>0</v>
      </c>
      <c r="H909" s="35">
        <v>0</v>
      </c>
      <c r="I909" s="35">
        <f>Tabla1[[#This Row],[P.U. M.N.]]*Tabla1[[#This Row],[CANTIDADES DE REFERENCIA]]</f>
        <v>0</v>
      </c>
      <c r="J909" s="35">
        <f>Tabla1[[#This Row],[P.U. USD]]*Tabla1[[#This Row],[CANTIDADES DE REFERENCIA]]</f>
        <v>0</v>
      </c>
      <c r="K909" s="36"/>
      <c r="L909" s="36"/>
      <c r="M909" s="36"/>
      <c r="N909" s="37" t="s">
        <v>1125</v>
      </c>
      <c r="O909" s="37"/>
      <c r="P909" s="39"/>
      <c r="Q909" s="37" t="s">
        <v>1968</v>
      </c>
      <c r="R909" s="37"/>
      <c r="S909" s="37" t="s">
        <v>1127</v>
      </c>
      <c r="T909" s="31"/>
    </row>
    <row r="910" spans="1:20">
      <c r="A910" s="31"/>
      <c r="B910" s="32"/>
      <c r="C910" s="33"/>
      <c r="D910" s="32" t="s">
        <v>1969</v>
      </c>
      <c r="E910" s="33" t="s">
        <v>1154</v>
      </c>
      <c r="F910" s="34">
        <v>1</v>
      </c>
      <c r="G910" s="35">
        <v>0</v>
      </c>
      <c r="H910" s="35">
        <v>0</v>
      </c>
      <c r="I910" s="35">
        <f>Tabla1[[#This Row],[P.U. M.N.]]*Tabla1[[#This Row],[CANTIDADES DE REFERENCIA]]</f>
        <v>0</v>
      </c>
      <c r="J910" s="35">
        <f>Tabla1[[#This Row],[P.U. USD]]*Tabla1[[#This Row],[CANTIDADES DE REFERENCIA]]</f>
        <v>0</v>
      </c>
      <c r="K910" s="36"/>
      <c r="L910" s="36"/>
      <c r="M910" s="36"/>
      <c r="N910" s="37" t="s">
        <v>1125</v>
      </c>
      <c r="O910" s="37"/>
      <c r="P910" s="39"/>
      <c r="Q910" s="37" t="s">
        <v>1970</v>
      </c>
      <c r="R910" s="37"/>
      <c r="S910" s="37" t="s">
        <v>1127</v>
      </c>
      <c r="T910" s="31"/>
    </row>
    <row r="911" spans="1:20">
      <c r="A911" s="31"/>
      <c r="B911" s="32"/>
      <c r="C911" s="33"/>
      <c r="D911" s="32" t="s">
        <v>1971</v>
      </c>
      <c r="E911" s="33" t="s">
        <v>1154</v>
      </c>
      <c r="F911" s="34">
        <v>1</v>
      </c>
      <c r="G911" s="35">
        <v>0</v>
      </c>
      <c r="H911" s="35">
        <v>0</v>
      </c>
      <c r="I911" s="35">
        <f>Tabla1[[#This Row],[P.U. M.N.]]*Tabla1[[#This Row],[CANTIDADES DE REFERENCIA]]</f>
        <v>0</v>
      </c>
      <c r="J911" s="35">
        <f>Tabla1[[#This Row],[P.U. USD]]*Tabla1[[#This Row],[CANTIDADES DE REFERENCIA]]</f>
        <v>0</v>
      </c>
      <c r="K911" s="36"/>
      <c r="L911" s="36"/>
      <c r="M911" s="36"/>
      <c r="N911" s="37" t="s">
        <v>1125</v>
      </c>
      <c r="O911" s="37"/>
      <c r="P911" s="39"/>
      <c r="Q911" s="37" t="s">
        <v>1972</v>
      </c>
      <c r="R911" s="37"/>
      <c r="S911" s="37" t="s">
        <v>1127</v>
      </c>
      <c r="T911" s="31"/>
    </row>
    <row r="912" spans="1:20">
      <c r="A912" s="31"/>
      <c r="B912" s="32"/>
      <c r="C912" s="33"/>
      <c r="D912" s="32" t="s">
        <v>1973</v>
      </c>
      <c r="E912" s="33" t="s">
        <v>1154</v>
      </c>
      <c r="F912" s="34">
        <v>1</v>
      </c>
      <c r="G912" s="35">
        <v>0</v>
      </c>
      <c r="H912" s="35">
        <v>0</v>
      </c>
      <c r="I912" s="35">
        <f>Tabla1[[#This Row],[P.U. M.N.]]*Tabla1[[#This Row],[CANTIDADES DE REFERENCIA]]</f>
        <v>0</v>
      </c>
      <c r="J912" s="35">
        <f>Tabla1[[#This Row],[P.U. USD]]*Tabla1[[#This Row],[CANTIDADES DE REFERENCIA]]</f>
        <v>0</v>
      </c>
      <c r="K912" s="36"/>
      <c r="L912" s="36"/>
      <c r="M912" s="36"/>
      <c r="N912" s="37" t="s">
        <v>1125</v>
      </c>
      <c r="O912" s="37"/>
      <c r="P912" s="39"/>
      <c r="Q912" s="37" t="s">
        <v>1974</v>
      </c>
      <c r="R912" s="37"/>
      <c r="S912" s="37" t="s">
        <v>1127</v>
      </c>
      <c r="T912" s="31"/>
    </row>
    <row r="913" spans="1:20">
      <c r="A913" s="31"/>
      <c r="B913" s="32"/>
      <c r="C913" s="33"/>
      <c r="D913" s="32" t="s">
        <v>1975</v>
      </c>
      <c r="E913" s="33" t="s">
        <v>1154</v>
      </c>
      <c r="F913" s="34">
        <v>1</v>
      </c>
      <c r="G913" s="35">
        <v>0</v>
      </c>
      <c r="H913" s="35">
        <v>0</v>
      </c>
      <c r="I913" s="35">
        <f>Tabla1[[#This Row],[P.U. M.N.]]*Tabla1[[#This Row],[CANTIDADES DE REFERENCIA]]</f>
        <v>0</v>
      </c>
      <c r="J913" s="35">
        <f>Tabla1[[#This Row],[P.U. USD]]*Tabla1[[#This Row],[CANTIDADES DE REFERENCIA]]</f>
        <v>0</v>
      </c>
      <c r="K913" s="36"/>
      <c r="L913" s="36"/>
      <c r="M913" s="36"/>
      <c r="N913" s="37" t="s">
        <v>1125</v>
      </c>
      <c r="O913" s="37"/>
      <c r="P913" s="39"/>
      <c r="Q913" s="37" t="s">
        <v>1976</v>
      </c>
      <c r="R913" s="37"/>
      <c r="S913" s="37" t="s">
        <v>1127</v>
      </c>
      <c r="T913" s="31"/>
    </row>
    <row r="914" spans="1:20">
      <c r="A914" s="31"/>
      <c r="B914" s="32"/>
      <c r="C914" s="33"/>
      <c r="D914" s="32" t="s">
        <v>1977</v>
      </c>
      <c r="E914" s="33" t="s">
        <v>1154</v>
      </c>
      <c r="F914" s="34">
        <v>1</v>
      </c>
      <c r="G914" s="35">
        <v>0</v>
      </c>
      <c r="H914" s="35">
        <v>0</v>
      </c>
      <c r="I914" s="35">
        <f>Tabla1[[#This Row],[P.U. M.N.]]*Tabla1[[#This Row],[CANTIDADES DE REFERENCIA]]</f>
        <v>0</v>
      </c>
      <c r="J914" s="35">
        <f>Tabla1[[#This Row],[P.U. USD]]*Tabla1[[#This Row],[CANTIDADES DE REFERENCIA]]</f>
        <v>0</v>
      </c>
      <c r="K914" s="36"/>
      <c r="L914" s="36"/>
      <c r="M914" s="36"/>
      <c r="N914" s="37" t="s">
        <v>1125</v>
      </c>
      <c r="O914" s="37"/>
      <c r="P914" s="39"/>
      <c r="Q914" s="37" t="s">
        <v>1978</v>
      </c>
      <c r="R914" s="37"/>
      <c r="S914" s="37" t="s">
        <v>1127</v>
      </c>
      <c r="T914" s="31"/>
    </row>
    <row r="915" spans="1:20">
      <c r="A915" s="31"/>
      <c r="B915" s="32"/>
      <c r="C915" s="33"/>
      <c r="D915" s="32" t="s">
        <v>1979</v>
      </c>
      <c r="E915" s="33" t="s">
        <v>116</v>
      </c>
      <c r="F915" s="34">
        <v>1</v>
      </c>
      <c r="G915" s="35">
        <v>0</v>
      </c>
      <c r="H915" s="35">
        <v>0</v>
      </c>
      <c r="I915" s="35">
        <f>Tabla1[[#This Row],[P.U. M.N.]]*Tabla1[[#This Row],[CANTIDADES DE REFERENCIA]]</f>
        <v>0</v>
      </c>
      <c r="J915" s="35">
        <f>Tabla1[[#This Row],[P.U. USD]]*Tabla1[[#This Row],[CANTIDADES DE REFERENCIA]]</f>
        <v>0</v>
      </c>
      <c r="K915" s="36"/>
      <c r="L915" s="36"/>
      <c r="M915" s="36"/>
      <c r="N915" s="37" t="s">
        <v>1125</v>
      </c>
      <c r="O915" s="37"/>
      <c r="P915" s="39"/>
      <c r="Q915" s="37" t="s">
        <v>1980</v>
      </c>
      <c r="R915" s="37"/>
      <c r="S915" s="37" t="s">
        <v>1127</v>
      </c>
      <c r="T915" s="31"/>
    </row>
    <row r="916" spans="1:20">
      <c r="A916" s="31"/>
      <c r="B916" s="32"/>
      <c r="C916" s="33"/>
      <c r="D916" s="32" t="s">
        <v>1981</v>
      </c>
      <c r="E916" s="33" t="s">
        <v>116</v>
      </c>
      <c r="F916" s="34">
        <v>1</v>
      </c>
      <c r="G916" s="35">
        <v>0</v>
      </c>
      <c r="H916" s="35">
        <v>0</v>
      </c>
      <c r="I916" s="35">
        <f>Tabla1[[#This Row],[P.U. M.N.]]*Tabla1[[#This Row],[CANTIDADES DE REFERENCIA]]</f>
        <v>0</v>
      </c>
      <c r="J916" s="35">
        <f>Tabla1[[#This Row],[P.U. USD]]*Tabla1[[#This Row],[CANTIDADES DE REFERENCIA]]</f>
        <v>0</v>
      </c>
      <c r="K916" s="36"/>
      <c r="L916" s="36"/>
      <c r="M916" s="36"/>
      <c r="N916" s="37" t="s">
        <v>1125</v>
      </c>
      <c r="O916" s="37"/>
      <c r="P916" s="39"/>
      <c r="Q916" s="37" t="s">
        <v>1982</v>
      </c>
      <c r="R916" s="37"/>
      <c r="S916" s="37" t="s">
        <v>1127</v>
      </c>
      <c r="T916" s="31"/>
    </row>
    <row r="917" spans="1:20">
      <c r="A917" s="31"/>
      <c r="B917" s="32"/>
      <c r="C917" s="33"/>
      <c r="D917" s="32" t="s">
        <v>1983</v>
      </c>
      <c r="E917" s="33" t="s">
        <v>116</v>
      </c>
      <c r="F917" s="34">
        <v>1</v>
      </c>
      <c r="G917" s="35">
        <v>0</v>
      </c>
      <c r="H917" s="35">
        <v>0</v>
      </c>
      <c r="I917" s="35">
        <f>Tabla1[[#This Row],[P.U. M.N.]]*Tabla1[[#This Row],[CANTIDADES DE REFERENCIA]]</f>
        <v>0</v>
      </c>
      <c r="J917" s="35">
        <f>Tabla1[[#This Row],[P.U. USD]]*Tabla1[[#This Row],[CANTIDADES DE REFERENCIA]]</f>
        <v>0</v>
      </c>
      <c r="K917" s="36"/>
      <c r="L917" s="36"/>
      <c r="M917" s="36"/>
      <c r="N917" s="37" t="s">
        <v>1125</v>
      </c>
      <c r="O917" s="37"/>
      <c r="P917" s="39"/>
      <c r="Q917" s="37" t="s">
        <v>1984</v>
      </c>
      <c r="R917" s="37"/>
      <c r="S917" s="37" t="s">
        <v>1127</v>
      </c>
      <c r="T917" s="31"/>
    </row>
    <row r="918" spans="1:20">
      <c r="A918" s="31"/>
      <c r="B918" s="32"/>
      <c r="C918" s="33"/>
      <c r="D918" s="32" t="s">
        <v>1985</v>
      </c>
      <c r="E918" s="33" t="s">
        <v>116</v>
      </c>
      <c r="F918" s="34">
        <v>1</v>
      </c>
      <c r="G918" s="35">
        <v>0</v>
      </c>
      <c r="H918" s="35">
        <v>0</v>
      </c>
      <c r="I918" s="35">
        <f>Tabla1[[#This Row],[P.U. M.N.]]*Tabla1[[#This Row],[CANTIDADES DE REFERENCIA]]</f>
        <v>0</v>
      </c>
      <c r="J918" s="35">
        <f>Tabla1[[#This Row],[P.U. USD]]*Tabla1[[#This Row],[CANTIDADES DE REFERENCIA]]</f>
        <v>0</v>
      </c>
      <c r="K918" s="36"/>
      <c r="L918" s="36"/>
      <c r="M918" s="36"/>
      <c r="N918" s="37" t="s">
        <v>1125</v>
      </c>
      <c r="O918" s="37"/>
      <c r="P918" s="39"/>
      <c r="Q918" s="37" t="s">
        <v>1986</v>
      </c>
      <c r="R918" s="37"/>
      <c r="S918" s="37" t="s">
        <v>1127</v>
      </c>
      <c r="T918" s="31"/>
    </row>
    <row r="919" spans="1:20">
      <c r="A919" s="31"/>
      <c r="B919" s="32"/>
      <c r="C919" s="33"/>
      <c r="D919" s="32" t="s">
        <v>1987</v>
      </c>
      <c r="E919" s="33" t="s">
        <v>116</v>
      </c>
      <c r="F919" s="34">
        <v>1</v>
      </c>
      <c r="G919" s="35">
        <v>0</v>
      </c>
      <c r="H919" s="35">
        <v>0</v>
      </c>
      <c r="I919" s="35">
        <f>Tabla1[[#This Row],[P.U. M.N.]]*Tabla1[[#This Row],[CANTIDADES DE REFERENCIA]]</f>
        <v>0</v>
      </c>
      <c r="J919" s="35">
        <f>Tabla1[[#This Row],[P.U. USD]]*Tabla1[[#This Row],[CANTIDADES DE REFERENCIA]]</f>
        <v>0</v>
      </c>
      <c r="K919" s="36"/>
      <c r="L919" s="36"/>
      <c r="M919" s="36"/>
      <c r="N919" s="37" t="s">
        <v>1125</v>
      </c>
      <c r="O919" s="37"/>
      <c r="P919" s="39"/>
      <c r="Q919" s="37" t="s">
        <v>1988</v>
      </c>
      <c r="R919" s="37"/>
      <c r="S919" s="37" t="s">
        <v>1127</v>
      </c>
      <c r="T919" s="31"/>
    </row>
    <row r="920" spans="1:20">
      <c r="A920" s="31"/>
      <c r="B920" s="32"/>
      <c r="C920" s="33"/>
      <c r="D920" s="32" t="s">
        <v>1989</v>
      </c>
      <c r="E920" s="33" t="s">
        <v>116</v>
      </c>
      <c r="F920" s="34">
        <v>1</v>
      </c>
      <c r="G920" s="35">
        <v>0</v>
      </c>
      <c r="H920" s="35">
        <v>0</v>
      </c>
      <c r="I920" s="35">
        <f>Tabla1[[#This Row],[P.U. M.N.]]*Tabla1[[#This Row],[CANTIDADES DE REFERENCIA]]</f>
        <v>0</v>
      </c>
      <c r="J920" s="35">
        <f>Tabla1[[#This Row],[P.U. USD]]*Tabla1[[#This Row],[CANTIDADES DE REFERENCIA]]</f>
        <v>0</v>
      </c>
      <c r="K920" s="36"/>
      <c r="L920" s="36"/>
      <c r="M920" s="36"/>
      <c r="N920" s="37" t="s">
        <v>1125</v>
      </c>
      <c r="O920" s="37"/>
      <c r="P920" s="39"/>
      <c r="Q920" s="37" t="s">
        <v>1990</v>
      </c>
      <c r="R920" s="37"/>
      <c r="S920" s="37" t="s">
        <v>1127</v>
      </c>
      <c r="T920" s="31"/>
    </row>
    <row r="921" spans="1:20">
      <c r="A921" s="31"/>
      <c r="B921" s="32"/>
      <c r="C921" s="33"/>
      <c r="D921" s="32" t="s">
        <v>1991</v>
      </c>
      <c r="E921" s="33" t="s">
        <v>116</v>
      </c>
      <c r="F921" s="34">
        <v>1</v>
      </c>
      <c r="G921" s="35">
        <v>0</v>
      </c>
      <c r="H921" s="35">
        <v>0</v>
      </c>
      <c r="I921" s="35">
        <f>Tabla1[[#This Row],[P.U. M.N.]]*Tabla1[[#This Row],[CANTIDADES DE REFERENCIA]]</f>
        <v>0</v>
      </c>
      <c r="J921" s="35">
        <f>Tabla1[[#This Row],[P.U. USD]]*Tabla1[[#This Row],[CANTIDADES DE REFERENCIA]]</f>
        <v>0</v>
      </c>
      <c r="K921" s="36"/>
      <c r="L921" s="36"/>
      <c r="M921" s="36"/>
      <c r="N921" s="37" t="s">
        <v>1125</v>
      </c>
      <c r="O921" s="37"/>
      <c r="P921" s="39"/>
      <c r="Q921" s="37" t="s">
        <v>1992</v>
      </c>
      <c r="R921" s="37"/>
      <c r="S921" s="37" t="s">
        <v>1127</v>
      </c>
      <c r="T921" s="31"/>
    </row>
    <row r="922" spans="1:20">
      <c r="A922" s="31"/>
      <c r="B922" s="32"/>
      <c r="C922" s="33"/>
      <c r="D922" s="32" t="s">
        <v>1993</v>
      </c>
      <c r="E922" s="33" t="s">
        <v>116</v>
      </c>
      <c r="F922" s="34">
        <v>1</v>
      </c>
      <c r="G922" s="35">
        <v>0</v>
      </c>
      <c r="H922" s="35">
        <v>0</v>
      </c>
      <c r="I922" s="35">
        <f>Tabla1[[#This Row],[P.U. M.N.]]*Tabla1[[#This Row],[CANTIDADES DE REFERENCIA]]</f>
        <v>0</v>
      </c>
      <c r="J922" s="35">
        <f>Tabla1[[#This Row],[P.U. USD]]*Tabla1[[#This Row],[CANTIDADES DE REFERENCIA]]</f>
        <v>0</v>
      </c>
      <c r="K922" s="36"/>
      <c r="L922" s="36"/>
      <c r="M922" s="36"/>
      <c r="N922" s="37" t="s">
        <v>1125</v>
      </c>
      <c r="O922" s="37"/>
      <c r="P922" s="39"/>
      <c r="Q922" s="37" t="s">
        <v>1994</v>
      </c>
      <c r="R922" s="37"/>
      <c r="S922" s="37" t="s">
        <v>1127</v>
      </c>
      <c r="T922" s="31"/>
    </row>
    <row r="923" spans="1:20">
      <c r="A923" s="31"/>
      <c r="B923" s="32"/>
      <c r="C923" s="33"/>
      <c r="D923" s="32" t="s">
        <v>1995</v>
      </c>
      <c r="E923" s="33" t="s">
        <v>116</v>
      </c>
      <c r="F923" s="34">
        <v>1</v>
      </c>
      <c r="G923" s="35">
        <v>0</v>
      </c>
      <c r="H923" s="35">
        <v>0</v>
      </c>
      <c r="I923" s="35">
        <f>Tabla1[[#This Row],[P.U. M.N.]]*Tabla1[[#This Row],[CANTIDADES DE REFERENCIA]]</f>
        <v>0</v>
      </c>
      <c r="J923" s="35">
        <f>Tabla1[[#This Row],[P.U. USD]]*Tabla1[[#This Row],[CANTIDADES DE REFERENCIA]]</f>
        <v>0</v>
      </c>
      <c r="K923" s="36"/>
      <c r="L923" s="36"/>
      <c r="M923" s="36"/>
      <c r="N923" s="37" t="s">
        <v>1125</v>
      </c>
      <c r="O923" s="37"/>
      <c r="P923" s="39"/>
      <c r="Q923" s="37" t="s">
        <v>1996</v>
      </c>
      <c r="R923" s="37"/>
      <c r="S923" s="37" t="s">
        <v>1127</v>
      </c>
      <c r="T923" s="31"/>
    </row>
    <row r="924" spans="1:20">
      <c r="A924" s="31"/>
      <c r="B924" s="32"/>
      <c r="C924" s="33"/>
      <c r="D924" s="32" t="s">
        <v>1997</v>
      </c>
      <c r="E924" s="33" t="s">
        <v>42</v>
      </c>
      <c r="F924" s="34">
        <v>1</v>
      </c>
      <c r="G924" s="35">
        <v>0</v>
      </c>
      <c r="H924" s="35">
        <v>0</v>
      </c>
      <c r="I924" s="35">
        <f>Tabla1[[#This Row],[P.U. M.N.]]*Tabla1[[#This Row],[CANTIDADES DE REFERENCIA]]</f>
        <v>0</v>
      </c>
      <c r="J924" s="35">
        <f>Tabla1[[#This Row],[P.U. USD]]*Tabla1[[#This Row],[CANTIDADES DE REFERENCIA]]</f>
        <v>0</v>
      </c>
      <c r="K924" s="36"/>
      <c r="L924" s="36"/>
      <c r="M924" s="36"/>
      <c r="N924" s="37" t="s">
        <v>1125</v>
      </c>
      <c r="O924" s="37"/>
      <c r="P924" s="39"/>
      <c r="Q924" s="37" t="s">
        <v>1998</v>
      </c>
      <c r="R924" s="37"/>
      <c r="S924" s="37" t="s">
        <v>1127</v>
      </c>
      <c r="T924" s="31"/>
    </row>
    <row r="925" spans="1:20">
      <c r="A925" s="31"/>
      <c r="B925" s="32"/>
      <c r="C925" s="33"/>
      <c r="D925" s="32" t="s">
        <v>1999</v>
      </c>
      <c r="E925" s="33" t="s">
        <v>42</v>
      </c>
      <c r="F925" s="34">
        <v>1</v>
      </c>
      <c r="G925" s="35">
        <v>0</v>
      </c>
      <c r="H925" s="35">
        <v>0</v>
      </c>
      <c r="I925" s="35">
        <f>Tabla1[[#This Row],[P.U. M.N.]]*Tabla1[[#This Row],[CANTIDADES DE REFERENCIA]]</f>
        <v>0</v>
      </c>
      <c r="J925" s="35">
        <f>Tabla1[[#This Row],[P.U. USD]]*Tabla1[[#This Row],[CANTIDADES DE REFERENCIA]]</f>
        <v>0</v>
      </c>
      <c r="K925" s="36"/>
      <c r="L925" s="36"/>
      <c r="M925" s="36"/>
      <c r="N925" s="37" t="s">
        <v>1125</v>
      </c>
      <c r="O925" s="37"/>
      <c r="P925" s="39"/>
      <c r="Q925" s="37" t="s">
        <v>2000</v>
      </c>
      <c r="R925" s="37"/>
      <c r="S925" s="37" t="s">
        <v>1127</v>
      </c>
      <c r="T925" s="31"/>
    </row>
    <row r="926" spans="1:20">
      <c r="A926" s="31"/>
      <c r="B926" s="32"/>
      <c r="C926" s="33"/>
      <c r="D926" s="32" t="s">
        <v>2001</v>
      </c>
      <c r="E926" s="33" t="s">
        <v>42</v>
      </c>
      <c r="F926" s="34">
        <v>1</v>
      </c>
      <c r="G926" s="35">
        <v>0</v>
      </c>
      <c r="H926" s="35">
        <v>0</v>
      </c>
      <c r="I926" s="35">
        <f>Tabla1[[#This Row],[P.U. M.N.]]*Tabla1[[#This Row],[CANTIDADES DE REFERENCIA]]</f>
        <v>0</v>
      </c>
      <c r="J926" s="35">
        <f>Tabla1[[#This Row],[P.U. USD]]*Tabla1[[#This Row],[CANTIDADES DE REFERENCIA]]</f>
        <v>0</v>
      </c>
      <c r="K926" s="36"/>
      <c r="L926" s="36"/>
      <c r="M926" s="36"/>
      <c r="N926" s="37" t="s">
        <v>1125</v>
      </c>
      <c r="O926" s="37"/>
      <c r="P926" s="39"/>
      <c r="Q926" s="37" t="s">
        <v>2002</v>
      </c>
      <c r="R926" s="37"/>
      <c r="S926" s="37" t="s">
        <v>1127</v>
      </c>
      <c r="T926" s="31"/>
    </row>
    <row r="927" spans="1:20">
      <c r="A927" s="31"/>
      <c r="B927" s="32"/>
      <c r="C927" s="33"/>
      <c r="D927" s="32" t="s">
        <v>2003</v>
      </c>
      <c r="E927" s="33" t="s">
        <v>42</v>
      </c>
      <c r="F927" s="34">
        <v>1</v>
      </c>
      <c r="G927" s="35">
        <v>0</v>
      </c>
      <c r="H927" s="35">
        <v>0</v>
      </c>
      <c r="I927" s="35">
        <f>Tabla1[[#This Row],[P.U. M.N.]]*Tabla1[[#This Row],[CANTIDADES DE REFERENCIA]]</f>
        <v>0</v>
      </c>
      <c r="J927" s="35">
        <f>Tabla1[[#This Row],[P.U. USD]]*Tabla1[[#This Row],[CANTIDADES DE REFERENCIA]]</f>
        <v>0</v>
      </c>
      <c r="K927" s="36"/>
      <c r="L927" s="36"/>
      <c r="M927" s="36"/>
      <c r="N927" s="37" t="s">
        <v>1125</v>
      </c>
      <c r="O927" s="37"/>
      <c r="P927" s="39"/>
      <c r="Q927" s="37" t="s">
        <v>2004</v>
      </c>
      <c r="R927" s="37"/>
      <c r="S927" s="37" t="s">
        <v>1127</v>
      </c>
      <c r="T927" s="31"/>
    </row>
    <row r="928" spans="1:20">
      <c r="A928" s="31"/>
      <c r="B928" s="32"/>
      <c r="C928" s="33"/>
      <c r="D928" s="32" t="s">
        <v>2005</v>
      </c>
      <c r="E928" s="33" t="s">
        <v>42</v>
      </c>
      <c r="F928" s="34">
        <v>1</v>
      </c>
      <c r="G928" s="35">
        <v>0</v>
      </c>
      <c r="H928" s="35">
        <v>0</v>
      </c>
      <c r="I928" s="35">
        <f>Tabla1[[#This Row],[P.U. M.N.]]*Tabla1[[#This Row],[CANTIDADES DE REFERENCIA]]</f>
        <v>0</v>
      </c>
      <c r="J928" s="35">
        <f>Tabla1[[#This Row],[P.U. USD]]*Tabla1[[#This Row],[CANTIDADES DE REFERENCIA]]</f>
        <v>0</v>
      </c>
      <c r="K928" s="36"/>
      <c r="L928" s="36"/>
      <c r="M928" s="36"/>
      <c r="N928" s="37" t="s">
        <v>1125</v>
      </c>
      <c r="O928" s="37"/>
      <c r="P928" s="39"/>
      <c r="Q928" s="37" t="s">
        <v>2006</v>
      </c>
      <c r="R928" s="37"/>
      <c r="S928" s="37" t="s">
        <v>1127</v>
      </c>
      <c r="T928" s="31"/>
    </row>
    <row r="929" spans="1:20">
      <c r="A929" s="31"/>
      <c r="B929" s="32"/>
      <c r="C929" s="33"/>
      <c r="D929" s="32" t="s">
        <v>2007</v>
      </c>
      <c r="E929" s="33" t="s">
        <v>42</v>
      </c>
      <c r="F929" s="34">
        <v>1</v>
      </c>
      <c r="G929" s="35">
        <v>0</v>
      </c>
      <c r="H929" s="35">
        <v>0</v>
      </c>
      <c r="I929" s="35">
        <f>Tabla1[[#This Row],[P.U. M.N.]]*Tabla1[[#This Row],[CANTIDADES DE REFERENCIA]]</f>
        <v>0</v>
      </c>
      <c r="J929" s="35">
        <f>Tabla1[[#This Row],[P.U. USD]]*Tabla1[[#This Row],[CANTIDADES DE REFERENCIA]]</f>
        <v>0</v>
      </c>
      <c r="K929" s="36"/>
      <c r="L929" s="36"/>
      <c r="M929" s="36"/>
      <c r="N929" s="37" t="s">
        <v>1125</v>
      </c>
      <c r="O929" s="37"/>
      <c r="P929" s="39"/>
      <c r="Q929" s="37" t="s">
        <v>2008</v>
      </c>
      <c r="R929" s="37"/>
      <c r="S929" s="37" t="s">
        <v>1127</v>
      </c>
      <c r="T929" s="31"/>
    </row>
    <row r="930" spans="1:20">
      <c r="A930" s="31"/>
      <c r="B930" s="32"/>
      <c r="C930" s="33"/>
      <c r="D930" s="32" t="s">
        <v>2009</v>
      </c>
      <c r="E930" s="33" t="s">
        <v>2010</v>
      </c>
      <c r="F930" s="34">
        <v>1</v>
      </c>
      <c r="G930" s="35">
        <v>0</v>
      </c>
      <c r="H930" s="35">
        <v>0</v>
      </c>
      <c r="I930" s="35">
        <f>Tabla1[[#This Row],[P.U. M.N.]]*Tabla1[[#This Row],[CANTIDADES DE REFERENCIA]]</f>
        <v>0</v>
      </c>
      <c r="J930" s="35">
        <f>Tabla1[[#This Row],[P.U. USD]]*Tabla1[[#This Row],[CANTIDADES DE REFERENCIA]]</f>
        <v>0</v>
      </c>
      <c r="K930" s="36"/>
      <c r="L930" s="36"/>
      <c r="M930" s="36"/>
      <c r="N930" s="37" t="s">
        <v>1859</v>
      </c>
      <c r="O930" s="37"/>
      <c r="P930" s="39"/>
      <c r="Q930" s="37" t="s">
        <v>2011</v>
      </c>
      <c r="R930" s="37" t="s">
        <v>389</v>
      </c>
      <c r="S930" s="37"/>
      <c r="T930" s="31"/>
    </row>
    <row r="931" spans="1:20">
      <c r="A931" s="31"/>
      <c r="B931" s="32"/>
      <c r="C931" s="33"/>
      <c r="D931" s="32" t="s">
        <v>2012</v>
      </c>
      <c r="E931" s="33" t="s">
        <v>116</v>
      </c>
      <c r="F931" s="34">
        <v>1</v>
      </c>
      <c r="G931" s="35">
        <v>0</v>
      </c>
      <c r="H931" s="35">
        <v>0</v>
      </c>
      <c r="I931" s="35">
        <f>Tabla1[[#This Row],[P.U. M.N.]]*Tabla1[[#This Row],[CANTIDADES DE REFERENCIA]]</f>
        <v>0</v>
      </c>
      <c r="J931" s="35">
        <f>Tabla1[[#This Row],[P.U. USD]]*Tabla1[[#This Row],[CANTIDADES DE REFERENCIA]]</f>
        <v>0</v>
      </c>
      <c r="K931" s="36"/>
      <c r="L931" s="36"/>
      <c r="M931" s="36"/>
      <c r="N931" s="37" t="s">
        <v>1859</v>
      </c>
      <c r="O931" s="37"/>
      <c r="P931" s="39"/>
      <c r="Q931" s="37" t="s">
        <v>2013</v>
      </c>
      <c r="R931" s="37" t="s">
        <v>389</v>
      </c>
      <c r="S931" s="37"/>
      <c r="T931" s="31"/>
    </row>
    <row r="932" spans="1:20">
      <c r="A932" s="31"/>
      <c r="B932" s="32"/>
      <c r="C932" s="33"/>
      <c r="D932" s="32" t="s">
        <v>2014</v>
      </c>
      <c r="E932" s="33" t="s">
        <v>116</v>
      </c>
      <c r="F932" s="34">
        <v>1</v>
      </c>
      <c r="G932" s="35">
        <v>0</v>
      </c>
      <c r="H932" s="35">
        <v>0</v>
      </c>
      <c r="I932" s="35">
        <f>Tabla1[[#This Row],[P.U. M.N.]]*Tabla1[[#This Row],[CANTIDADES DE REFERENCIA]]</f>
        <v>0</v>
      </c>
      <c r="J932" s="35">
        <f>Tabla1[[#This Row],[P.U. USD]]*Tabla1[[#This Row],[CANTIDADES DE REFERENCIA]]</f>
        <v>0</v>
      </c>
      <c r="K932" s="36"/>
      <c r="L932" s="36"/>
      <c r="M932" s="36"/>
      <c r="N932" s="37" t="s">
        <v>1859</v>
      </c>
      <c r="O932" s="37"/>
      <c r="P932" s="39"/>
      <c r="Q932" s="37" t="s">
        <v>2015</v>
      </c>
      <c r="R932" s="37" t="s">
        <v>389</v>
      </c>
      <c r="S932" s="37"/>
      <c r="T932" s="31"/>
    </row>
    <row r="933" spans="1:20">
      <c r="A933" s="31"/>
      <c r="B933" s="32"/>
      <c r="C933" s="33"/>
      <c r="D933" s="32" t="s">
        <v>2016</v>
      </c>
      <c r="E933" s="33" t="s">
        <v>116</v>
      </c>
      <c r="F933" s="34">
        <v>1</v>
      </c>
      <c r="G933" s="35">
        <v>0</v>
      </c>
      <c r="H933" s="35">
        <v>0</v>
      </c>
      <c r="I933" s="35">
        <f>Tabla1[[#This Row],[P.U. M.N.]]*Tabla1[[#This Row],[CANTIDADES DE REFERENCIA]]</f>
        <v>0</v>
      </c>
      <c r="J933" s="35">
        <f>Tabla1[[#This Row],[P.U. USD]]*Tabla1[[#This Row],[CANTIDADES DE REFERENCIA]]</f>
        <v>0</v>
      </c>
      <c r="K933" s="36"/>
      <c r="L933" s="36"/>
      <c r="M933" s="36"/>
      <c r="N933" s="37" t="s">
        <v>1859</v>
      </c>
      <c r="O933" s="37"/>
      <c r="P933" s="39"/>
      <c r="Q933" s="37" t="s">
        <v>2017</v>
      </c>
      <c r="R933" s="37" t="s">
        <v>389</v>
      </c>
      <c r="S933" s="37"/>
      <c r="T933" s="31"/>
    </row>
    <row r="934" spans="1:20">
      <c r="A934" s="31"/>
      <c r="B934" s="32"/>
      <c r="C934" s="33"/>
      <c r="D934" s="32" t="s">
        <v>2018</v>
      </c>
      <c r="E934" s="33" t="s">
        <v>116</v>
      </c>
      <c r="F934" s="34">
        <v>1</v>
      </c>
      <c r="G934" s="35">
        <v>0</v>
      </c>
      <c r="H934" s="35">
        <v>0</v>
      </c>
      <c r="I934" s="35">
        <f>Tabla1[[#This Row],[P.U. M.N.]]*Tabla1[[#This Row],[CANTIDADES DE REFERENCIA]]</f>
        <v>0</v>
      </c>
      <c r="J934" s="35">
        <f>Tabla1[[#This Row],[P.U. USD]]*Tabla1[[#This Row],[CANTIDADES DE REFERENCIA]]</f>
        <v>0</v>
      </c>
      <c r="K934" s="36"/>
      <c r="L934" s="36"/>
      <c r="M934" s="36"/>
      <c r="N934" s="37" t="s">
        <v>1859</v>
      </c>
      <c r="O934" s="37"/>
      <c r="P934" s="39"/>
      <c r="Q934" s="37" t="s">
        <v>2019</v>
      </c>
      <c r="R934" s="37" t="s">
        <v>389</v>
      </c>
      <c r="S934" s="37"/>
      <c r="T934" s="31"/>
    </row>
    <row r="935" spans="1:20">
      <c r="A935" s="31"/>
      <c r="B935" s="32"/>
      <c r="C935" s="33"/>
      <c r="D935" s="32" t="s">
        <v>2020</v>
      </c>
      <c r="E935" s="33" t="s">
        <v>2010</v>
      </c>
      <c r="F935" s="34">
        <v>1</v>
      </c>
      <c r="G935" s="35">
        <v>0</v>
      </c>
      <c r="H935" s="35">
        <v>0</v>
      </c>
      <c r="I935" s="35">
        <f>Tabla1[[#This Row],[P.U. M.N.]]*Tabla1[[#This Row],[CANTIDADES DE REFERENCIA]]</f>
        <v>0</v>
      </c>
      <c r="J935" s="35">
        <f>Tabla1[[#This Row],[P.U. USD]]*Tabla1[[#This Row],[CANTIDADES DE REFERENCIA]]</f>
        <v>0</v>
      </c>
      <c r="K935" s="36"/>
      <c r="L935" s="36"/>
      <c r="M935" s="36"/>
      <c r="N935" s="37" t="s">
        <v>1859</v>
      </c>
      <c r="O935" s="37"/>
      <c r="P935" s="39"/>
      <c r="Q935" s="37" t="s">
        <v>2021</v>
      </c>
      <c r="R935" s="37" t="s">
        <v>389</v>
      </c>
      <c r="S935" s="37"/>
      <c r="T935" s="31"/>
    </row>
    <row r="936" spans="1:20">
      <c r="A936" s="31"/>
      <c r="B936" s="32"/>
      <c r="C936" s="33"/>
      <c r="D936" s="32" t="s">
        <v>2022</v>
      </c>
      <c r="E936" s="33" t="s">
        <v>2010</v>
      </c>
      <c r="F936" s="34">
        <v>1</v>
      </c>
      <c r="G936" s="35">
        <v>0</v>
      </c>
      <c r="H936" s="35">
        <v>0</v>
      </c>
      <c r="I936" s="35">
        <f>Tabla1[[#This Row],[P.U. M.N.]]*Tabla1[[#This Row],[CANTIDADES DE REFERENCIA]]</f>
        <v>0</v>
      </c>
      <c r="J936" s="35">
        <f>Tabla1[[#This Row],[P.U. USD]]*Tabla1[[#This Row],[CANTIDADES DE REFERENCIA]]</f>
        <v>0</v>
      </c>
      <c r="K936" s="36"/>
      <c r="L936" s="36"/>
      <c r="M936" s="36"/>
      <c r="N936" s="37" t="s">
        <v>1859</v>
      </c>
      <c r="O936" s="37"/>
      <c r="P936" s="39"/>
      <c r="Q936" s="37" t="s">
        <v>2023</v>
      </c>
      <c r="R936" s="37" t="s">
        <v>389</v>
      </c>
      <c r="S936" s="37"/>
      <c r="T936" s="31"/>
    </row>
    <row r="937" spans="1:20">
      <c r="A937" s="31"/>
      <c r="B937" s="32"/>
      <c r="C937" s="33"/>
      <c r="D937" s="32" t="s">
        <v>2024</v>
      </c>
      <c r="E937" s="33" t="s">
        <v>116</v>
      </c>
      <c r="F937" s="34">
        <v>1</v>
      </c>
      <c r="G937" s="35">
        <v>0</v>
      </c>
      <c r="H937" s="35">
        <v>0</v>
      </c>
      <c r="I937" s="35">
        <f>Tabla1[[#This Row],[P.U. M.N.]]*Tabla1[[#This Row],[CANTIDADES DE REFERENCIA]]</f>
        <v>0</v>
      </c>
      <c r="J937" s="35">
        <f>Tabla1[[#This Row],[P.U. USD]]*Tabla1[[#This Row],[CANTIDADES DE REFERENCIA]]</f>
        <v>0</v>
      </c>
      <c r="K937" s="36"/>
      <c r="L937" s="36"/>
      <c r="M937" s="36"/>
      <c r="N937" s="37" t="s">
        <v>2025</v>
      </c>
      <c r="O937" s="37"/>
      <c r="P937" s="39"/>
      <c r="Q937" s="37" t="s">
        <v>2026</v>
      </c>
      <c r="R937" s="37" t="s">
        <v>389</v>
      </c>
      <c r="S937" s="37"/>
      <c r="T937" s="31"/>
    </row>
    <row r="938" spans="1:20">
      <c r="A938" s="31"/>
      <c r="B938" s="32"/>
      <c r="C938" s="33"/>
      <c r="D938" s="32" t="s">
        <v>2027</v>
      </c>
      <c r="E938" s="33" t="s">
        <v>116</v>
      </c>
      <c r="F938" s="34">
        <v>1</v>
      </c>
      <c r="G938" s="35">
        <v>0</v>
      </c>
      <c r="H938" s="35">
        <v>0</v>
      </c>
      <c r="I938" s="35">
        <f>Tabla1[[#This Row],[P.U. M.N.]]*Tabla1[[#This Row],[CANTIDADES DE REFERENCIA]]</f>
        <v>0</v>
      </c>
      <c r="J938" s="35">
        <f>Tabla1[[#This Row],[P.U. USD]]*Tabla1[[#This Row],[CANTIDADES DE REFERENCIA]]</f>
        <v>0</v>
      </c>
      <c r="K938" s="36"/>
      <c r="L938" s="36"/>
      <c r="M938" s="36"/>
      <c r="N938" s="37" t="s">
        <v>1859</v>
      </c>
      <c r="O938" s="37"/>
      <c r="P938" s="39"/>
      <c r="Q938" s="37" t="s">
        <v>2028</v>
      </c>
      <c r="R938" s="37" t="s">
        <v>389</v>
      </c>
      <c r="S938" s="37"/>
      <c r="T938" s="31"/>
    </row>
    <row r="939" spans="1:20">
      <c r="A939" s="31"/>
      <c r="B939" s="32"/>
      <c r="C939" s="33"/>
      <c r="D939" s="32" t="s">
        <v>2029</v>
      </c>
      <c r="E939" s="33" t="s">
        <v>116</v>
      </c>
      <c r="F939" s="34">
        <v>1</v>
      </c>
      <c r="G939" s="35">
        <v>0</v>
      </c>
      <c r="H939" s="35">
        <v>0</v>
      </c>
      <c r="I939" s="35">
        <f>Tabla1[[#This Row],[P.U. M.N.]]*Tabla1[[#This Row],[CANTIDADES DE REFERENCIA]]</f>
        <v>0</v>
      </c>
      <c r="J939" s="35">
        <f>Tabla1[[#This Row],[P.U. USD]]*Tabla1[[#This Row],[CANTIDADES DE REFERENCIA]]</f>
        <v>0</v>
      </c>
      <c r="K939" s="36"/>
      <c r="L939" s="36"/>
      <c r="M939" s="36"/>
      <c r="N939" s="37" t="s">
        <v>1859</v>
      </c>
      <c r="O939" s="37"/>
      <c r="P939" s="39"/>
      <c r="Q939" s="37" t="s">
        <v>2030</v>
      </c>
      <c r="R939" s="37" t="s">
        <v>389</v>
      </c>
      <c r="S939" s="37"/>
      <c r="T939" s="31"/>
    </row>
    <row r="940" spans="1:20">
      <c r="A940" s="31"/>
      <c r="B940" s="32"/>
      <c r="C940" s="33"/>
      <c r="D940" s="32" t="s">
        <v>2031</v>
      </c>
      <c r="E940" s="33" t="s">
        <v>1154</v>
      </c>
      <c r="F940" s="34">
        <v>1</v>
      </c>
      <c r="G940" s="35">
        <v>0</v>
      </c>
      <c r="H940" s="35">
        <v>0</v>
      </c>
      <c r="I940" s="35">
        <f>Tabla1[[#This Row],[P.U. M.N.]]*Tabla1[[#This Row],[CANTIDADES DE REFERENCIA]]</f>
        <v>0</v>
      </c>
      <c r="J940" s="35">
        <f>Tabla1[[#This Row],[P.U. USD]]*Tabla1[[#This Row],[CANTIDADES DE REFERENCIA]]</f>
        <v>0</v>
      </c>
      <c r="K940" s="36"/>
      <c r="L940" s="36"/>
      <c r="M940" s="36"/>
      <c r="N940" s="37" t="s">
        <v>2032</v>
      </c>
      <c r="O940" s="37"/>
      <c r="P940" s="39"/>
      <c r="Q940" s="37" t="s">
        <v>2033</v>
      </c>
      <c r="R940" s="37" t="s">
        <v>389</v>
      </c>
      <c r="S940" s="37"/>
      <c r="T940" s="31"/>
    </row>
    <row r="941" spans="1:20">
      <c r="A941" s="31"/>
      <c r="B941" s="32"/>
      <c r="C941" s="33"/>
      <c r="D941" s="32" t="s">
        <v>2034</v>
      </c>
      <c r="E941" s="33" t="s">
        <v>116</v>
      </c>
      <c r="F941" s="34">
        <v>1</v>
      </c>
      <c r="G941" s="35">
        <v>0</v>
      </c>
      <c r="H941" s="35">
        <v>0</v>
      </c>
      <c r="I941" s="35">
        <f>Tabla1[[#This Row],[P.U. M.N.]]*Tabla1[[#This Row],[CANTIDADES DE REFERENCIA]]</f>
        <v>0</v>
      </c>
      <c r="J941" s="35">
        <f>Tabla1[[#This Row],[P.U. USD]]*Tabla1[[#This Row],[CANTIDADES DE REFERENCIA]]</f>
        <v>0</v>
      </c>
      <c r="K941" s="36"/>
      <c r="L941" s="36"/>
      <c r="M941" s="36"/>
      <c r="N941" s="37" t="s">
        <v>2032</v>
      </c>
      <c r="O941" s="37"/>
      <c r="P941" s="39"/>
      <c r="Q941" s="37" t="s">
        <v>2035</v>
      </c>
      <c r="R941" s="37" t="s">
        <v>389</v>
      </c>
      <c r="S941" s="37"/>
      <c r="T941" s="31"/>
    </row>
    <row r="942" spans="1:20">
      <c r="A942" s="31"/>
      <c r="B942" s="32"/>
      <c r="C942" s="33"/>
      <c r="D942" s="32" t="s">
        <v>2036</v>
      </c>
      <c r="E942" s="33" t="s">
        <v>116</v>
      </c>
      <c r="F942" s="34">
        <v>1</v>
      </c>
      <c r="G942" s="35">
        <v>0</v>
      </c>
      <c r="H942" s="35">
        <v>0</v>
      </c>
      <c r="I942" s="35">
        <f>Tabla1[[#This Row],[P.U. M.N.]]*Tabla1[[#This Row],[CANTIDADES DE REFERENCIA]]</f>
        <v>0</v>
      </c>
      <c r="J942" s="35">
        <f>Tabla1[[#This Row],[P.U. USD]]*Tabla1[[#This Row],[CANTIDADES DE REFERENCIA]]</f>
        <v>0</v>
      </c>
      <c r="K942" s="36"/>
      <c r="L942" s="36"/>
      <c r="M942" s="36"/>
      <c r="N942" s="37" t="s">
        <v>2032</v>
      </c>
      <c r="O942" s="37"/>
      <c r="P942" s="39"/>
      <c r="Q942" s="37" t="s">
        <v>2037</v>
      </c>
      <c r="R942" s="37" t="s">
        <v>389</v>
      </c>
      <c r="S942" s="37"/>
      <c r="T942" s="31"/>
    </row>
    <row r="943" spans="1:20">
      <c r="A943" s="31"/>
      <c r="B943" s="32"/>
      <c r="C943" s="33"/>
      <c r="D943" s="32" t="s">
        <v>2038</v>
      </c>
      <c r="E943" s="33" t="s">
        <v>1154</v>
      </c>
      <c r="F943" s="34">
        <v>1</v>
      </c>
      <c r="G943" s="35">
        <v>0</v>
      </c>
      <c r="H943" s="35">
        <v>0</v>
      </c>
      <c r="I943" s="35">
        <f>Tabla1[[#This Row],[P.U. M.N.]]*Tabla1[[#This Row],[CANTIDADES DE REFERENCIA]]</f>
        <v>0</v>
      </c>
      <c r="J943" s="35">
        <f>Tabla1[[#This Row],[P.U. USD]]*Tabla1[[#This Row],[CANTIDADES DE REFERENCIA]]</f>
        <v>0</v>
      </c>
      <c r="K943" s="36"/>
      <c r="L943" s="36"/>
      <c r="M943" s="36"/>
      <c r="N943" s="37" t="s">
        <v>2032</v>
      </c>
      <c r="O943" s="37"/>
      <c r="P943" s="39"/>
      <c r="Q943" s="37" t="s">
        <v>2039</v>
      </c>
      <c r="R943" s="37" t="s">
        <v>389</v>
      </c>
      <c r="S943" s="37"/>
      <c r="T943" s="31"/>
    </row>
    <row r="944" spans="1:20">
      <c r="A944" s="31"/>
      <c r="B944" s="32"/>
      <c r="C944" s="33"/>
      <c r="D944" s="32" t="s">
        <v>2040</v>
      </c>
      <c r="E944" s="33" t="s">
        <v>116</v>
      </c>
      <c r="F944" s="34">
        <v>1</v>
      </c>
      <c r="G944" s="35">
        <v>0</v>
      </c>
      <c r="H944" s="35">
        <v>0</v>
      </c>
      <c r="I944" s="35">
        <f>Tabla1[[#This Row],[P.U. M.N.]]*Tabla1[[#This Row],[CANTIDADES DE REFERENCIA]]</f>
        <v>0</v>
      </c>
      <c r="J944" s="35">
        <f>Tabla1[[#This Row],[P.U. USD]]*Tabla1[[#This Row],[CANTIDADES DE REFERENCIA]]</f>
        <v>0</v>
      </c>
      <c r="K944" s="36"/>
      <c r="L944" s="36"/>
      <c r="M944" s="36"/>
      <c r="N944" s="37" t="s">
        <v>2032</v>
      </c>
      <c r="O944" s="37"/>
      <c r="P944" s="39"/>
      <c r="Q944" s="37" t="s">
        <v>2041</v>
      </c>
      <c r="R944" s="37" t="s">
        <v>389</v>
      </c>
      <c r="S944" s="37"/>
      <c r="T944" s="31"/>
    </row>
    <row r="945" spans="1:20">
      <c r="A945" s="31"/>
      <c r="B945" s="32"/>
      <c r="C945" s="33"/>
      <c r="D945" s="32" t="s">
        <v>2042</v>
      </c>
      <c r="E945" s="33" t="s">
        <v>116</v>
      </c>
      <c r="F945" s="34">
        <v>1</v>
      </c>
      <c r="G945" s="35">
        <v>0</v>
      </c>
      <c r="H945" s="35">
        <v>0</v>
      </c>
      <c r="I945" s="35">
        <f>Tabla1[[#This Row],[P.U. M.N.]]*Tabla1[[#This Row],[CANTIDADES DE REFERENCIA]]</f>
        <v>0</v>
      </c>
      <c r="J945" s="35">
        <f>Tabla1[[#This Row],[P.U. USD]]*Tabla1[[#This Row],[CANTIDADES DE REFERENCIA]]</f>
        <v>0</v>
      </c>
      <c r="K945" s="36"/>
      <c r="L945" s="36"/>
      <c r="M945" s="36"/>
      <c r="N945" s="37" t="s">
        <v>2032</v>
      </c>
      <c r="O945" s="37"/>
      <c r="P945" s="39"/>
      <c r="Q945" s="37" t="s">
        <v>2043</v>
      </c>
      <c r="R945" s="37" t="s">
        <v>389</v>
      </c>
      <c r="S945" s="37"/>
      <c r="T945" s="31"/>
    </row>
    <row r="946" spans="1:20">
      <c r="A946" s="31"/>
      <c r="B946" s="32"/>
      <c r="C946" s="33"/>
      <c r="D946" s="32" t="s">
        <v>2044</v>
      </c>
      <c r="E946" s="33" t="s">
        <v>116</v>
      </c>
      <c r="F946" s="34">
        <v>1</v>
      </c>
      <c r="G946" s="35">
        <v>0</v>
      </c>
      <c r="H946" s="35">
        <v>0</v>
      </c>
      <c r="I946" s="35">
        <f>Tabla1[[#This Row],[P.U. M.N.]]*Tabla1[[#This Row],[CANTIDADES DE REFERENCIA]]</f>
        <v>0</v>
      </c>
      <c r="J946" s="35">
        <f>Tabla1[[#This Row],[P.U. USD]]*Tabla1[[#This Row],[CANTIDADES DE REFERENCIA]]</f>
        <v>0</v>
      </c>
      <c r="K946" s="36"/>
      <c r="L946" s="36"/>
      <c r="M946" s="36"/>
      <c r="N946" s="37" t="s">
        <v>2032</v>
      </c>
      <c r="O946" s="37"/>
      <c r="P946" s="39"/>
      <c r="Q946" s="37" t="s">
        <v>2045</v>
      </c>
      <c r="R946" s="37" t="s">
        <v>389</v>
      </c>
      <c r="S946" s="37"/>
      <c r="T946" s="31"/>
    </row>
    <row r="947" spans="1:20">
      <c r="A947" s="31"/>
      <c r="B947" s="32"/>
      <c r="C947" s="33"/>
      <c r="D947" s="32" t="s">
        <v>2046</v>
      </c>
      <c r="E947" s="33" t="s">
        <v>116</v>
      </c>
      <c r="F947" s="34">
        <v>1</v>
      </c>
      <c r="G947" s="35">
        <v>0</v>
      </c>
      <c r="H947" s="35">
        <v>0</v>
      </c>
      <c r="I947" s="35">
        <f>Tabla1[[#This Row],[P.U. M.N.]]*Tabla1[[#This Row],[CANTIDADES DE REFERENCIA]]</f>
        <v>0</v>
      </c>
      <c r="J947" s="35">
        <f>Tabla1[[#This Row],[P.U. USD]]*Tabla1[[#This Row],[CANTIDADES DE REFERENCIA]]</f>
        <v>0</v>
      </c>
      <c r="K947" s="36"/>
      <c r="L947" s="36"/>
      <c r="M947" s="36"/>
      <c r="N947" s="37" t="s">
        <v>2032</v>
      </c>
      <c r="O947" s="37"/>
      <c r="P947" s="39"/>
      <c r="Q947" s="37" t="s">
        <v>2047</v>
      </c>
      <c r="R947" s="37" t="s">
        <v>389</v>
      </c>
      <c r="S947" s="37"/>
      <c r="T947" s="31"/>
    </row>
    <row r="948" spans="1:20">
      <c r="A948" s="31"/>
      <c r="B948" s="32"/>
      <c r="C948" s="33"/>
      <c r="D948" s="32" t="s">
        <v>2048</v>
      </c>
      <c r="E948" s="33" t="s">
        <v>116</v>
      </c>
      <c r="F948" s="34">
        <v>1</v>
      </c>
      <c r="G948" s="35">
        <v>0</v>
      </c>
      <c r="H948" s="35">
        <v>0</v>
      </c>
      <c r="I948" s="35">
        <f>Tabla1[[#This Row],[P.U. M.N.]]*Tabla1[[#This Row],[CANTIDADES DE REFERENCIA]]</f>
        <v>0</v>
      </c>
      <c r="J948" s="35">
        <f>Tabla1[[#This Row],[P.U. USD]]*Tabla1[[#This Row],[CANTIDADES DE REFERENCIA]]</f>
        <v>0</v>
      </c>
      <c r="K948" s="36"/>
      <c r="L948" s="36"/>
      <c r="M948" s="36"/>
      <c r="N948" s="37" t="s">
        <v>2032</v>
      </c>
      <c r="O948" s="37"/>
      <c r="P948" s="39"/>
      <c r="Q948" s="37" t="s">
        <v>2049</v>
      </c>
      <c r="R948" s="37" t="s">
        <v>389</v>
      </c>
      <c r="S948" s="37"/>
      <c r="T948" s="31"/>
    </row>
    <row r="949" spans="1:20">
      <c r="A949" s="31"/>
      <c r="B949" s="32"/>
      <c r="C949" s="33"/>
      <c r="D949" s="32" t="s">
        <v>2050</v>
      </c>
      <c r="E949" s="33" t="s">
        <v>116</v>
      </c>
      <c r="F949" s="34">
        <v>1</v>
      </c>
      <c r="G949" s="35">
        <v>0</v>
      </c>
      <c r="H949" s="35">
        <v>0</v>
      </c>
      <c r="I949" s="35">
        <f>Tabla1[[#This Row],[P.U. M.N.]]*Tabla1[[#This Row],[CANTIDADES DE REFERENCIA]]</f>
        <v>0</v>
      </c>
      <c r="J949" s="35">
        <f>Tabla1[[#This Row],[P.U. USD]]*Tabla1[[#This Row],[CANTIDADES DE REFERENCIA]]</f>
        <v>0</v>
      </c>
      <c r="K949" s="36"/>
      <c r="L949" s="36"/>
      <c r="M949" s="36"/>
      <c r="N949" s="37" t="s">
        <v>2032</v>
      </c>
      <c r="O949" s="37"/>
      <c r="P949" s="39"/>
      <c r="Q949" s="37" t="s">
        <v>2051</v>
      </c>
      <c r="R949" s="37" t="s">
        <v>389</v>
      </c>
      <c r="S949" s="37"/>
      <c r="T949" s="31"/>
    </row>
    <row r="950" spans="1:20">
      <c r="A950" s="31"/>
      <c r="B950" s="32"/>
      <c r="C950" s="33"/>
      <c r="D950" s="32" t="s">
        <v>2052</v>
      </c>
      <c r="E950" s="33" t="s">
        <v>116</v>
      </c>
      <c r="F950" s="34">
        <v>1</v>
      </c>
      <c r="G950" s="35">
        <v>0</v>
      </c>
      <c r="H950" s="35">
        <v>0</v>
      </c>
      <c r="I950" s="35">
        <f>Tabla1[[#This Row],[P.U. M.N.]]*Tabla1[[#This Row],[CANTIDADES DE REFERENCIA]]</f>
        <v>0</v>
      </c>
      <c r="J950" s="35">
        <f>Tabla1[[#This Row],[P.U. USD]]*Tabla1[[#This Row],[CANTIDADES DE REFERENCIA]]</f>
        <v>0</v>
      </c>
      <c r="K950" s="36"/>
      <c r="L950" s="36"/>
      <c r="M950" s="36"/>
      <c r="N950" s="37" t="s">
        <v>2032</v>
      </c>
      <c r="O950" s="37"/>
      <c r="P950" s="39"/>
      <c r="Q950" s="37" t="s">
        <v>2053</v>
      </c>
      <c r="R950" s="37" t="s">
        <v>389</v>
      </c>
      <c r="S950" s="37"/>
      <c r="T950" s="31"/>
    </row>
    <row r="951" spans="1:20">
      <c r="A951" s="31"/>
      <c r="B951" s="32"/>
      <c r="C951" s="33"/>
      <c r="D951" s="32" t="s">
        <v>2054</v>
      </c>
      <c r="E951" s="33" t="s">
        <v>116</v>
      </c>
      <c r="F951" s="34">
        <v>1</v>
      </c>
      <c r="G951" s="35">
        <v>0</v>
      </c>
      <c r="H951" s="35">
        <v>0</v>
      </c>
      <c r="I951" s="35">
        <f>Tabla1[[#This Row],[P.U. M.N.]]*Tabla1[[#This Row],[CANTIDADES DE REFERENCIA]]</f>
        <v>0</v>
      </c>
      <c r="J951" s="35">
        <f>Tabla1[[#This Row],[P.U. USD]]*Tabla1[[#This Row],[CANTIDADES DE REFERENCIA]]</f>
        <v>0</v>
      </c>
      <c r="K951" s="36"/>
      <c r="L951" s="36"/>
      <c r="M951" s="36"/>
      <c r="N951" s="37" t="s">
        <v>2032</v>
      </c>
      <c r="O951" s="37"/>
      <c r="P951" s="39"/>
      <c r="Q951" s="37" t="s">
        <v>2055</v>
      </c>
      <c r="R951" s="37" t="s">
        <v>389</v>
      </c>
      <c r="S951" s="37"/>
      <c r="T951" s="31"/>
    </row>
    <row r="952" spans="1:20">
      <c r="A952" s="31"/>
      <c r="B952" s="32"/>
      <c r="C952" s="33"/>
      <c r="D952" s="32" t="s">
        <v>2056</v>
      </c>
      <c r="E952" s="33" t="s">
        <v>116</v>
      </c>
      <c r="F952" s="34">
        <v>1</v>
      </c>
      <c r="G952" s="35">
        <v>0</v>
      </c>
      <c r="H952" s="35">
        <v>0</v>
      </c>
      <c r="I952" s="35">
        <f>Tabla1[[#This Row],[P.U. M.N.]]*Tabla1[[#This Row],[CANTIDADES DE REFERENCIA]]</f>
        <v>0</v>
      </c>
      <c r="J952" s="35">
        <f>Tabla1[[#This Row],[P.U. USD]]*Tabla1[[#This Row],[CANTIDADES DE REFERENCIA]]</f>
        <v>0</v>
      </c>
      <c r="K952" s="36"/>
      <c r="L952" s="36"/>
      <c r="M952" s="36"/>
      <c r="N952" s="37" t="s">
        <v>2057</v>
      </c>
      <c r="O952" s="37"/>
      <c r="P952" s="39"/>
      <c r="Q952" s="37" t="s">
        <v>2058</v>
      </c>
      <c r="R952" s="37" t="s">
        <v>389</v>
      </c>
      <c r="S952" s="37"/>
      <c r="T952" s="31"/>
    </row>
    <row r="953" spans="1:20">
      <c r="A953" s="31"/>
      <c r="B953" s="32"/>
      <c r="C953" s="33"/>
      <c r="D953" s="32" t="s">
        <v>2059</v>
      </c>
      <c r="E953" s="33" t="s">
        <v>116</v>
      </c>
      <c r="F953" s="34">
        <v>1</v>
      </c>
      <c r="G953" s="35">
        <v>0</v>
      </c>
      <c r="H953" s="35">
        <v>0</v>
      </c>
      <c r="I953" s="35">
        <f>Tabla1[[#This Row],[P.U. M.N.]]*Tabla1[[#This Row],[CANTIDADES DE REFERENCIA]]</f>
        <v>0</v>
      </c>
      <c r="J953" s="35">
        <f>Tabla1[[#This Row],[P.U. USD]]*Tabla1[[#This Row],[CANTIDADES DE REFERENCIA]]</f>
        <v>0</v>
      </c>
      <c r="K953" s="36"/>
      <c r="L953" s="36"/>
      <c r="M953" s="36"/>
      <c r="N953" s="37" t="s">
        <v>2057</v>
      </c>
      <c r="O953" s="37"/>
      <c r="P953" s="39"/>
      <c r="Q953" s="37" t="s">
        <v>2060</v>
      </c>
      <c r="R953" s="37" t="s">
        <v>389</v>
      </c>
      <c r="S953" s="37"/>
      <c r="T953" s="31"/>
    </row>
    <row r="954" spans="1:20">
      <c r="A954" s="31"/>
      <c r="B954" s="32"/>
      <c r="C954" s="33"/>
      <c r="D954" s="32" t="s">
        <v>2061</v>
      </c>
      <c r="E954" s="33" t="s">
        <v>116</v>
      </c>
      <c r="F954" s="34">
        <v>1</v>
      </c>
      <c r="G954" s="35">
        <v>0</v>
      </c>
      <c r="H954" s="35">
        <v>0</v>
      </c>
      <c r="I954" s="35">
        <f>Tabla1[[#This Row],[P.U. M.N.]]*Tabla1[[#This Row],[CANTIDADES DE REFERENCIA]]</f>
        <v>0</v>
      </c>
      <c r="J954" s="35">
        <f>Tabla1[[#This Row],[P.U. USD]]*Tabla1[[#This Row],[CANTIDADES DE REFERENCIA]]</f>
        <v>0</v>
      </c>
      <c r="K954" s="36"/>
      <c r="L954" s="36"/>
      <c r="M954" s="36"/>
      <c r="N954" s="37" t="s">
        <v>2057</v>
      </c>
      <c r="O954" s="37"/>
      <c r="P954" s="39"/>
      <c r="Q954" s="37" t="s">
        <v>2062</v>
      </c>
      <c r="R954" s="37" t="s">
        <v>389</v>
      </c>
      <c r="S954" s="37"/>
      <c r="T954" s="31"/>
    </row>
    <row r="955" spans="1:20">
      <c r="A955" s="31"/>
      <c r="B955" s="32"/>
      <c r="C955" s="33"/>
      <c r="D955" s="32" t="s">
        <v>2063</v>
      </c>
      <c r="E955" s="33" t="s">
        <v>116</v>
      </c>
      <c r="F955" s="34">
        <v>1</v>
      </c>
      <c r="G955" s="35">
        <v>0</v>
      </c>
      <c r="H955" s="35">
        <v>0</v>
      </c>
      <c r="I955" s="35">
        <f>Tabla1[[#This Row],[P.U. M.N.]]*Tabla1[[#This Row],[CANTIDADES DE REFERENCIA]]</f>
        <v>0</v>
      </c>
      <c r="J955" s="35">
        <f>Tabla1[[#This Row],[P.U. USD]]*Tabla1[[#This Row],[CANTIDADES DE REFERENCIA]]</f>
        <v>0</v>
      </c>
      <c r="K955" s="36"/>
      <c r="L955" s="36"/>
      <c r="M955" s="36"/>
      <c r="N955" s="37" t="s">
        <v>2057</v>
      </c>
      <c r="O955" s="37"/>
      <c r="P955" s="39"/>
      <c r="Q955" s="37" t="s">
        <v>2064</v>
      </c>
      <c r="R955" s="37" t="s">
        <v>389</v>
      </c>
      <c r="S955" s="37"/>
      <c r="T955" s="31"/>
    </row>
    <row r="956" spans="1:20">
      <c r="A956" s="31"/>
      <c r="B956" s="32"/>
      <c r="C956" s="33"/>
      <c r="D956" s="32" t="s">
        <v>2065</v>
      </c>
      <c r="E956" s="33" t="s">
        <v>42</v>
      </c>
      <c r="F956" s="34">
        <v>1</v>
      </c>
      <c r="G956" s="35">
        <v>0</v>
      </c>
      <c r="H956" s="35">
        <v>0</v>
      </c>
      <c r="I956" s="35">
        <f>Tabla1[[#This Row],[P.U. M.N.]]*Tabla1[[#This Row],[CANTIDADES DE REFERENCIA]]</f>
        <v>0</v>
      </c>
      <c r="J956" s="35">
        <f>Tabla1[[#This Row],[P.U. USD]]*Tabla1[[#This Row],[CANTIDADES DE REFERENCIA]]</f>
        <v>0</v>
      </c>
      <c r="K956" s="36"/>
      <c r="L956" s="36"/>
      <c r="M956" s="36"/>
      <c r="N956" s="37" t="s">
        <v>2066</v>
      </c>
      <c r="O956" s="37"/>
      <c r="P956" s="39"/>
      <c r="Q956" s="37" t="s">
        <v>2067</v>
      </c>
      <c r="R956" s="37" t="s">
        <v>389</v>
      </c>
      <c r="S956" s="37"/>
      <c r="T956" s="31"/>
    </row>
    <row r="957" spans="1:20">
      <c r="A957" s="31"/>
      <c r="B957" s="32"/>
      <c r="C957" s="33"/>
      <c r="D957" s="32" t="s">
        <v>2068</v>
      </c>
      <c r="E957" s="33" t="s">
        <v>42</v>
      </c>
      <c r="F957" s="34">
        <v>1</v>
      </c>
      <c r="G957" s="35">
        <v>0</v>
      </c>
      <c r="H957" s="35">
        <v>0</v>
      </c>
      <c r="I957" s="35">
        <f>Tabla1[[#This Row],[P.U. M.N.]]*Tabla1[[#This Row],[CANTIDADES DE REFERENCIA]]</f>
        <v>0</v>
      </c>
      <c r="J957" s="35">
        <f>Tabla1[[#This Row],[P.U. USD]]*Tabla1[[#This Row],[CANTIDADES DE REFERENCIA]]</f>
        <v>0</v>
      </c>
      <c r="K957" s="36"/>
      <c r="L957" s="36"/>
      <c r="M957" s="36"/>
      <c r="N957" s="37" t="s">
        <v>2066</v>
      </c>
      <c r="O957" s="37"/>
      <c r="P957" s="39"/>
      <c r="Q957" s="37" t="s">
        <v>2069</v>
      </c>
      <c r="R957" s="37" t="s">
        <v>389</v>
      </c>
      <c r="S957" s="37"/>
      <c r="T957" s="31"/>
    </row>
    <row r="958" spans="1:20">
      <c r="A958" s="31"/>
      <c r="B958" s="32"/>
      <c r="C958" s="33"/>
      <c r="D958" s="32" t="s">
        <v>2070</v>
      </c>
      <c r="E958" s="33" t="s">
        <v>42</v>
      </c>
      <c r="F958" s="34">
        <v>1</v>
      </c>
      <c r="G958" s="35">
        <v>0</v>
      </c>
      <c r="H958" s="35">
        <v>0</v>
      </c>
      <c r="I958" s="35">
        <f>Tabla1[[#This Row],[P.U. M.N.]]*Tabla1[[#This Row],[CANTIDADES DE REFERENCIA]]</f>
        <v>0</v>
      </c>
      <c r="J958" s="35">
        <f>Tabla1[[#This Row],[P.U. USD]]*Tabla1[[#This Row],[CANTIDADES DE REFERENCIA]]</f>
        <v>0</v>
      </c>
      <c r="K958" s="36"/>
      <c r="L958" s="36"/>
      <c r="M958" s="36"/>
      <c r="N958" s="37" t="s">
        <v>2066</v>
      </c>
      <c r="O958" s="37"/>
      <c r="P958" s="39"/>
      <c r="Q958" s="37" t="s">
        <v>2071</v>
      </c>
      <c r="R958" s="37" t="s">
        <v>389</v>
      </c>
      <c r="S958" s="37"/>
      <c r="T958" s="31"/>
    </row>
    <row r="959" spans="1:20">
      <c r="A959" s="31"/>
      <c r="B959" s="32"/>
      <c r="C959" s="33"/>
      <c r="D959" s="32" t="s">
        <v>2072</v>
      </c>
      <c r="E959" s="33" t="s">
        <v>42</v>
      </c>
      <c r="F959" s="34">
        <v>1</v>
      </c>
      <c r="G959" s="35">
        <v>0</v>
      </c>
      <c r="H959" s="35">
        <v>0</v>
      </c>
      <c r="I959" s="35">
        <f>Tabla1[[#This Row],[P.U. M.N.]]*Tabla1[[#This Row],[CANTIDADES DE REFERENCIA]]</f>
        <v>0</v>
      </c>
      <c r="J959" s="35">
        <f>Tabla1[[#This Row],[P.U. USD]]*Tabla1[[#This Row],[CANTIDADES DE REFERENCIA]]</f>
        <v>0</v>
      </c>
      <c r="K959" s="36"/>
      <c r="L959" s="36"/>
      <c r="M959" s="36"/>
      <c r="N959" s="37" t="s">
        <v>2066</v>
      </c>
      <c r="O959" s="37"/>
      <c r="P959" s="39"/>
      <c r="Q959" s="37" t="s">
        <v>2073</v>
      </c>
      <c r="R959" s="37" t="s">
        <v>389</v>
      </c>
      <c r="S959" s="37"/>
      <c r="T959" s="31"/>
    </row>
    <row r="960" spans="1:20">
      <c r="A960" s="31"/>
      <c r="B960" s="32"/>
      <c r="C960" s="33"/>
      <c r="D960" s="32" t="s">
        <v>2074</v>
      </c>
      <c r="E960" s="33" t="s">
        <v>42</v>
      </c>
      <c r="F960" s="34">
        <v>1</v>
      </c>
      <c r="G960" s="35">
        <v>0</v>
      </c>
      <c r="H960" s="35">
        <v>0</v>
      </c>
      <c r="I960" s="35">
        <f>Tabla1[[#This Row],[P.U. M.N.]]*Tabla1[[#This Row],[CANTIDADES DE REFERENCIA]]</f>
        <v>0</v>
      </c>
      <c r="J960" s="35">
        <f>Tabla1[[#This Row],[P.U. USD]]*Tabla1[[#This Row],[CANTIDADES DE REFERENCIA]]</f>
        <v>0</v>
      </c>
      <c r="K960" s="36"/>
      <c r="L960" s="36"/>
      <c r="M960" s="36"/>
      <c r="N960" s="37" t="s">
        <v>2066</v>
      </c>
      <c r="O960" s="37"/>
      <c r="P960" s="39"/>
      <c r="Q960" s="37" t="s">
        <v>2075</v>
      </c>
      <c r="R960" s="37" t="s">
        <v>389</v>
      </c>
      <c r="S960" s="37"/>
      <c r="T960" s="31"/>
    </row>
    <row r="961" spans="1:20">
      <c r="A961" s="31"/>
      <c r="B961" s="32"/>
      <c r="C961" s="33"/>
      <c r="D961" s="32" t="s">
        <v>2076</v>
      </c>
      <c r="E961" s="33" t="s">
        <v>116</v>
      </c>
      <c r="F961" s="34">
        <v>1</v>
      </c>
      <c r="G961" s="35">
        <v>0</v>
      </c>
      <c r="H961" s="35">
        <v>0</v>
      </c>
      <c r="I961" s="35">
        <f>Tabla1[[#This Row],[P.U. M.N.]]*Tabla1[[#This Row],[CANTIDADES DE REFERENCIA]]</f>
        <v>0</v>
      </c>
      <c r="J961" s="35">
        <f>Tabla1[[#This Row],[P.U. USD]]*Tabla1[[#This Row],[CANTIDADES DE REFERENCIA]]</f>
        <v>0</v>
      </c>
      <c r="K961" s="36"/>
      <c r="L961" s="36"/>
      <c r="M961" s="36"/>
      <c r="N961" s="37" t="s">
        <v>1031</v>
      </c>
      <c r="O961" s="37" t="s">
        <v>1032</v>
      </c>
      <c r="P961" s="39"/>
      <c r="Q961" s="37" t="s">
        <v>2077</v>
      </c>
      <c r="R961" s="37"/>
      <c r="S961" s="37"/>
      <c r="T961" s="31"/>
    </row>
    <row r="962" spans="1:20">
      <c r="A962" s="31"/>
      <c r="B962" s="32"/>
      <c r="C962" s="33"/>
      <c r="D962" s="32" t="s">
        <v>2078</v>
      </c>
      <c r="E962" s="33" t="s">
        <v>116</v>
      </c>
      <c r="F962" s="34">
        <v>1</v>
      </c>
      <c r="G962" s="35">
        <v>0</v>
      </c>
      <c r="H962" s="35">
        <v>0</v>
      </c>
      <c r="I962" s="35">
        <f>Tabla1[[#This Row],[P.U. M.N.]]*Tabla1[[#This Row],[CANTIDADES DE REFERENCIA]]</f>
        <v>0</v>
      </c>
      <c r="J962" s="35">
        <f>Tabla1[[#This Row],[P.U. USD]]*Tabla1[[#This Row],[CANTIDADES DE REFERENCIA]]</f>
        <v>0</v>
      </c>
      <c r="K962" s="36"/>
      <c r="L962" s="36"/>
      <c r="M962" s="36"/>
      <c r="N962" s="37" t="s">
        <v>1031</v>
      </c>
      <c r="O962" s="37" t="s">
        <v>1032</v>
      </c>
      <c r="P962" s="39"/>
      <c r="Q962" s="37" t="s">
        <v>2079</v>
      </c>
      <c r="R962" s="37"/>
      <c r="S962" s="37"/>
      <c r="T962" s="31"/>
    </row>
    <row r="963" spans="1:20">
      <c r="A963" s="31"/>
      <c r="B963" s="32"/>
      <c r="C963" s="33"/>
      <c r="D963" s="32" t="s">
        <v>2080</v>
      </c>
      <c r="E963" s="33" t="s">
        <v>116</v>
      </c>
      <c r="F963" s="34">
        <v>1</v>
      </c>
      <c r="G963" s="35">
        <v>0</v>
      </c>
      <c r="H963" s="35">
        <v>0</v>
      </c>
      <c r="I963" s="35">
        <f>Tabla1[[#This Row],[P.U. M.N.]]*Tabla1[[#This Row],[CANTIDADES DE REFERENCIA]]</f>
        <v>0</v>
      </c>
      <c r="J963" s="35">
        <f>Tabla1[[#This Row],[P.U. USD]]*Tabla1[[#This Row],[CANTIDADES DE REFERENCIA]]</f>
        <v>0</v>
      </c>
      <c r="K963" s="36"/>
      <c r="L963" s="36"/>
      <c r="M963" s="36"/>
      <c r="N963" s="37" t="s">
        <v>1031</v>
      </c>
      <c r="O963" s="37" t="s">
        <v>1032</v>
      </c>
      <c r="P963" s="39"/>
      <c r="Q963" s="37" t="s">
        <v>2081</v>
      </c>
      <c r="R963" s="37"/>
      <c r="S963" s="37"/>
      <c r="T963" s="31"/>
    </row>
    <row r="964" spans="1:20">
      <c r="A964" s="31"/>
      <c r="B964" s="32"/>
      <c r="C964" s="33"/>
      <c r="D964" s="32" t="s">
        <v>2082</v>
      </c>
      <c r="E964" s="33" t="s">
        <v>116</v>
      </c>
      <c r="F964" s="34">
        <v>1</v>
      </c>
      <c r="G964" s="35">
        <v>0</v>
      </c>
      <c r="H964" s="35">
        <v>0</v>
      </c>
      <c r="I964" s="35">
        <f>Tabla1[[#This Row],[P.U. M.N.]]*Tabla1[[#This Row],[CANTIDADES DE REFERENCIA]]</f>
        <v>0</v>
      </c>
      <c r="J964" s="35">
        <f>Tabla1[[#This Row],[P.U. USD]]*Tabla1[[#This Row],[CANTIDADES DE REFERENCIA]]</f>
        <v>0</v>
      </c>
      <c r="K964" s="36"/>
      <c r="L964" s="36"/>
      <c r="M964" s="36"/>
      <c r="N964" s="37" t="s">
        <v>1031</v>
      </c>
      <c r="O964" s="37" t="s">
        <v>1032</v>
      </c>
      <c r="P964" s="39"/>
      <c r="Q964" s="37" t="s">
        <v>2083</v>
      </c>
      <c r="R964" s="37"/>
      <c r="S964" s="37"/>
      <c r="T964" s="31"/>
    </row>
    <row r="965" spans="1:20">
      <c r="A965" s="31"/>
      <c r="B965" s="32"/>
      <c r="C965" s="33"/>
      <c r="D965" s="32" t="s">
        <v>2084</v>
      </c>
      <c r="E965" s="33" t="s">
        <v>116</v>
      </c>
      <c r="F965" s="34">
        <v>1</v>
      </c>
      <c r="G965" s="35">
        <v>0</v>
      </c>
      <c r="H965" s="35">
        <v>0</v>
      </c>
      <c r="I965" s="35">
        <f>Tabla1[[#This Row],[P.U. M.N.]]*Tabla1[[#This Row],[CANTIDADES DE REFERENCIA]]</f>
        <v>0</v>
      </c>
      <c r="J965" s="35">
        <f>Tabla1[[#This Row],[P.U. USD]]*Tabla1[[#This Row],[CANTIDADES DE REFERENCIA]]</f>
        <v>0</v>
      </c>
      <c r="K965" s="36"/>
      <c r="L965" s="36"/>
      <c r="M965" s="36"/>
      <c r="N965" s="37" t="s">
        <v>1031</v>
      </c>
      <c r="O965" s="37" t="s">
        <v>1032</v>
      </c>
      <c r="P965" s="39"/>
      <c r="Q965" s="37" t="s">
        <v>2085</v>
      </c>
      <c r="R965" s="37"/>
      <c r="S965" s="37"/>
      <c r="T965" s="31"/>
    </row>
    <row r="966" spans="1:20">
      <c r="A966" s="31"/>
      <c r="B966" s="32"/>
      <c r="C966" s="33"/>
      <c r="D966" s="32" t="s">
        <v>2086</v>
      </c>
      <c r="E966" s="33" t="s">
        <v>116</v>
      </c>
      <c r="F966" s="34">
        <v>1</v>
      </c>
      <c r="G966" s="35">
        <v>0</v>
      </c>
      <c r="H966" s="35">
        <v>0</v>
      </c>
      <c r="I966" s="35">
        <f>Tabla1[[#This Row],[P.U. M.N.]]*Tabla1[[#This Row],[CANTIDADES DE REFERENCIA]]</f>
        <v>0</v>
      </c>
      <c r="J966" s="35">
        <f>Tabla1[[#This Row],[P.U. USD]]*Tabla1[[#This Row],[CANTIDADES DE REFERENCIA]]</f>
        <v>0</v>
      </c>
      <c r="K966" s="36"/>
      <c r="L966" s="36"/>
      <c r="M966" s="36"/>
      <c r="N966" s="37" t="s">
        <v>1031</v>
      </c>
      <c r="O966" s="37" t="s">
        <v>1032</v>
      </c>
      <c r="P966" s="39"/>
      <c r="Q966" s="37" t="s">
        <v>2087</v>
      </c>
      <c r="R966" s="37"/>
      <c r="S966" s="37"/>
      <c r="T966" s="31"/>
    </row>
    <row r="967" spans="1:20">
      <c r="A967" s="31"/>
      <c r="B967" s="32"/>
      <c r="C967" s="33"/>
      <c r="D967" s="32" t="s">
        <v>2088</v>
      </c>
      <c r="E967" s="33" t="s">
        <v>116</v>
      </c>
      <c r="F967" s="34">
        <v>1</v>
      </c>
      <c r="G967" s="35">
        <v>0</v>
      </c>
      <c r="H967" s="35">
        <v>0</v>
      </c>
      <c r="I967" s="35">
        <f>Tabla1[[#This Row],[P.U. M.N.]]*Tabla1[[#This Row],[CANTIDADES DE REFERENCIA]]</f>
        <v>0</v>
      </c>
      <c r="J967" s="35">
        <f>Tabla1[[#This Row],[P.U. USD]]*Tabla1[[#This Row],[CANTIDADES DE REFERENCIA]]</f>
        <v>0</v>
      </c>
      <c r="K967" s="36"/>
      <c r="L967" s="36"/>
      <c r="M967" s="36"/>
      <c r="N967" s="37" t="s">
        <v>1031</v>
      </c>
      <c r="O967" s="37" t="s">
        <v>1032</v>
      </c>
      <c r="P967" s="39"/>
      <c r="Q967" s="37" t="s">
        <v>2089</v>
      </c>
      <c r="R967" s="37"/>
      <c r="S967" s="37"/>
      <c r="T967" s="31"/>
    </row>
    <row r="968" spans="1:20">
      <c r="A968" s="31"/>
      <c r="B968" s="32"/>
      <c r="C968" s="33"/>
      <c r="D968" s="32" t="s">
        <v>2090</v>
      </c>
      <c r="E968" s="33" t="s">
        <v>116</v>
      </c>
      <c r="F968" s="34">
        <v>1</v>
      </c>
      <c r="G968" s="35">
        <v>0</v>
      </c>
      <c r="H968" s="35">
        <v>0</v>
      </c>
      <c r="I968" s="35">
        <f>Tabla1[[#This Row],[P.U. M.N.]]*Tabla1[[#This Row],[CANTIDADES DE REFERENCIA]]</f>
        <v>0</v>
      </c>
      <c r="J968" s="35">
        <f>Tabla1[[#This Row],[P.U. USD]]*Tabla1[[#This Row],[CANTIDADES DE REFERENCIA]]</f>
        <v>0</v>
      </c>
      <c r="K968" s="36"/>
      <c r="L968" s="36"/>
      <c r="M968" s="36"/>
      <c r="N968" s="37" t="s">
        <v>1031</v>
      </c>
      <c r="O968" s="37" t="s">
        <v>1032</v>
      </c>
      <c r="P968" s="39"/>
      <c r="Q968" s="37" t="s">
        <v>2091</v>
      </c>
      <c r="R968" s="37"/>
      <c r="S968" s="37"/>
      <c r="T968" s="31"/>
    </row>
    <row r="969" spans="1:20">
      <c r="A969" s="31"/>
      <c r="B969" s="32"/>
      <c r="C969" s="33"/>
      <c r="D969" s="32" t="s">
        <v>2092</v>
      </c>
      <c r="E969" s="33" t="s">
        <v>116</v>
      </c>
      <c r="F969" s="34">
        <v>1</v>
      </c>
      <c r="G969" s="35">
        <v>0</v>
      </c>
      <c r="H969" s="35">
        <v>0</v>
      </c>
      <c r="I969" s="35">
        <f>Tabla1[[#This Row],[P.U. M.N.]]*Tabla1[[#This Row],[CANTIDADES DE REFERENCIA]]</f>
        <v>0</v>
      </c>
      <c r="J969" s="35">
        <f>Tabla1[[#This Row],[P.U. USD]]*Tabla1[[#This Row],[CANTIDADES DE REFERENCIA]]</f>
        <v>0</v>
      </c>
      <c r="K969" s="36"/>
      <c r="L969" s="36"/>
      <c r="M969" s="36"/>
      <c r="N969" s="37" t="s">
        <v>1031</v>
      </c>
      <c r="O969" s="37" t="s">
        <v>1032</v>
      </c>
      <c r="P969" s="39"/>
      <c r="Q969" s="37" t="s">
        <v>2093</v>
      </c>
      <c r="R969" s="37"/>
      <c r="S969" s="37"/>
      <c r="T969" s="31"/>
    </row>
    <row r="970" spans="1:20">
      <c r="A970" s="31"/>
      <c r="B970" s="32"/>
      <c r="C970" s="33"/>
      <c r="D970" s="32" t="s">
        <v>2094</v>
      </c>
      <c r="E970" s="33" t="s">
        <v>116</v>
      </c>
      <c r="F970" s="34">
        <v>1</v>
      </c>
      <c r="G970" s="35">
        <v>0</v>
      </c>
      <c r="H970" s="35">
        <v>0</v>
      </c>
      <c r="I970" s="35">
        <f>Tabla1[[#This Row],[P.U. M.N.]]*Tabla1[[#This Row],[CANTIDADES DE REFERENCIA]]</f>
        <v>0</v>
      </c>
      <c r="J970" s="35">
        <f>Tabla1[[#This Row],[P.U. USD]]*Tabla1[[#This Row],[CANTIDADES DE REFERENCIA]]</f>
        <v>0</v>
      </c>
      <c r="K970" s="36"/>
      <c r="L970" s="36"/>
      <c r="M970" s="36"/>
      <c r="N970" s="37" t="s">
        <v>1031</v>
      </c>
      <c r="O970" s="37" t="s">
        <v>1032</v>
      </c>
      <c r="P970" s="39"/>
      <c r="Q970" s="37" t="s">
        <v>2095</v>
      </c>
      <c r="R970" s="37"/>
      <c r="S970" s="37"/>
      <c r="T970" s="31"/>
    </row>
    <row r="971" spans="1:20">
      <c r="A971" s="31"/>
      <c r="B971" s="32"/>
      <c r="C971" s="33"/>
      <c r="D971" s="32" t="s">
        <v>2096</v>
      </c>
      <c r="E971" s="33" t="s">
        <v>116</v>
      </c>
      <c r="F971" s="34">
        <v>1</v>
      </c>
      <c r="G971" s="35">
        <v>0</v>
      </c>
      <c r="H971" s="35">
        <v>0</v>
      </c>
      <c r="I971" s="35">
        <f>Tabla1[[#This Row],[P.U. M.N.]]*Tabla1[[#This Row],[CANTIDADES DE REFERENCIA]]</f>
        <v>0</v>
      </c>
      <c r="J971" s="35">
        <f>Tabla1[[#This Row],[P.U. USD]]*Tabla1[[#This Row],[CANTIDADES DE REFERENCIA]]</f>
        <v>0</v>
      </c>
      <c r="K971" s="36"/>
      <c r="L971" s="36"/>
      <c r="M971" s="36"/>
      <c r="N971" s="37" t="s">
        <v>2097</v>
      </c>
      <c r="O971" s="37"/>
      <c r="P971" s="39"/>
      <c r="Q971" s="37" t="s">
        <v>2098</v>
      </c>
      <c r="R971" s="37"/>
      <c r="S971" s="37" t="s">
        <v>2099</v>
      </c>
      <c r="T971" s="31"/>
    </row>
    <row r="972" spans="1:20">
      <c r="A972" s="31"/>
      <c r="B972" s="32"/>
      <c r="C972" s="33"/>
      <c r="D972" s="32" t="s">
        <v>2100</v>
      </c>
      <c r="E972" s="33" t="s">
        <v>116</v>
      </c>
      <c r="F972" s="34">
        <v>1</v>
      </c>
      <c r="G972" s="35">
        <v>0</v>
      </c>
      <c r="H972" s="35">
        <v>0</v>
      </c>
      <c r="I972" s="35">
        <f>Tabla1[[#This Row],[P.U. M.N.]]*Tabla1[[#This Row],[CANTIDADES DE REFERENCIA]]</f>
        <v>0</v>
      </c>
      <c r="J972" s="35">
        <f>Tabla1[[#This Row],[P.U. USD]]*Tabla1[[#This Row],[CANTIDADES DE REFERENCIA]]</f>
        <v>0</v>
      </c>
      <c r="K972" s="36"/>
      <c r="L972" s="36"/>
      <c r="M972" s="36"/>
      <c r="N972" s="37" t="s">
        <v>2097</v>
      </c>
      <c r="O972" s="37"/>
      <c r="P972" s="39"/>
      <c r="Q972" s="37" t="s">
        <v>2101</v>
      </c>
      <c r="R972" s="37"/>
      <c r="S972" s="37" t="s">
        <v>2099</v>
      </c>
      <c r="T972" s="31"/>
    </row>
    <row r="973" spans="1:20">
      <c r="A973" s="31"/>
      <c r="B973" s="32"/>
      <c r="C973" s="33"/>
      <c r="D973" s="32" t="s">
        <v>2102</v>
      </c>
      <c r="E973" s="33" t="s">
        <v>116</v>
      </c>
      <c r="F973" s="34">
        <v>1</v>
      </c>
      <c r="G973" s="35">
        <v>0</v>
      </c>
      <c r="H973" s="35">
        <v>0</v>
      </c>
      <c r="I973" s="35">
        <f>Tabla1[[#This Row],[P.U. M.N.]]*Tabla1[[#This Row],[CANTIDADES DE REFERENCIA]]</f>
        <v>0</v>
      </c>
      <c r="J973" s="35">
        <f>Tabla1[[#This Row],[P.U. USD]]*Tabla1[[#This Row],[CANTIDADES DE REFERENCIA]]</f>
        <v>0</v>
      </c>
      <c r="K973" s="36"/>
      <c r="L973" s="36"/>
      <c r="M973" s="36"/>
      <c r="N973" s="37" t="s">
        <v>2097</v>
      </c>
      <c r="O973" s="37"/>
      <c r="P973" s="39"/>
      <c r="Q973" s="37" t="s">
        <v>2103</v>
      </c>
      <c r="R973" s="37"/>
      <c r="S973" s="37" t="s">
        <v>2099</v>
      </c>
      <c r="T973" s="31"/>
    </row>
    <row r="974" spans="1:20">
      <c r="A974" s="31"/>
      <c r="B974" s="32"/>
      <c r="C974" s="33"/>
      <c r="D974" s="32" t="s">
        <v>2104</v>
      </c>
      <c r="E974" s="33" t="s">
        <v>116</v>
      </c>
      <c r="F974" s="34">
        <v>1</v>
      </c>
      <c r="G974" s="35">
        <v>0</v>
      </c>
      <c r="H974" s="35">
        <v>0</v>
      </c>
      <c r="I974" s="35">
        <f>Tabla1[[#This Row],[P.U. M.N.]]*Tabla1[[#This Row],[CANTIDADES DE REFERENCIA]]</f>
        <v>0</v>
      </c>
      <c r="J974" s="35">
        <f>Tabla1[[#This Row],[P.U. USD]]*Tabla1[[#This Row],[CANTIDADES DE REFERENCIA]]</f>
        <v>0</v>
      </c>
      <c r="K974" s="36"/>
      <c r="L974" s="36"/>
      <c r="M974" s="36"/>
      <c r="N974" s="37" t="s">
        <v>2097</v>
      </c>
      <c r="O974" s="37"/>
      <c r="P974" s="39"/>
      <c r="Q974" s="37" t="s">
        <v>2105</v>
      </c>
      <c r="R974" s="37"/>
      <c r="S974" s="37" t="s">
        <v>2099</v>
      </c>
      <c r="T974" s="31"/>
    </row>
    <row r="975" spans="1:20">
      <c r="A975" s="31"/>
      <c r="B975" s="32"/>
      <c r="C975" s="33"/>
      <c r="D975" s="32" t="s">
        <v>2106</v>
      </c>
      <c r="E975" s="33" t="s">
        <v>116</v>
      </c>
      <c r="F975" s="34">
        <v>1</v>
      </c>
      <c r="G975" s="35">
        <v>0</v>
      </c>
      <c r="H975" s="35">
        <v>0</v>
      </c>
      <c r="I975" s="35">
        <f>Tabla1[[#This Row],[P.U. M.N.]]*Tabla1[[#This Row],[CANTIDADES DE REFERENCIA]]</f>
        <v>0</v>
      </c>
      <c r="J975" s="35">
        <f>Tabla1[[#This Row],[P.U. USD]]*Tabla1[[#This Row],[CANTIDADES DE REFERENCIA]]</f>
        <v>0</v>
      </c>
      <c r="K975" s="36"/>
      <c r="L975" s="36"/>
      <c r="M975" s="36"/>
      <c r="N975" s="37" t="s">
        <v>2097</v>
      </c>
      <c r="O975" s="37"/>
      <c r="P975" s="39"/>
      <c r="Q975" s="37" t="s">
        <v>2107</v>
      </c>
      <c r="R975" s="37"/>
      <c r="S975" s="37" t="s">
        <v>2099</v>
      </c>
      <c r="T975" s="31"/>
    </row>
    <row r="976" spans="1:20">
      <c r="A976" s="31"/>
      <c r="B976" s="32"/>
      <c r="C976" s="33"/>
      <c r="D976" s="32" t="s">
        <v>2108</v>
      </c>
      <c r="E976" s="33" t="s">
        <v>116</v>
      </c>
      <c r="F976" s="34">
        <v>1</v>
      </c>
      <c r="G976" s="35">
        <v>0</v>
      </c>
      <c r="H976" s="35">
        <v>0</v>
      </c>
      <c r="I976" s="35">
        <f>Tabla1[[#This Row],[P.U. M.N.]]*Tabla1[[#This Row],[CANTIDADES DE REFERENCIA]]</f>
        <v>0</v>
      </c>
      <c r="J976" s="35">
        <f>Tabla1[[#This Row],[P.U. USD]]*Tabla1[[#This Row],[CANTIDADES DE REFERENCIA]]</f>
        <v>0</v>
      </c>
      <c r="K976" s="36"/>
      <c r="L976" s="36"/>
      <c r="M976" s="36"/>
      <c r="N976" s="37" t="s">
        <v>2097</v>
      </c>
      <c r="O976" s="37"/>
      <c r="P976" s="39"/>
      <c r="Q976" s="37" t="s">
        <v>2109</v>
      </c>
      <c r="R976" s="37"/>
      <c r="S976" s="37" t="s">
        <v>2099</v>
      </c>
      <c r="T976" s="31"/>
    </row>
    <row r="977" spans="1:20">
      <c r="A977" s="31"/>
      <c r="B977" s="32"/>
      <c r="C977" s="33"/>
      <c r="D977" s="32" t="s">
        <v>2110</v>
      </c>
      <c r="E977" s="33" t="s">
        <v>116</v>
      </c>
      <c r="F977" s="34">
        <v>1</v>
      </c>
      <c r="G977" s="35">
        <v>0</v>
      </c>
      <c r="H977" s="35">
        <v>0</v>
      </c>
      <c r="I977" s="35">
        <f>Tabla1[[#This Row],[P.U. M.N.]]*Tabla1[[#This Row],[CANTIDADES DE REFERENCIA]]</f>
        <v>0</v>
      </c>
      <c r="J977" s="35">
        <f>Tabla1[[#This Row],[P.U. USD]]*Tabla1[[#This Row],[CANTIDADES DE REFERENCIA]]</f>
        <v>0</v>
      </c>
      <c r="K977" s="36"/>
      <c r="L977" s="36"/>
      <c r="M977" s="36"/>
      <c r="N977" s="37" t="s">
        <v>2097</v>
      </c>
      <c r="O977" s="37"/>
      <c r="P977" s="39"/>
      <c r="Q977" s="37" t="s">
        <v>2111</v>
      </c>
      <c r="R977" s="37"/>
      <c r="S977" s="37" t="s">
        <v>2099</v>
      </c>
      <c r="T977" s="31"/>
    </row>
    <row r="978" spans="1:20">
      <c r="A978" s="31"/>
      <c r="B978" s="32"/>
      <c r="C978" s="33"/>
      <c r="D978" s="32" t="s">
        <v>2112</v>
      </c>
      <c r="E978" s="33" t="s">
        <v>1154</v>
      </c>
      <c r="F978" s="34">
        <v>1</v>
      </c>
      <c r="G978" s="35">
        <v>0</v>
      </c>
      <c r="H978" s="35">
        <v>0</v>
      </c>
      <c r="I978" s="35">
        <f>Tabla1[[#This Row],[P.U. M.N.]]*Tabla1[[#This Row],[CANTIDADES DE REFERENCIA]]</f>
        <v>0</v>
      </c>
      <c r="J978" s="35">
        <f>Tabla1[[#This Row],[P.U. USD]]*Tabla1[[#This Row],[CANTIDADES DE REFERENCIA]]</f>
        <v>0</v>
      </c>
      <c r="K978" s="36"/>
      <c r="L978" s="36"/>
      <c r="M978" s="36"/>
      <c r="N978" s="37" t="s">
        <v>2097</v>
      </c>
      <c r="O978" s="37"/>
      <c r="P978" s="39"/>
      <c r="Q978" s="37" t="s">
        <v>2113</v>
      </c>
      <c r="R978" s="37"/>
      <c r="S978" s="37" t="s">
        <v>2099</v>
      </c>
      <c r="T978" s="31"/>
    </row>
    <row r="979" spans="1:20">
      <c r="A979" s="31"/>
      <c r="B979" s="32"/>
      <c r="C979" s="33"/>
      <c r="D979" s="32" t="s">
        <v>2114</v>
      </c>
      <c r="E979" s="33" t="s">
        <v>1154</v>
      </c>
      <c r="F979" s="34">
        <v>1</v>
      </c>
      <c r="G979" s="35">
        <v>0</v>
      </c>
      <c r="H979" s="35">
        <v>0</v>
      </c>
      <c r="I979" s="35">
        <f>Tabla1[[#This Row],[P.U. M.N.]]*Tabla1[[#This Row],[CANTIDADES DE REFERENCIA]]</f>
        <v>0</v>
      </c>
      <c r="J979" s="35">
        <f>Tabla1[[#This Row],[P.U. USD]]*Tabla1[[#This Row],[CANTIDADES DE REFERENCIA]]</f>
        <v>0</v>
      </c>
      <c r="K979" s="36"/>
      <c r="L979" s="36"/>
      <c r="M979" s="36"/>
      <c r="N979" s="37" t="s">
        <v>2097</v>
      </c>
      <c r="O979" s="37"/>
      <c r="P979" s="39"/>
      <c r="Q979" s="37" t="s">
        <v>2115</v>
      </c>
      <c r="R979" s="37"/>
      <c r="S979" s="37" t="s">
        <v>2099</v>
      </c>
      <c r="T979" s="31"/>
    </row>
    <row r="980" spans="1:20">
      <c r="A980" s="31"/>
      <c r="B980" s="32"/>
      <c r="C980" s="33"/>
      <c r="D980" s="32" t="s">
        <v>2116</v>
      </c>
      <c r="E980" s="33" t="s">
        <v>1154</v>
      </c>
      <c r="F980" s="34">
        <v>1</v>
      </c>
      <c r="G980" s="35">
        <v>0</v>
      </c>
      <c r="H980" s="35">
        <v>0</v>
      </c>
      <c r="I980" s="35">
        <f>Tabla1[[#This Row],[P.U. M.N.]]*Tabla1[[#This Row],[CANTIDADES DE REFERENCIA]]</f>
        <v>0</v>
      </c>
      <c r="J980" s="35">
        <f>Tabla1[[#This Row],[P.U. USD]]*Tabla1[[#This Row],[CANTIDADES DE REFERENCIA]]</f>
        <v>0</v>
      </c>
      <c r="K980" s="36"/>
      <c r="L980" s="36"/>
      <c r="M980" s="36"/>
      <c r="N980" s="37" t="s">
        <v>2097</v>
      </c>
      <c r="O980" s="37"/>
      <c r="P980" s="39"/>
      <c r="Q980" s="37" t="s">
        <v>2117</v>
      </c>
      <c r="R980" s="37"/>
      <c r="S980" s="37" t="s">
        <v>2099</v>
      </c>
      <c r="T980" s="31"/>
    </row>
    <row r="981" spans="1:20">
      <c r="A981" s="31"/>
      <c r="B981" s="32"/>
      <c r="C981" s="33"/>
      <c r="D981" s="32" t="s">
        <v>2118</v>
      </c>
      <c r="E981" s="33" t="s">
        <v>1154</v>
      </c>
      <c r="F981" s="34">
        <v>1</v>
      </c>
      <c r="G981" s="35">
        <v>0</v>
      </c>
      <c r="H981" s="35">
        <v>0</v>
      </c>
      <c r="I981" s="35">
        <f>Tabla1[[#This Row],[P.U. M.N.]]*Tabla1[[#This Row],[CANTIDADES DE REFERENCIA]]</f>
        <v>0</v>
      </c>
      <c r="J981" s="35">
        <f>Tabla1[[#This Row],[P.U. USD]]*Tabla1[[#This Row],[CANTIDADES DE REFERENCIA]]</f>
        <v>0</v>
      </c>
      <c r="K981" s="36"/>
      <c r="L981" s="36"/>
      <c r="M981" s="36"/>
      <c r="N981" s="37" t="s">
        <v>2097</v>
      </c>
      <c r="O981" s="37"/>
      <c r="P981" s="39"/>
      <c r="Q981" s="37" t="s">
        <v>2119</v>
      </c>
      <c r="R981" s="37"/>
      <c r="S981" s="37" t="s">
        <v>2099</v>
      </c>
      <c r="T981" s="31"/>
    </row>
    <row r="982" spans="1:20">
      <c r="A982" s="31"/>
      <c r="B982" s="32"/>
      <c r="C982" s="33"/>
      <c r="D982" s="32" t="s">
        <v>2120</v>
      </c>
      <c r="E982" s="33" t="s">
        <v>116</v>
      </c>
      <c r="F982" s="34">
        <v>1</v>
      </c>
      <c r="G982" s="35">
        <v>0</v>
      </c>
      <c r="H982" s="35">
        <v>0</v>
      </c>
      <c r="I982" s="35">
        <f>Tabla1[[#This Row],[P.U. M.N.]]*Tabla1[[#This Row],[CANTIDADES DE REFERENCIA]]</f>
        <v>0</v>
      </c>
      <c r="J982" s="35">
        <f>Tabla1[[#This Row],[P.U. USD]]*Tabla1[[#This Row],[CANTIDADES DE REFERENCIA]]</f>
        <v>0</v>
      </c>
      <c r="K982" s="36"/>
      <c r="L982" s="36"/>
      <c r="M982" s="36"/>
      <c r="N982" s="37" t="s">
        <v>2097</v>
      </c>
      <c r="O982" s="37"/>
      <c r="P982" s="39"/>
      <c r="Q982" s="37" t="s">
        <v>2121</v>
      </c>
      <c r="R982" s="37"/>
      <c r="S982" s="37" t="s">
        <v>2099</v>
      </c>
      <c r="T982" s="31"/>
    </row>
    <row r="983" spans="1:20">
      <c r="A983" s="31"/>
      <c r="B983" s="32"/>
      <c r="C983" s="33"/>
      <c r="D983" s="32" t="s">
        <v>2122</v>
      </c>
      <c r="E983" s="33" t="s">
        <v>116</v>
      </c>
      <c r="F983" s="34">
        <v>1</v>
      </c>
      <c r="G983" s="35">
        <v>0</v>
      </c>
      <c r="H983" s="35">
        <v>0</v>
      </c>
      <c r="I983" s="35">
        <f>Tabla1[[#This Row],[P.U. M.N.]]*Tabla1[[#This Row],[CANTIDADES DE REFERENCIA]]</f>
        <v>0</v>
      </c>
      <c r="J983" s="35">
        <f>Tabla1[[#This Row],[P.U. USD]]*Tabla1[[#This Row],[CANTIDADES DE REFERENCIA]]</f>
        <v>0</v>
      </c>
      <c r="K983" s="36"/>
      <c r="L983" s="36"/>
      <c r="M983" s="36"/>
      <c r="N983" s="37" t="s">
        <v>2097</v>
      </c>
      <c r="O983" s="37"/>
      <c r="P983" s="39"/>
      <c r="Q983" s="37" t="s">
        <v>2123</v>
      </c>
      <c r="R983" s="37"/>
      <c r="S983" s="37" t="s">
        <v>2099</v>
      </c>
      <c r="T983" s="31"/>
    </row>
    <row r="984" spans="1:20">
      <c r="A984" s="31"/>
      <c r="B984" s="32"/>
      <c r="C984" s="33"/>
      <c r="D984" s="32" t="s">
        <v>2124</v>
      </c>
      <c r="E984" s="33" t="s">
        <v>116</v>
      </c>
      <c r="F984" s="34">
        <v>1</v>
      </c>
      <c r="G984" s="35">
        <v>0</v>
      </c>
      <c r="H984" s="35">
        <v>0</v>
      </c>
      <c r="I984" s="35">
        <f>Tabla1[[#This Row],[P.U. M.N.]]*Tabla1[[#This Row],[CANTIDADES DE REFERENCIA]]</f>
        <v>0</v>
      </c>
      <c r="J984" s="35">
        <f>Tabla1[[#This Row],[P.U. USD]]*Tabla1[[#This Row],[CANTIDADES DE REFERENCIA]]</f>
        <v>0</v>
      </c>
      <c r="K984" s="36"/>
      <c r="L984" s="36"/>
      <c r="M984" s="36"/>
      <c r="N984" s="37" t="s">
        <v>2097</v>
      </c>
      <c r="O984" s="37"/>
      <c r="P984" s="39"/>
      <c r="Q984" s="37" t="s">
        <v>2125</v>
      </c>
      <c r="R984" s="37"/>
      <c r="S984" s="37" t="s">
        <v>2099</v>
      </c>
      <c r="T984" s="31"/>
    </row>
    <row r="985" spans="1:20">
      <c r="A985" s="31"/>
      <c r="B985" s="32"/>
      <c r="C985" s="33"/>
      <c r="D985" s="32" t="s">
        <v>2126</v>
      </c>
      <c r="E985" s="33" t="s">
        <v>116</v>
      </c>
      <c r="F985" s="34">
        <v>1</v>
      </c>
      <c r="G985" s="35">
        <v>0</v>
      </c>
      <c r="H985" s="35">
        <v>0</v>
      </c>
      <c r="I985" s="35">
        <f>Tabla1[[#This Row],[P.U. M.N.]]*Tabla1[[#This Row],[CANTIDADES DE REFERENCIA]]</f>
        <v>0</v>
      </c>
      <c r="J985" s="35">
        <f>Tabla1[[#This Row],[P.U. USD]]*Tabla1[[#This Row],[CANTIDADES DE REFERENCIA]]</f>
        <v>0</v>
      </c>
      <c r="K985" s="36"/>
      <c r="L985" s="36"/>
      <c r="M985" s="36"/>
      <c r="N985" s="37" t="s">
        <v>2097</v>
      </c>
      <c r="O985" s="37"/>
      <c r="P985" s="39"/>
      <c r="Q985" s="37" t="s">
        <v>2127</v>
      </c>
      <c r="R985" s="37"/>
      <c r="S985" s="37" t="s">
        <v>2099</v>
      </c>
      <c r="T985" s="31"/>
    </row>
    <row r="986" spans="1:20">
      <c r="A986" s="31"/>
      <c r="B986" s="32"/>
      <c r="C986" s="33"/>
      <c r="D986" s="32" t="s">
        <v>2128</v>
      </c>
      <c r="E986" s="33" t="s">
        <v>116</v>
      </c>
      <c r="F986" s="34">
        <v>1</v>
      </c>
      <c r="G986" s="35">
        <v>0</v>
      </c>
      <c r="H986" s="35">
        <v>0</v>
      </c>
      <c r="I986" s="35">
        <f>Tabla1[[#This Row],[P.U. M.N.]]*Tabla1[[#This Row],[CANTIDADES DE REFERENCIA]]</f>
        <v>0</v>
      </c>
      <c r="J986" s="35">
        <f>Tabla1[[#This Row],[P.U. USD]]*Tabla1[[#This Row],[CANTIDADES DE REFERENCIA]]</f>
        <v>0</v>
      </c>
      <c r="K986" s="36"/>
      <c r="L986" s="36"/>
      <c r="M986" s="36"/>
      <c r="N986" s="37" t="s">
        <v>2097</v>
      </c>
      <c r="O986" s="37"/>
      <c r="P986" s="39"/>
      <c r="Q986" s="37" t="s">
        <v>2129</v>
      </c>
      <c r="R986" s="37"/>
      <c r="S986" s="37" t="s">
        <v>2099</v>
      </c>
      <c r="T986" s="31"/>
    </row>
    <row r="987" spans="1:20">
      <c r="A987" s="31"/>
      <c r="B987" s="32"/>
      <c r="C987" s="33"/>
      <c r="D987" s="32" t="s">
        <v>2130</v>
      </c>
      <c r="E987" s="33" t="s">
        <v>116</v>
      </c>
      <c r="F987" s="34">
        <v>1</v>
      </c>
      <c r="G987" s="35">
        <v>0</v>
      </c>
      <c r="H987" s="35">
        <v>0</v>
      </c>
      <c r="I987" s="35">
        <f>Tabla1[[#This Row],[P.U. M.N.]]*Tabla1[[#This Row],[CANTIDADES DE REFERENCIA]]</f>
        <v>0</v>
      </c>
      <c r="J987" s="35">
        <f>Tabla1[[#This Row],[P.U. USD]]*Tabla1[[#This Row],[CANTIDADES DE REFERENCIA]]</f>
        <v>0</v>
      </c>
      <c r="K987" s="36"/>
      <c r="L987" s="36"/>
      <c r="M987" s="36"/>
      <c r="N987" s="37" t="s">
        <v>2097</v>
      </c>
      <c r="O987" s="37"/>
      <c r="P987" s="39"/>
      <c r="Q987" s="37" t="s">
        <v>2131</v>
      </c>
      <c r="R987" s="37"/>
      <c r="S987" s="37" t="s">
        <v>2099</v>
      </c>
      <c r="T987" s="31"/>
    </row>
    <row r="988" spans="1:20">
      <c r="A988" s="31"/>
      <c r="B988" s="32"/>
      <c r="C988" s="33"/>
      <c r="D988" s="32" t="s">
        <v>2132</v>
      </c>
      <c r="E988" s="33" t="s">
        <v>116</v>
      </c>
      <c r="F988" s="34">
        <v>1</v>
      </c>
      <c r="G988" s="35">
        <v>0</v>
      </c>
      <c r="H988" s="35">
        <v>0</v>
      </c>
      <c r="I988" s="35">
        <f>Tabla1[[#This Row],[P.U. M.N.]]*Tabla1[[#This Row],[CANTIDADES DE REFERENCIA]]</f>
        <v>0</v>
      </c>
      <c r="J988" s="35">
        <f>Tabla1[[#This Row],[P.U. USD]]*Tabla1[[#This Row],[CANTIDADES DE REFERENCIA]]</f>
        <v>0</v>
      </c>
      <c r="K988" s="36"/>
      <c r="L988" s="36"/>
      <c r="M988" s="36"/>
      <c r="N988" s="37" t="s">
        <v>2097</v>
      </c>
      <c r="O988" s="37"/>
      <c r="P988" s="39"/>
      <c r="Q988" s="37" t="s">
        <v>2133</v>
      </c>
      <c r="R988" s="37"/>
      <c r="S988" s="37" t="s">
        <v>2099</v>
      </c>
      <c r="T988" s="31"/>
    </row>
    <row r="989" spans="1:20">
      <c r="A989" s="31"/>
      <c r="B989" s="32"/>
      <c r="C989" s="33"/>
      <c r="D989" s="32" t="s">
        <v>2134</v>
      </c>
      <c r="E989" s="33" t="s">
        <v>61</v>
      </c>
      <c r="F989" s="34">
        <v>1</v>
      </c>
      <c r="G989" s="35">
        <v>0</v>
      </c>
      <c r="H989" s="35">
        <v>0</v>
      </c>
      <c r="I989" s="35">
        <f>Tabla1[[#This Row],[P.U. M.N.]]*Tabla1[[#This Row],[CANTIDADES DE REFERENCIA]]</f>
        <v>0</v>
      </c>
      <c r="J989" s="35">
        <f>Tabla1[[#This Row],[P.U. USD]]*Tabla1[[#This Row],[CANTIDADES DE REFERENCIA]]</f>
        <v>0</v>
      </c>
      <c r="K989" s="36"/>
      <c r="L989" s="36"/>
      <c r="M989" s="36"/>
      <c r="N989" s="37" t="s">
        <v>2097</v>
      </c>
      <c r="O989" s="37"/>
      <c r="P989" s="39"/>
      <c r="Q989" s="37" t="s">
        <v>2135</v>
      </c>
      <c r="R989" s="37"/>
      <c r="S989" s="37" t="s">
        <v>2099</v>
      </c>
      <c r="T989" s="31"/>
    </row>
    <row r="990" spans="1:20">
      <c r="A990" s="31"/>
      <c r="B990" s="32"/>
      <c r="C990" s="33"/>
      <c r="D990" s="32" t="s">
        <v>2136</v>
      </c>
      <c r="E990" s="33" t="s">
        <v>116</v>
      </c>
      <c r="F990" s="34">
        <v>1</v>
      </c>
      <c r="G990" s="35">
        <v>0</v>
      </c>
      <c r="H990" s="35">
        <v>0</v>
      </c>
      <c r="I990" s="35">
        <f>Tabla1[[#This Row],[P.U. M.N.]]*Tabla1[[#This Row],[CANTIDADES DE REFERENCIA]]</f>
        <v>0</v>
      </c>
      <c r="J990" s="35">
        <f>Tabla1[[#This Row],[P.U. USD]]*Tabla1[[#This Row],[CANTIDADES DE REFERENCIA]]</f>
        <v>0</v>
      </c>
      <c r="K990" s="36"/>
      <c r="L990" s="36"/>
      <c r="M990" s="36"/>
      <c r="N990" s="37" t="s">
        <v>2097</v>
      </c>
      <c r="O990" s="37"/>
      <c r="P990" s="39"/>
      <c r="Q990" s="37" t="s">
        <v>2137</v>
      </c>
      <c r="R990" s="37"/>
      <c r="S990" s="37" t="s">
        <v>2099</v>
      </c>
      <c r="T990" s="31"/>
    </row>
    <row r="991" spans="1:20">
      <c r="A991" s="31"/>
      <c r="B991" s="32"/>
      <c r="C991" s="33"/>
      <c r="D991" s="32" t="s">
        <v>2138</v>
      </c>
      <c r="E991" s="33" t="s">
        <v>116</v>
      </c>
      <c r="F991" s="34">
        <v>1</v>
      </c>
      <c r="G991" s="35">
        <v>0</v>
      </c>
      <c r="H991" s="35">
        <v>0</v>
      </c>
      <c r="I991" s="35">
        <f>Tabla1[[#This Row],[P.U. M.N.]]*Tabla1[[#This Row],[CANTIDADES DE REFERENCIA]]</f>
        <v>0</v>
      </c>
      <c r="J991" s="35">
        <f>Tabla1[[#This Row],[P.U. USD]]*Tabla1[[#This Row],[CANTIDADES DE REFERENCIA]]</f>
        <v>0</v>
      </c>
      <c r="K991" s="36"/>
      <c r="L991" s="36"/>
      <c r="M991" s="36"/>
      <c r="N991" s="37" t="s">
        <v>2097</v>
      </c>
      <c r="O991" s="37"/>
      <c r="P991" s="39"/>
      <c r="Q991" s="37" t="s">
        <v>2139</v>
      </c>
      <c r="R991" s="37"/>
      <c r="S991" s="37" t="s">
        <v>2099</v>
      </c>
      <c r="T991" s="31"/>
    </row>
    <row r="992" spans="1:20">
      <c r="A992" s="31"/>
      <c r="B992" s="32"/>
      <c r="C992" s="33"/>
      <c r="D992" s="32" t="s">
        <v>2140</v>
      </c>
      <c r="E992" s="33" t="s">
        <v>116</v>
      </c>
      <c r="F992" s="34">
        <v>1</v>
      </c>
      <c r="G992" s="35">
        <v>0</v>
      </c>
      <c r="H992" s="35">
        <v>0</v>
      </c>
      <c r="I992" s="35">
        <f>Tabla1[[#This Row],[P.U. M.N.]]*Tabla1[[#This Row],[CANTIDADES DE REFERENCIA]]</f>
        <v>0</v>
      </c>
      <c r="J992" s="35">
        <f>Tabla1[[#This Row],[P.U. USD]]*Tabla1[[#This Row],[CANTIDADES DE REFERENCIA]]</f>
        <v>0</v>
      </c>
      <c r="K992" s="36"/>
      <c r="L992" s="36"/>
      <c r="M992" s="36"/>
      <c r="N992" s="37" t="s">
        <v>89</v>
      </c>
      <c r="O992" s="37" t="s">
        <v>90</v>
      </c>
      <c r="P992" s="38"/>
      <c r="Q992" s="37" t="s">
        <v>2141</v>
      </c>
      <c r="R992" s="37"/>
      <c r="S992" s="37" t="s">
        <v>2142</v>
      </c>
      <c r="T992" s="31"/>
    </row>
    <row r="993" spans="1:20">
      <c r="A993" s="31"/>
      <c r="B993" s="32"/>
      <c r="C993" s="33"/>
      <c r="D993" s="32" t="s">
        <v>2143</v>
      </c>
      <c r="E993" s="33" t="s">
        <v>116</v>
      </c>
      <c r="F993" s="34">
        <v>1</v>
      </c>
      <c r="G993" s="35">
        <v>0</v>
      </c>
      <c r="H993" s="35">
        <v>0</v>
      </c>
      <c r="I993" s="35">
        <f>Tabla1[[#This Row],[P.U. M.N.]]*Tabla1[[#This Row],[CANTIDADES DE REFERENCIA]]</f>
        <v>0</v>
      </c>
      <c r="J993" s="35">
        <f>Tabla1[[#This Row],[P.U. USD]]*Tabla1[[#This Row],[CANTIDADES DE REFERENCIA]]</f>
        <v>0</v>
      </c>
      <c r="K993" s="36"/>
      <c r="L993" s="36"/>
      <c r="M993" s="36"/>
      <c r="N993" s="37" t="s">
        <v>89</v>
      </c>
      <c r="O993" s="37" t="s">
        <v>90</v>
      </c>
      <c r="P993" s="38"/>
      <c r="Q993" s="37" t="s">
        <v>2144</v>
      </c>
      <c r="R993" s="37"/>
      <c r="S993" s="37" t="s">
        <v>2142</v>
      </c>
      <c r="T993" s="31"/>
    </row>
    <row r="994" spans="1:20">
      <c r="A994" s="31"/>
      <c r="B994" s="32"/>
      <c r="C994" s="33"/>
      <c r="D994" s="32" t="s">
        <v>2145</v>
      </c>
      <c r="E994" s="33" t="s">
        <v>116</v>
      </c>
      <c r="F994" s="34">
        <v>1</v>
      </c>
      <c r="G994" s="35">
        <v>0</v>
      </c>
      <c r="H994" s="35">
        <v>0</v>
      </c>
      <c r="I994" s="35">
        <f>Tabla1[[#This Row],[P.U. M.N.]]*Tabla1[[#This Row],[CANTIDADES DE REFERENCIA]]</f>
        <v>0</v>
      </c>
      <c r="J994" s="35">
        <f>Tabla1[[#This Row],[P.U. USD]]*Tabla1[[#This Row],[CANTIDADES DE REFERENCIA]]</f>
        <v>0</v>
      </c>
      <c r="K994" s="36"/>
      <c r="L994" s="36"/>
      <c r="M994" s="36"/>
      <c r="N994" s="37" t="s">
        <v>89</v>
      </c>
      <c r="O994" s="37" t="s">
        <v>90</v>
      </c>
      <c r="P994" s="38"/>
      <c r="Q994" s="37" t="s">
        <v>2146</v>
      </c>
      <c r="R994" s="37"/>
      <c r="S994" s="37" t="s">
        <v>2142</v>
      </c>
      <c r="T994" s="31"/>
    </row>
    <row r="995" spans="1:20">
      <c r="A995" s="31"/>
      <c r="B995" s="32"/>
      <c r="C995" s="33"/>
      <c r="D995" s="32" t="s">
        <v>2147</v>
      </c>
      <c r="E995" s="33" t="s">
        <v>116</v>
      </c>
      <c r="F995" s="34">
        <v>1</v>
      </c>
      <c r="G995" s="35">
        <v>0</v>
      </c>
      <c r="H995" s="35">
        <v>0</v>
      </c>
      <c r="I995" s="35">
        <f>Tabla1[[#This Row],[P.U. M.N.]]*Tabla1[[#This Row],[CANTIDADES DE REFERENCIA]]</f>
        <v>0</v>
      </c>
      <c r="J995" s="35">
        <f>Tabla1[[#This Row],[P.U. USD]]*Tabla1[[#This Row],[CANTIDADES DE REFERENCIA]]</f>
        <v>0</v>
      </c>
      <c r="K995" s="36"/>
      <c r="L995" s="36"/>
      <c r="M995" s="36"/>
      <c r="N995" s="37" t="s">
        <v>89</v>
      </c>
      <c r="O995" s="37" t="s">
        <v>90</v>
      </c>
      <c r="P995" s="38"/>
      <c r="Q995" s="37" t="s">
        <v>2148</v>
      </c>
      <c r="R995" s="37"/>
      <c r="S995" s="37" t="s">
        <v>2142</v>
      </c>
      <c r="T995" s="31"/>
    </row>
    <row r="996" spans="1:20">
      <c r="A996" s="31"/>
      <c r="B996" s="32"/>
      <c r="C996" s="33"/>
      <c r="D996" s="32" t="s">
        <v>2149</v>
      </c>
      <c r="E996" s="33" t="s">
        <v>116</v>
      </c>
      <c r="F996" s="34">
        <v>1</v>
      </c>
      <c r="G996" s="35">
        <v>0</v>
      </c>
      <c r="H996" s="35">
        <v>0</v>
      </c>
      <c r="I996" s="35">
        <f>Tabla1[[#This Row],[P.U. M.N.]]*Tabla1[[#This Row],[CANTIDADES DE REFERENCIA]]</f>
        <v>0</v>
      </c>
      <c r="J996" s="35">
        <f>Tabla1[[#This Row],[P.U. USD]]*Tabla1[[#This Row],[CANTIDADES DE REFERENCIA]]</f>
        <v>0</v>
      </c>
      <c r="K996" s="36"/>
      <c r="L996" s="36"/>
      <c r="M996" s="36"/>
      <c r="N996" s="37" t="s">
        <v>89</v>
      </c>
      <c r="O996" s="37" t="s">
        <v>90</v>
      </c>
      <c r="P996" s="38"/>
      <c r="Q996" s="37" t="s">
        <v>2150</v>
      </c>
      <c r="R996" s="37"/>
      <c r="S996" s="37" t="s">
        <v>2142</v>
      </c>
      <c r="T996" s="31"/>
    </row>
    <row r="997" spans="1:20">
      <c r="A997" s="31"/>
      <c r="B997" s="32"/>
      <c r="C997" s="33"/>
      <c r="D997" s="32" t="s">
        <v>2151</v>
      </c>
      <c r="E997" s="33" t="s">
        <v>116</v>
      </c>
      <c r="F997" s="34">
        <v>1</v>
      </c>
      <c r="G997" s="35">
        <v>0</v>
      </c>
      <c r="H997" s="35">
        <v>0</v>
      </c>
      <c r="I997" s="35">
        <f>Tabla1[[#This Row],[P.U. M.N.]]*Tabla1[[#This Row],[CANTIDADES DE REFERENCIA]]</f>
        <v>0</v>
      </c>
      <c r="J997" s="35">
        <f>Tabla1[[#This Row],[P.U. USD]]*Tabla1[[#This Row],[CANTIDADES DE REFERENCIA]]</f>
        <v>0</v>
      </c>
      <c r="K997" s="36"/>
      <c r="L997" s="36"/>
      <c r="M997" s="36"/>
      <c r="N997" s="37" t="s">
        <v>89</v>
      </c>
      <c r="O997" s="37" t="s">
        <v>90</v>
      </c>
      <c r="P997" s="38"/>
      <c r="Q997" s="37" t="s">
        <v>2152</v>
      </c>
      <c r="R997" s="37"/>
      <c r="S997" s="37" t="s">
        <v>2142</v>
      </c>
      <c r="T997" s="31"/>
    </row>
    <row r="998" spans="1:20">
      <c r="A998" s="31"/>
      <c r="B998" s="32"/>
      <c r="C998" s="33"/>
      <c r="D998" s="32" t="s">
        <v>2153</v>
      </c>
      <c r="E998" s="33" t="s">
        <v>116</v>
      </c>
      <c r="F998" s="34">
        <v>1</v>
      </c>
      <c r="G998" s="35">
        <v>0</v>
      </c>
      <c r="H998" s="35">
        <v>0</v>
      </c>
      <c r="I998" s="35">
        <f>Tabla1[[#This Row],[P.U. M.N.]]*Tabla1[[#This Row],[CANTIDADES DE REFERENCIA]]</f>
        <v>0</v>
      </c>
      <c r="J998" s="35">
        <f>Tabla1[[#This Row],[P.U. USD]]*Tabla1[[#This Row],[CANTIDADES DE REFERENCIA]]</f>
        <v>0</v>
      </c>
      <c r="K998" s="36"/>
      <c r="L998" s="36"/>
      <c r="M998" s="36"/>
      <c r="N998" s="37" t="s">
        <v>89</v>
      </c>
      <c r="O998" s="37" t="s">
        <v>90</v>
      </c>
      <c r="P998" s="38"/>
      <c r="Q998" s="37" t="s">
        <v>2154</v>
      </c>
      <c r="R998" s="37"/>
      <c r="S998" s="37" t="s">
        <v>2142</v>
      </c>
      <c r="T998" s="31"/>
    </row>
    <row r="999" spans="1:20">
      <c r="A999" s="31"/>
      <c r="B999" s="32"/>
      <c r="C999" s="33"/>
      <c r="D999" s="32" t="s">
        <v>2155</v>
      </c>
      <c r="E999" s="33" t="s">
        <v>116</v>
      </c>
      <c r="F999" s="34">
        <v>1</v>
      </c>
      <c r="G999" s="35">
        <v>0</v>
      </c>
      <c r="H999" s="35">
        <v>0</v>
      </c>
      <c r="I999" s="35">
        <f>Tabla1[[#This Row],[P.U. M.N.]]*Tabla1[[#This Row],[CANTIDADES DE REFERENCIA]]</f>
        <v>0</v>
      </c>
      <c r="J999" s="35">
        <f>Tabla1[[#This Row],[P.U. USD]]*Tabla1[[#This Row],[CANTIDADES DE REFERENCIA]]</f>
        <v>0</v>
      </c>
      <c r="K999" s="36"/>
      <c r="L999" s="36"/>
      <c r="M999" s="36"/>
      <c r="N999" s="37" t="s">
        <v>89</v>
      </c>
      <c r="O999" s="37" t="s">
        <v>90</v>
      </c>
      <c r="P999" s="38"/>
      <c r="Q999" s="37" t="s">
        <v>2156</v>
      </c>
      <c r="R999" s="37"/>
      <c r="S999" s="37" t="s">
        <v>2142</v>
      </c>
      <c r="T999" s="31"/>
    </row>
    <row r="1000" spans="1:20">
      <c r="A1000" s="31"/>
      <c r="B1000" s="32"/>
      <c r="C1000" s="33"/>
      <c r="D1000" s="32" t="s">
        <v>2157</v>
      </c>
      <c r="E1000" s="33" t="s">
        <v>116</v>
      </c>
      <c r="F1000" s="34">
        <v>1</v>
      </c>
      <c r="G1000" s="35">
        <v>0</v>
      </c>
      <c r="H1000" s="35">
        <v>0</v>
      </c>
      <c r="I1000" s="35">
        <f>Tabla1[[#This Row],[P.U. M.N.]]*Tabla1[[#This Row],[CANTIDADES DE REFERENCIA]]</f>
        <v>0</v>
      </c>
      <c r="J1000" s="35">
        <f>Tabla1[[#This Row],[P.U. USD]]*Tabla1[[#This Row],[CANTIDADES DE REFERENCIA]]</f>
        <v>0</v>
      </c>
      <c r="K1000" s="36"/>
      <c r="L1000" s="36"/>
      <c r="M1000" s="36"/>
      <c r="N1000" s="37" t="s">
        <v>89</v>
      </c>
      <c r="O1000" s="37" t="s">
        <v>90</v>
      </c>
      <c r="P1000" s="38"/>
      <c r="Q1000" s="37" t="s">
        <v>2158</v>
      </c>
      <c r="R1000" s="37"/>
      <c r="S1000" s="37" t="s">
        <v>2142</v>
      </c>
      <c r="T1000" s="31"/>
    </row>
    <row r="1001" spans="1:20">
      <c r="A1001" s="31"/>
      <c r="B1001" s="32"/>
      <c r="C1001" s="33"/>
      <c r="D1001" s="32" t="s">
        <v>2159</v>
      </c>
      <c r="E1001" s="33" t="s">
        <v>116</v>
      </c>
      <c r="F1001" s="34">
        <v>1</v>
      </c>
      <c r="G1001" s="35">
        <v>0</v>
      </c>
      <c r="H1001" s="35">
        <v>0</v>
      </c>
      <c r="I1001" s="35">
        <f>Tabla1[[#This Row],[P.U. M.N.]]*Tabla1[[#This Row],[CANTIDADES DE REFERENCIA]]</f>
        <v>0</v>
      </c>
      <c r="J1001" s="35">
        <f>Tabla1[[#This Row],[P.U. USD]]*Tabla1[[#This Row],[CANTIDADES DE REFERENCIA]]</f>
        <v>0</v>
      </c>
      <c r="K1001" s="36"/>
      <c r="L1001" s="36"/>
      <c r="M1001" s="36"/>
      <c r="N1001" s="37"/>
      <c r="O1001" s="37"/>
      <c r="P1001" s="38"/>
      <c r="Q1001" s="37" t="s">
        <v>2160</v>
      </c>
      <c r="R1001" s="37"/>
      <c r="S1001" s="37" t="s">
        <v>2161</v>
      </c>
      <c r="T1001" s="31"/>
    </row>
    <row r="1002" spans="1:20">
      <c r="A1002" s="31"/>
      <c r="B1002" s="32"/>
      <c r="C1002" s="33"/>
      <c r="D1002" s="32" t="s">
        <v>2162</v>
      </c>
      <c r="E1002" s="33" t="s">
        <v>116</v>
      </c>
      <c r="F1002" s="34">
        <v>1</v>
      </c>
      <c r="G1002" s="35">
        <v>0</v>
      </c>
      <c r="H1002" s="35">
        <v>0</v>
      </c>
      <c r="I1002" s="35">
        <f>Tabla1[[#This Row],[P.U. M.N.]]*Tabla1[[#This Row],[CANTIDADES DE REFERENCIA]]</f>
        <v>0</v>
      </c>
      <c r="J1002" s="35">
        <f>Tabla1[[#This Row],[P.U. USD]]*Tabla1[[#This Row],[CANTIDADES DE REFERENCIA]]</f>
        <v>0</v>
      </c>
      <c r="K1002" s="36"/>
      <c r="L1002" s="36"/>
      <c r="M1002" s="36"/>
      <c r="N1002" s="37" t="s">
        <v>89</v>
      </c>
      <c r="O1002" s="37" t="s">
        <v>90</v>
      </c>
      <c r="P1002" s="38"/>
      <c r="Q1002" s="37" t="s">
        <v>2163</v>
      </c>
      <c r="R1002" s="37"/>
      <c r="S1002" s="37" t="s">
        <v>2142</v>
      </c>
      <c r="T1002" s="31"/>
    </row>
    <row r="1003" spans="1:20">
      <c r="A1003" s="31"/>
      <c r="B1003" s="32"/>
      <c r="C1003" s="33"/>
      <c r="D1003" s="32" t="s">
        <v>2164</v>
      </c>
      <c r="E1003" s="33" t="s">
        <v>116</v>
      </c>
      <c r="F1003" s="34">
        <v>1</v>
      </c>
      <c r="G1003" s="35">
        <v>0</v>
      </c>
      <c r="H1003" s="35">
        <v>0</v>
      </c>
      <c r="I1003" s="35">
        <f>Tabla1[[#This Row],[P.U. M.N.]]*Tabla1[[#This Row],[CANTIDADES DE REFERENCIA]]</f>
        <v>0</v>
      </c>
      <c r="J1003" s="35">
        <f>Tabla1[[#This Row],[P.U. USD]]*Tabla1[[#This Row],[CANTIDADES DE REFERENCIA]]</f>
        <v>0</v>
      </c>
      <c r="K1003" s="36"/>
      <c r="L1003" s="36"/>
      <c r="M1003" s="36"/>
      <c r="N1003" s="37" t="s">
        <v>117</v>
      </c>
      <c r="O1003" s="37" t="s">
        <v>118</v>
      </c>
      <c r="P1003" s="38"/>
      <c r="Q1003" s="37" t="s">
        <v>2165</v>
      </c>
      <c r="R1003" s="37"/>
      <c r="S1003" s="37" t="s">
        <v>120</v>
      </c>
      <c r="T1003" s="31"/>
    </row>
    <row r="1004" spans="1:20">
      <c r="A1004" s="31"/>
      <c r="B1004" s="32"/>
      <c r="C1004" s="33"/>
      <c r="D1004" s="32" t="s">
        <v>2166</v>
      </c>
      <c r="E1004" s="33" t="s">
        <v>135</v>
      </c>
      <c r="F1004" s="34">
        <v>1</v>
      </c>
      <c r="G1004" s="35">
        <v>0</v>
      </c>
      <c r="H1004" s="35">
        <v>0</v>
      </c>
      <c r="I1004" s="35">
        <f>Tabla1[[#This Row],[P.U. M.N.]]*Tabla1[[#This Row],[CANTIDADES DE REFERENCIA]]</f>
        <v>0</v>
      </c>
      <c r="J1004" s="35">
        <f>Tabla1[[#This Row],[P.U. USD]]*Tabla1[[#This Row],[CANTIDADES DE REFERENCIA]]</f>
        <v>0</v>
      </c>
      <c r="K1004" s="36"/>
      <c r="L1004" s="36"/>
      <c r="M1004" s="36"/>
      <c r="N1004" s="37"/>
      <c r="O1004" s="37"/>
      <c r="P1004" s="38"/>
      <c r="Q1004" s="37" t="s">
        <v>2167</v>
      </c>
      <c r="R1004" s="37"/>
      <c r="S1004" s="37" t="s">
        <v>2161</v>
      </c>
      <c r="T1004" s="31"/>
    </row>
    <row r="1005" spans="1:20">
      <c r="A1005" s="31"/>
      <c r="B1005" s="32"/>
      <c r="C1005" s="33"/>
      <c r="D1005" s="32" t="s">
        <v>2168</v>
      </c>
      <c r="E1005" s="33" t="s">
        <v>116</v>
      </c>
      <c r="F1005" s="34">
        <v>1</v>
      </c>
      <c r="G1005" s="35">
        <v>0</v>
      </c>
      <c r="H1005" s="35">
        <v>0</v>
      </c>
      <c r="I1005" s="35">
        <f>Tabla1[[#This Row],[P.U. M.N.]]*Tabla1[[#This Row],[CANTIDADES DE REFERENCIA]]</f>
        <v>0</v>
      </c>
      <c r="J1005" s="35">
        <f>Tabla1[[#This Row],[P.U. USD]]*Tabla1[[#This Row],[CANTIDADES DE REFERENCIA]]</f>
        <v>0</v>
      </c>
      <c r="K1005" s="36"/>
      <c r="L1005" s="36"/>
      <c r="M1005" s="36"/>
      <c r="N1005" s="37" t="s">
        <v>89</v>
      </c>
      <c r="O1005" s="37" t="s">
        <v>90</v>
      </c>
      <c r="P1005" s="38"/>
      <c r="Q1005" s="37" t="s">
        <v>2169</v>
      </c>
      <c r="R1005" s="37"/>
      <c r="S1005" s="37" t="s">
        <v>2142</v>
      </c>
      <c r="T1005" s="31"/>
    </row>
    <row r="1006" spans="1:20">
      <c r="A1006" s="31" t="s">
        <v>39</v>
      </c>
      <c r="B1006" s="32" t="s">
        <v>2170</v>
      </c>
      <c r="C1006" s="33" t="str">
        <f>Tabla1[[#This Row],[PARTIDA]] &amp; "."</f>
        <v>12C-11.</v>
      </c>
      <c r="D1006" s="32" t="s">
        <v>2171</v>
      </c>
      <c r="E1006" s="33" t="s">
        <v>23</v>
      </c>
      <c r="F1006" s="34">
        <v>1</v>
      </c>
      <c r="G1006" s="35">
        <v>15595.85</v>
      </c>
      <c r="H1006" s="35">
        <v>20596.98</v>
      </c>
      <c r="I1006" s="35">
        <f>Tabla1[[#This Row],[P.U. M.N.]]*Tabla1[[#This Row],[CANTIDADES DE REFERENCIA]]</f>
        <v>15595.85</v>
      </c>
      <c r="J1006" s="35">
        <f>Tabla1[[#This Row],[P.U. USD]]*Tabla1[[#This Row],[CANTIDADES DE REFERENCIA]]</f>
        <v>20596.98</v>
      </c>
      <c r="K1006" s="36"/>
      <c r="L1006" s="36"/>
      <c r="M1006" s="36"/>
      <c r="N1006" s="37" t="s">
        <v>49</v>
      </c>
      <c r="O1006" s="37" t="s">
        <v>50</v>
      </c>
      <c r="P1006" s="38">
        <v>45814</v>
      </c>
      <c r="Q1006" s="37" t="s">
        <v>2172</v>
      </c>
      <c r="R1006" s="37"/>
      <c r="S1006" s="37" t="s">
        <v>52</v>
      </c>
      <c r="T1006" s="31"/>
    </row>
    <row r="1007" spans="1:20">
      <c r="A1007" s="31"/>
      <c r="B1007" s="32"/>
      <c r="C1007" s="33"/>
      <c r="D1007" s="32" t="s">
        <v>2173</v>
      </c>
      <c r="E1007" s="33" t="s">
        <v>116</v>
      </c>
      <c r="F1007" s="34">
        <v>1</v>
      </c>
      <c r="G1007" s="35">
        <v>0</v>
      </c>
      <c r="H1007" s="35">
        <v>0</v>
      </c>
      <c r="I1007" s="35">
        <f>Tabla1[[#This Row],[P.U. M.N.]]*Tabla1[[#This Row],[CANTIDADES DE REFERENCIA]]</f>
        <v>0</v>
      </c>
      <c r="J1007" s="35">
        <f>Tabla1[[#This Row],[P.U. USD]]*Tabla1[[#This Row],[CANTIDADES DE REFERENCIA]]</f>
        <v>0</v>
      </c>
      <c r="K1007" s="36"/>
      <c r="L1007" s="36"/>
      <c r="M1007" s="36"/>
      <c r="N1007" s="37"/>
      <c r="O1007" s="37"/>
      <c r="P1007" s="38"/>
      <c r="Q1007" s="37" t="s">
        <v>2174</v>
      </c>
      <c r="R1007" s="37"/>
      <c r="S1007" s="37" t="s">
        <v>2161</v>
      </c>
      <c r="T1007" s="31"/>
    </row>
    <row r="1008" spans="1:20">
      <c r="A1008" s="31"/>
      <c r="B1008" s="32"/>
      <c r="C1008" s="33"/>
      <c r="D1008" s="32" t="s">
        <v>2175</v>
      </c>
      <c r="E1008" s="33" t="s">
        <v>116</v>
      </c>
      <c r="F1008" s="34">
        <v>1</v>
      </c>
      <c r="G1008" s="35">
        <v>0</v>
      </c>
      <c r="H1008" s="35">
        <v>0</v>
      </c>
      <c r="I1008" s="35">
        <f>Tabla1[[#This Row],[P.U. M.N.]]*Tabla1[[#This Row],[CANTIDADES DE REFERENCIA]]</f>
        <v>0</v>
      </c>
      <c r="J1008" s="35">
        <f>Tabla1[[#This Row],[P.U. USD]]*Tabla1[[#This Row],[CANTIDADES DE REFERENCIA]]</f>
        <v>0</v>
      </c>
      <c r="K1008" s="36"/>
      <c r="L1008" s="36"/>
      <c r="M1008" s="36"/>
      <c r="N1008" s="37"/>
      <c r="O1008" s="37"/>
      <c r="P1008" s="38"/>
      <c r="Q1008" s="37" t="s">
        <v>2176</v>
      </c>
      <c r="R1008" s="37"/>
      <c r="S1008" s="37" t="s">
        <v>2161</v>
      </c>
      <c r="T1008" s="31"/>
    </row>
    <row r="1009" spans="1:20">
      <c r="A1009" s="31"/>
      <c r="B1009" s="32"/>
      <c r="C1009" s="33"/>
      <c r="D1009" s="32" t="s">
        <v>2177</v>
      </c>
      <c r="E1009" s="33" t="s">
        <v>116</v>
      </c>
      <c r="F1009" s="34">
        <v>1</v>
      </c>
      <c r="G1009" s="35">
        <v>0</v>
      </c>
      <c r="H1009" s="35">
        <v>0</v>
      </c>
      <c r="I1009" s="35">
        <f>Tabla1[[#This Row],[P.U. M.N.]]*Tabla1[[#This Row],[CANTIDADES DE REFERENCIA]]</f>
        <v>0</v>
      </c>
      <c r="J1009" s="35">
        <f>Tabla1[[#This Row],[P.U. USD]]*Tabla1[[#This Row],[CANTIDADES DE REFERENCIA]]</f>
        <v>0</v>
      </c>
      <c r="K1009" s="36"/>
      <c r="L1009" s="36"/>
      <c r="M1009" s="36"/>
      <c r="N1009" s="37"/>
      <c r="O1009" s="37"/>
      <c r="P1009" s="38"/>
      <c r="Q1009" s="37" t="s">
        <v>2178</v>
      </c>
      <c r="R1009" s="37"/>
      <c r="S1009" s="37" t="s">
        <v>2161</v>
      </c>
      <c r="T1009" s="31"/>
    </row>
    <row r="1010" spans="1:20">
      <c r="A1010" s="31"/>
      <c r="B1010" s="32"/>
      <c r="C1010" s="33"/>
      <c r="D1010" s="32" t="s">
        <v>2179</v>
      </c>
      <c r="E1010" s="33" t="s">
        <v>116</v>
      </c>
      <c r="F1010" s="34">
        <v>1</v>
      </c>
      <c r="G1010" s="35">
        <v>0</v>
      </c>
      <c r="H1010" s="35">
        <v>0</v>
      </c>
      <c r="I1010" s="35">
        <f>Tabla1[[#This Row],[P.U. M.N.]]*Tabla1[[#This Row],[CANTIDADES DE REFERENCIA]]</f>
        <v>0</v>
      </c>
      <c r="J1010" s="35">
        <f>Tabla1[[#This Row],[P.U. USD]]*Tabla1[[#This Row],[CANTIDADES DE REFERENCIA]]</f>
        <v>0</v>
      </c>
      <c r="K1010" s="36"/>
      <c r="L1010" s="36"/>
      <c r="M1010" s="36"/>
      <c r="N1010" s="37"/>
      <c r="O1010" s="37"/>
      <c r="P1010" s="38"/>
      <c r="Q1010" s="37" t="s">
        <v>2180</v>
      </c>
      <c r="R1010" s="37"/>
      <c r="S1010" s="37" t="s">
        <v>2161</v>
      </c>
      <c r="T1010" s="31"/>
    </row>
    <row r="1011" spans="1:20">
      <c r="A1011" s="31"/>
      <c r="B1011" s="32"/>
      <c r="C1011" s="33"/>
      <c r="D1011" s="32" t="s">
        <v>2181</v>
      </c>
      <c r="E1011" s="33" t="s">
        <v>116</v>
      </c>
      <c r="F1011" s="34">
        <v>1</v>
      </c>
      <c r="G1011" s="35">
        <v>0</v>
      </c>
      <c r="H1011" s="35">
        <v>0</v>
      </c>
      <c r="I1011" s="35">
        <f>Tabla1[[#This Row],[P.U. M.N.]]*Tabla1[[#This Row],[CANTIDADES DE REFERENCIA]]</f>
        <v>0</v>
      </c>
      <c r="J1011" s="35">
        <f>Tabla1[[#This Row],[P.U. USD]]*Tabla1[[#This Row],[CANTIDADES DE REFERENCIA]]</f>
        <v>0</v>
      </c>
      <c r="K1011" s="36"/>
      <c r="L1011" s="36"/>
      <c r="M1011" s="36"/>
      <c r="N1011" s="37"/>
      <c r="O1011" s="37"/>
      <c r="P1011" s="38"/>
      <c r="Q1011" s="37" t="s">
        <v>2182</v>
      </c>
      <c r="R1011" s="37"/>
      <c r="S1011" s="37" t="s">
        <v>2161</v>
      </c>
      <c r="T1011" s="31"/>
    </row>
    <row r="1012" spans="1:20">
      <c r="A1012" s="31"/>
      <c r="B1012" s="32"/>
      <c r="C1012" s="33"/>
      <c r="D1012" s="32" t="s">
        <v>2183</v>
      </c>
      <c r="E1012" s="33" t="s">
        <v>135</v>
      </c>
      <c r="F1012" s="34">
        <v>1</v>
      </c>
      <c r="G1012" s="35">
        <v>0</v>
      </c>
      <c r="H1012" s="35">
        <v>0</v>
      </c>
      <c r="I1012" s="35">
        <f>Tabla1[[#This Row],[P.U. M.N.]]*Tabla1[[#This Row],[CANTIDADES DE REFERENCIA]]</f>
        <v>0</v>
      </c>
      <c r="J1012" s="35">
        <f>Tabla1[[#This Row],[P.U. USD]]*Tabla1[[#This Row],[CANTIDADES DE REFERENCIA]]</f>
        <v>0</v>
      </c>
      <c r="K1012" s="36"/>
      <c r="L1012" s="36"/>
      <c r="M1012" s="36"/>
      <c r="N1012" s="37"/>
      <c r="O1012" s="37"/>
      <c r="P1012" s="38"/>
      <c r="Q1012" s="37" t="s">
        <v>2184</v>
      </c>
      <c r="R1012" s="37"/>
      <c r="S1012" s="37" t="s">
        <v>2161</v>
      </c>
      <c r="T1012" s="31"/>
    </row>
    <row r="1013" spans="1:20">
      <c r="A1013" s="31"/>
      <c r="B1013" s="32"/>
      <c r="C1013" s="33"/>
      <c r="D1013" s="32" t="s">
        <v>2185</v>
      </c>
      <c r="E1013" s="33" t="s">
        <v>116</v>
      </c>
      <c r="F1013" s="34">
        <v>1</v>
      </c>
      <c r="G1013" s="35">
        <v>0</v>
      </c>
      <c r="H1013" s="35">
        <v>0</v>
      </c>
      <c r="I1013" s="35">
        <f>Tabla1[[#This Row],[P.U. M.N.]]*Tabla1[[#This Row],[CANTIDADES DE REFERENCIA]]</f>
        <v>0</v>
      </c>
      <c r="J1013" s="35">
        <f>Tabla1[[#This Row],[P.U. USD]]*Tabla1[[#This Row],[CANTIDADES DE REFERENCIA]]</f>
        <v>0</v>
      </c>
      <c r="K1013" s="36"/>
      <c r="L1013" s="36"/>
      <c r="M1013" s="36"/>
      <c r="N1013" s="37"/>
      <c r="O1013" s="37"/>
      <c r="P1013" s="38"/>
      <c r="Q1013" s="37" t="s">
        <v>2186</v>
      </c>
      <c r="R1013" s="37"/>
      <c r="S1013" s="37" t="s">
        <v>2161</v>
      </c>
      <c r="T1013" s="31"/>
    </row>
    <row r="1014" spans="1:20">
      <c r="A1014" s="31"/>
      <c r="B1014" s="32"/>
      <c r="C1014" s="33"/>
      <c r="D1014" s="32" t="s">
        <v>2187</v>
      </c>
      <c r="E1014" s="33" t="s">
        <v>116</v>
      </c>
      <c r="F1014" s="34">
        <v>1</v>
      </c>
      <c r="G1014" s="35">
        <v>0</v>
      </c>
      <c r="H1014" s="35">
        <v>0</v>
      </c>
      <c r="I1014" s="35">
        <f>Tabla1[[#This Row],[P.U. M.N.]]*Tabla1[[#This Row],[CANTIDADES DE REFERENCIA]]</f>
        <v>0</v>
      </c>
      <c r="J1014" s="35">
        <f>Tabla1[[#This Row],[P.U. USD]]*Tabla1[[#This Row],[CANTIDADES DE REFERENCIA]]</f>
        <v>0</v>
      </c>
      <c r="K1014" s="36"/>
      <c r="L1014" s="36"/>
      <c r="M1014" s="36"/>
      <c r="N1014" s="37"/>
      <c r="O1014" s="37"/>
      <c r="P1014" s="38"/>
      <c r="Q1014" s="37" t="s">
        <v>2188</v>
      </c>
      <c r="R1014" s="37"/>
      <c r="S1014" s="37" t="s">
        <v>2161</v>
      </c>
      <c r="T1014" s="31"/>
    </row>
    <row r="1015" spans="1:20">
      <c r="A1015" s="31"/>
      <c r="B1015" s="32"/>
      <c r="C1015" s="33"/>
      <c r="D1015" s="32" t="s">
        <v>2189</v>
      </c>
      <c r="E1015" s="33" t="s">
        <v>116</v>
      </c>
      <c r="F1015" s="34">
        <v>1</v>
      </c>
      <c r="G1015" s="35">
        <v>0</v>
      </c>
      <c r="H1015" s="35">
        <v>0</v>
      </c>
      <c r="I1015" s="35">
        <f>Tabla1[[#This Row],[P.U. M.N.]]*Tabla1[[#This Row],[CANTIDADES DE REFERENCIA]]</f>
        <v>0</v>
      </c>
      <c r="J1015" s="35">
        <f>Tabla1[[#This Row],[P.U. USD]]*Tabla1[[#This Row],[CANTIDADES DE REFERENCIA]]</f>
        <v>0</v>
      </c>
      <c r="K1015" s="36"/>
      <c r="L1015" s="36"/>
      <c r="M1015" s="36"/>
      <c r="N1015" s="37"/>
      <c r="O1015" s="37"/>
      <c r="P1015" s="38"/>
      <c r="Q1015" s="37" t="s">
        <v>2190</v>
      </c>
      <c r="R1015" s="37"/>
      <c r="S1015" s="37" t="s">
        <v>2161</v>
      </c>
      <c r="T1015" s="31"/>
    </row>
    <row r="1016" spans="1:20">
      <c r="A1016" s="31"/>
      <c r="B1016" s="32"/>
      <c r="C1016" s="33"/>
      <c r="D1016" s="32" t="s">
        <v>2191</v>
      </c>
      <c r="E1016" s="33" t="s">
        <v>116</v>
      </c>
      <c r="F1016" s="34">
        <v>1</v>
      </c>
      <c r="G1016" s="35">
        <v>0</v>
      </c>
      <c r="H1016" s="35">
        <v>0</v>
      </c>
      <c r="I1016" s="35">
        <f>Tabla1[[#This Row],[P.U. M.N.]]*Tabla1[[#This Row],[CANTIDADES DE REFERENCIA]]</f>
        <v>0</v>
      </c>
      <c r="J1016" s="35">
        <f>Tabla1[[#This Row],[P.U. USD]]*Tabla1[[#This Row],[CANTIDADES DE REFERENCIA]]</f>
        <v>0</v>
      </c>
      <c r="K1016" s="36"/>
      <c r="L1016" s="36"/>
      <c r="M1016" s="36"/>
      <c r="N1016" s="37"/>
      <c r="O1016" s="37"/>
      <c r="P1016" s="38"/>
      <c r="Q1016" s="37" t="s">
        <v>2192</v>
      </c>
      <c r="R1016" s="37"/>
      <c r="S1016" s="37" t="s">
        <v>2161</v>
      </c>
      <c r="T1016" s="31"/>
    </row>
    <row r="1017" spans="1:20">
      <c r="A1017" s="31" t="s">
        <v>39</v>
      </c>
      <c r="B1017" s="32" t="s">
        <v>2193</v>
      </c>
      <c r="C1017" s="33" t="str">
        <f>Tabla1[[#This Row],[PARTIDA]] &amp; "."</f>
        <v>1C-11.</v>
      </c>
      <c r="D1017" s="32" t="s">
        <v>2194</v>
      </c>
      <c r="E1017" s="33" t="s">
        <v>42</v>
      </c>
      <c r="F1017" s="34">
        <v>1</v>
      </c>
      <c r="G1017" s="35">
        <v>0</v>
      </c>
      <c r="H1017" s="35">
        <v>61707.1</v>
      </c>
      <c r="I1017" s="35">
        <f>Tabla1[[#This Row],[P.U. M.N.]]*Tabla1[[#This Row],[CANTIDADES DE REFERENCIA]]</f>
        <v>0</v>
      </c>
      <c r="J1017" s="35">
        <f>Tabla1[[#This Row],[P.U. USD]]*Tabla1[[#This Row],[CANTIDADES DE REFERENCIA]]</f>
        <v>61707.1</v>
      </c>
      <c r="K1017" s="36"/>
      <c r="L1017" s="36"/>
      <c r="M1017" s="36"/>
      <c r="N1017" s="37" t="s">
        <v>2195</v>
      </c>
      <c r="O1017" s="37" t="s">
        <v>2196</v>
      </c>
      <c r="P1017" s="38">
        <v>45814</v>
      </c>
      <c r="Q1017" s="37" t="s">
        <v>2197</v>
      </c>
      <c r="R1017" s="37"/>
      <c r="S1017" s="37" t="s">
        <v>2198</v>
      </c>
      <c r="T1017" s="31"/>
    </row>
    <row r="1018" spans="1:20">
      <c r="A1018" s="31" t="s">
        <v>39</v>
      </c>
      <c r="B1018" s="32" t="s">
        <v>2199</v>
      </c>
      <c r="C1018" s="33" t="str">
        <f>Tabla1[[#This Row],[PARTIDA]] &amp; "."</f>
        <v>2C-11.</v>
      </c>
      <c r="D1018" s="32" t="s">
        <v>2200</v>
      </c>
      <c r="E1018" s="33" t="s">
        <v>42</v>
      </c>
      <c r="F1018" s="34">
        <v>1</v>
      </c>
      <c r="G1018" s="35">
        <v>0</v>
      </c>
      <c r="H1018" s="35">
        <v>565500</v>
      </c>
      <c r="I1018" s="35">
        <f>Tabla1[[#This Row],[P.U. M.N.]]*Tabla1[[#This Row],[CANTIDADES DE REFERENCIA]]</f>
        <v>0</v>
      </c>
      <c r="J1018" s="35">
        <f>Tabla1[[#This Row],[P.U. USD]]*Tabla1[[#This Row],[CANTIDADES DE REFERENCIA]]</f>
        <v>565500</v>
      </c>
      <c r="K1018" s="36"/>
      <c r="L1018" s="36"/>
      <c r="M1018" s="36"/>
      <c r="N1018" s="37" t="s">
        <v>599</v>
      </c>
      <c r="O1018" s="37" t="s">
        <v>600</v>
      </c>
      <c r="P1018" s="38">
        <v>45814</v>
      </c>
      <c r="Q1018" s="37" t="s">
        <v>2201</v>
      </c>
      <c r="R1018" s="37"/>
      <c r="S1018" s="37" t="s">
        <v>602</v>
      </c>
      <c r="T1018" s="31"/>
    </row>
    <row r="1019" spans="1:20">
      <c r="A1019" s="31" t="s">
        <v>39</v>
      </c>
      <c r="B1019" s="32" t="s">
        <v>2202</v>
      </c>
      <c r="C1019" s="33" t="str">
        <f>Tabla1[[#This Row],[PARTIDA]] &amp; "."</f>
        <v>3C-11.</v>
      </c>
      <c r="D1019" s="32" t="s">
        <v>2203</v>
      </c>
      <c r="E1019" s="33" t="s">
        <v>42</v>
      </c>
      <c r="F1019" s="34">
        <v>1</v>
      </c>
      <c r="G1019" s="35">
        <v>472281.11</v>
      </c>
      <c r="H1019" s="35">
        <v>575209.23</v>
      </c>
      <c r="I1019" s="35">
        <f>Tabla1[[#This Row],[P.U. M.N.]]*Tabla1[[#This Row],[CANTIDADES DE REFERENCIA]]</f>
        <v>472281.11</v>
      </c>
      <c r="J1019" s="35">
        <f>Tabla1[[#This Row],[P.U. USD]]*Tabla1[[#This Row],[CANTIDADES DE REFERENCIA]]</f>
        <v>575209.23</v>
      </c>
      <c r="K1019" s="36"/>
      <c r="L1019" s="36"/>
      <c r="M1019" s="36"/>
      <c r="N1019" s="37" t="s">
        <v>2204</v>
      </c>
      <c r="O1019" s="37" t="s">
        <v>2205</v>
      </c>
      <c r="P1019" s="38">
        <v>45814</v>
      </c>
      <c r="Q1019" s="37" t="s">
        <v>2206</v>
      </c>
      <c r="R1019" s="37"/>
      <c r="S1019" s="37" t="s">
        <v>2207</v>
      </c>
      <c r="T1019" s="31"/>
    </row>
    <row r="1020" spans="1:20">
      <c r="A1020" s="31"/>
      <c r="B1020" s="32"/>
      <c r="C1020" s="33"/>
      <c r="D1020" s="32" t="s">
        <v>2208</v>
      </c>
      <c r="E1020" s="33" t="s">
        <v>116</v>
      </c>
      <c r="F1020" s="34">
        <v>1</v>
      </c>
      <c r="G1020" s="35">
        <v>0</v>
      </c>
      <c r="H1020" s="35">
        <v>0</v>
      </c>
      <c r="I1020" s="35">
        <f>Tabla1[[#This Row],[P.U. M.N.]]*Tabla1[[#This Row],[CANTIDADES DE REFERENCIA]]</f>
        <v>0</v>
      </c>
      <c r="J1020" s="35">
        <f>Tabla1[[#This Row],[P.U. USD]]*Tabla1[[#This Row],[CANTIDADES DE REFERENCIA]]</f>
        <v>0</v>
      </c>
      <c r="K1020" s="36"/>
      <c r="L1020" s="36"/>
      <c r="M1020" s="36"/>
      <c r="N1020" s="37"/>
      <c r="O1020" s="37"/>
      <c r="P1020" s="38"/>
      <c r="Q1020" s="37" t="s">
        <v>2209</v>
      </c>
      <c r="R1020" s="37"/>
      <c r="S1020" s="37" t="s">
        <v>2161</v>
      </c>
      <c r="T1020" s="31"/>
    </row>
    <row r="1021" spans="1:20">
      <c r="A1021" s="31"/>
      <c r="B1021" s="32"/>
      <c r="C1021" s="33"/>
      <c r="D1021" s="32" t="s">
        <v>2210</v>
      </c>
      <c r="E1021" s="33" t="s">
        <v>116</v>
      </c>
      <c r="F1021" s="34">
        <v>1</v>
      </c>
      <c r="G1021" s="35">
        <v>0</v>
      </c>
      <c r="H1021" s="35">
        <v>0</v>
      </c>
      <c r="I1021" s="35">
        <f>Tabla1[[#This Row],[P.U. M.N.]]*Tabla1[[#This Row],[CANTIDADES DE REFERENCIA]]</f>
        <v>0</v>
      </c>
      <c r="J1021" s="35">
        <f>Tabla1[[#This Row],[P.U. USD]]*Tabla1[[#This Row],[CANTIDADES DE REFERENCIA]]</f>
        <v>0</v>
      </c>
      <c r="K1021" s="36"/>
      <c r="L1021" s="36"/>
      <c r="M1021" s="36"/>
      <c r="N1021" s="37"/>
      <c r="O1021" s="37"/>
      <c r="P1021" s="38"/>
      <c r="Q1021" s="37" t="s">
        <v>2211</v>
      </c>
      <c r="R1021" s="37"/>
      <c r="S1021" s="37" t="s">
        <v>2161</v>
      </c>
      <c r="T1021" s="31"/>
    </row>
    <row r="1022" spans="1:20">
      <c r="A1022" s="31" t="s">
        <v>39</v>
      </c>
      <c r="B1022" s="32" t="s">
        <v>2212</v>
      </c>
      <c r="C1022" s="33" t="str">
        <f>Tabla1[[#This Row],[PARTIDA]] &amp; "."</f>
        <v>4C-11.</v>
      </c>
      <c r="D1022" s="32" t="s">
        <v>2213</v>
      </c>
      <c r="E1022" s="33" t="s">
        <v>42</v>
      </c>
      <c r="F1022" s="34">
        <v>1</v>
      </c>
      <c r="G1022" s="35">
        <v>1165184.1599999999</v>
      </c>
      <c r="H1022" s="35">
        <v>994455.38</v>
      </c>
      <c r="I1022" s="35">
        <f>Tabla1[[#This Row],[P.U. M.N.]]*Tabla1[[#This Row],[CANTIDADES DE REFERENCIA]]</f>
        <v>1165184.1599999999</v>
      </c>
      <c r="J1022" s="35">
        <f>Tabla1[[#This Row],[P.U. USD]]*Tabla1[[#This Row],[CANTIDADES DE REFERENCIA]]</f>
        <v>994455.38</v>
      </c>
      <c r="K1022" s="36"/>
      <c r="L1022" s="36"/>
      <c r="M1022" s="36"/>
      <c r="N1022" s="37" t="s">
        <v>2214</v>
      </c>
      <c r="O1022" s="37" t="s">
        <v>2215</v>
      </c>
      <c r="P1022" s="38">
        <v>45814</v>
      </c>
      <c r="Q1022" s="37" t="s">
        <v>2216</v>
      </c>
      <c r="R1022" s="37"/>
      <c r="S1022" s="37" t="s">
        <v>2217</v>
      </c>
      <c r="T1022" s="31"/>
    </row>
    <row r="1023" spans="1:20">
      <c r="A1023" s="31"/>
      <c r="B1023" s="32"/>
      <c r="C1023" s="33"/>
      <c r="D1023" s="32" t="s">
        <v>2218</v>
      </c>
      <c r="E1023" s="33" t="s">
        <v>116</v>
      </c>
      <c r="F1023" s="34">
        <v>1</v>
      </c>
      <c r="G1023" s="35">
        <v>0</v>
      </c>
      <c r="H1023" s="35">
        <v>0</v>
      </c>
      <c r="I1023" s="35">
        <f>Tabla1[[#This Row],[P.U. M.N.]]*Tabla1[[#This Row],[CANTIDADES DE REFERENCIA]]</f>
        <v>0</v>
      </c>
      <c r="J1023" s="35">
        <f>Tabla1[[#This Row],[P.U. USD]]*Tabla1[[#This Row],[CANTIDADES DE REFERENCIA]]</f>
        <v>0</v>
      </c>
      <c r="K1023" s="36"/>
      <c r="L1023" s="36"/>
      <c r="M1023" s="36"/>
      <c r="N1023" s="37"/>
      <c r="O1023" s="37"/>
      <c r="P1023" s="38"/>
      <c r="Q1023" s="37" t="s">
        <v>2219</v>
      </c>
      <c r="R1023" s="37"/>
      <c r="S1023" s="37" t="s">
        <v>2161</v>
      </c>
      <c r="T1023" s="31"/>
    </row>
    <row r="1024" spans="1:20">
      <c r="A1024" s="31"/>
      <c r="B1024" s="32"/>
      <c r="C1024" s="33"/>
      <c r="D1024" s="32" t="s">
        <v>2220</v>
      </c>
      <c r="E1024" s="33" t="s">
        <v>116</v>
      </c>
      <c r="F1024" s="34">
        <v>1</v>
      </c>
      <c r="G1024" s="35">
        <v>0</v>
      </c>
      <c r="H1024" s="35">
        <v>0</v>
      </c>
      <c r="I1024" s="35">
        <f>Tabla1[[#This Row],[P.U. M.N.]]*Tabla1[[#This Row],[CANTIDADES DE REFERENCIA]]</f>
        <v>0</v>
      </c>
      <c r="J1024" s="35">
        <f>Tabla1[[#This Row],[P.U. USD]]*Tabla1[[#This Row],[CANTIDADES DE REFERENCIA]]</f>
        <v>0</v>
      </c>
      <c r="K1024" s="36"/>
      <c r="L1024" s="36"/>
      <c r="M1024" s="36"/>
      <c r="N1024" s="37"/>
      <c r="O1024" s="37"/>
      <c r="P1024" s="38"/>
      <c r="Q1024" s="37" t="s">
        <v>2221</v>
      </c>
      <c r="R1024" s="37"/>
      <c r="S1024" s="37" t="s">
        <v>2161</v>
      </c>
      <c r="T1024" s="31"/>
    </row>
    <row r="1025" spans="1:20">
      <c r="A1025" s="31"/>
      <c r="B1025" s="32"/>
      <c r="C1025" s="33"/>
      <c r="D1025" s="32" t="s">
        <v>2222</v>
      </c>
      <c r="E1025" s="33" t="s">
        <v>116</v>
      </c>
      <c r="F1025" s="34">
        <v>1</v>
      </c>
      <c r="G1025" s="35">
        <v>0</v>
      </c>
      <c r="H1025" s="35">
        <v>0</v>
      </c>
      <c r="I1025" s="35">
        <f>Tabla1[[#This Row],[P.U. M.N.]]*Tabla1[[#This Row],[CANTIDADES DE REFERENCIA]]</f>
        <v>0</v>
      </c>
      <c r="J1025" s="35">
        <f>Tabla1[[#This Row],[P.U. USD]]*Tabla1[[#This Row],[CANTIDADES DE REFERENCIA]]</f>
        <v>0</v>
      </c>
      <c r="K1025" s="36"/>
      <c r="L1025" s="36"/>
      <c r="M1025" s="36"/>
      <c r="N1025" s="37"/>
      <c r="O1025" s="37"/>
      <c r="P1025" s="38"/>
      <c r="Q1025" s="37" t="s">
        <v>2223</v>
      </c>
      <c r="R1025" s="37"/>
      <c r="S1025" s="37" t="s">
        <v>2161</v>
      </c>
      <c r="T1025" s="31"/>
    </row>
    <row r="1026" spans="1:20">
      <c r="A1026" s="31"/>
      <c r="B1026" s="32"/>
      <c r="C1026" s="33"/>
      <c r="D1026" s="32" t="s">
        <v>2224</v>
      </c>
      <c r="E1026" s="33" t="s">
        <v>135</v>
      </c>
      <c r="F1026" s="34">
        <v>1</v>
      </c>
      <c r="G1026" s="35">
        <v>0</v>
      </c>
      <c r="H1026" s="35">
        <v>0</v>
      </c>
      <c r="I1026" s="35">
        <f>Tabla1[[#This Row],[P.U. M.N.]]*Tabla1[[#This Row],[CANTIDADES DE REFERENCIA]]</f>
        <v>0</v>
      </c>
      <c r="J1026" s="35">
        <f>Tabla1[[#This Row],[P.U. USD]]*Tabla1[[#This Row],[CANTIDADES DE REFERENCIA]]</f>
        <v>0</v>
      </c>
      <c r="K1026" s="36"/>
      <c r="L1026" s="36"/>
      <c r="M1026" s="36"/>
      <c r="N1026" s="37"/>
      <c r="O1026" s="37"/>
      <c r="P1026" s="38"/>
      <c r="Q1026" s="37" t="s">
        <v>2225</v>
      </c>
      <c r="R1026" s="37"/>
      <c r="S1026" s="37" t="s">
        <v>2161</v>
      </c>
      <c r="T1026" s="31"/>
    </row>
    <row r="1027" spans="1:20">
      <c r="A1027" s="31"/>
      <c r="B1027" s="32"/>
      <c r="C1027" s="33"/>
      <c r="D1027" s="32" t="s">
        <v>2226</v>
      </c>
      <c r="E1027" s="33" t="s">
        <v>116</v>
      </c>
      <c r="F1027" s="34">
        <v>1</v>
      </c>
      <c r="G1027" s="35">
        <v>0</v>
      </c>
      <c r="H1027" s="35">
        <v>0</v>
      </c>
      <c r="I1027" s="35">
        <f>Tabla1[[#This Row],[P.U. M.N.]]*Tabla1[[#This Row],[CANTIDADES DE REFERENCIA]]</f>
        <v>0</v>
      </c>
      <c r="J1027" s="35">
        <f>Tabla1[[#This Row],[P.U. USD]]*Tabla1[[#This Row],[CANTIDADES DE REFERENCIA]]</f>
        <v>0</v>
      </c>
      <c r="K1027" s="36"/>
      <c r="L1027" s="36"/>
      <c r="M1027" s="36"/>
      <c r="N1027" s="37"/>
      <c r="O1027" s="37"/>
      <c r="P1027" s="38"/>
      <c r="Q1027" s="37" t="s">
        <v>2227</v>
      </c>
      <c r="R1027" s="37"/>
      <c r="S1027" s="37" t="s">
        <v>2161</v>
      </c>
      <c r="T1027" s="31"/>
    </row>
    <row r="1028" spans="1:20">
      <c r="A1028" s="31"/>
      <c r="B1028" s="32"/>
      <c r="C1028" s="33"/>
      <c r="D1028" s="32" t="s">
        <v>2228</v>
      </c>
      <c r="E1028" s="33" t="s">
        <v>116</v>
      </c>
      <c r="F1028" s="34">
        <v>1</v>
      </c>
      <c r="G1028" s="35">
        <v>0</v>
      </c>
      <c r="H1028" s="35">
        <v>0</v>
      </c>
      <c r="I1028" s="35">
        <f>Tabla1[[#This Row],[P.U. M.N.]]*Tabla1[[#This Row],[CANTIDADES DE REFERENCIA]]</f>
        <v>0</v>
      </c>
      <c r="J1028" s="35">
        <f>Tabla1[[#This Row],[P.U. USD]]*Tabla1[[#This Row],[CANTIDADES DE REFERENCIA]]</f>
        <v>0</v>
      </c>
      <c r="K1028" s="36"/>
      <c r="L1028" s="36"/>
      <c r="M1028" s="36"/>
      <c r="N1028" s="37"/>
      <c r="O1028" s="37"/>
      <c r="P1028" s="38"/>
      <c r="Q1028" s="37" t="s">
        <v>2229</v>
      </c>
      <c r="R1028" s="37"/>
      <c r="S1028" s="37" t="s">
        <v>2161</v>
      </c>
      <c r="T1028" s="31"/>
    </row>
    <row r="1029" spans="1:20">
      <c r="A1029" s="31"/>
      <c r="B1029" s="32"/>
      <c r="C1029" s="33"/>
      <c r="D1029" s="32" t="s">
        <v>2230</v>
      </c>
      <c r="E1029" s="33" t="s">
        <v>135</v>
      </c>
      <c r="F1029" s="34">
        <v>1</v>
      </c>
      <c r="G1029" s="35">
        <v>0</v>
      </c>
      <c r="H1029" s="35">
        <v>0</v>
      </c>
      <c r="I1029" s="35">
        <f>Tabla1[[#This Row],[P.U. M.N.]]*Tabla1[[#This Row],[CANTIDADES DE REFERENCIA]]</f>
        <v>0</v>
      </c>
      <c r="J1029" s="35">
        <f>Tabla1[[#This Row],[P.U. USD]]*Tabla1[[#This Row],[CANTIDADES DE REFERENCIA]]</f>
        <v>0</v>
      </c>
      <c r="K1029" s="36"/>
      <c r="L1029" s="36"/>
      <c r="M1029" s="36"/>
      <c r="N1029" s="37"/>
      <c r="O1029" s="37"/>
      <c r="P1029" s="38"/>
      <c r="Q1029" s="37" t="s">
        <v>2231</v>
      </c>
      <c r="R1029" s="37"/>
      <c r="S1029" s="37" t="s">
        <v>2161</v>
      </c>
      <c r="T1029" s="31"/>
    </row>
    <row r="1030" spans="1:20">
      <c r="A1030" s="31"/>
      <c r="B1030" s="32"/>
      <c r="C1030" s="33"/>
      <c r="D1030" s="32" t="s">
        <v>2232</v>
      </c>
      <c r="E1030" s="33" t="s">
        <v>116</v>
      </c>
      <c r="F1030" s="34">
        <v>1</v>
      </c>
      <c r="G1030" s="35">
        <v>0</v>
      </c>
      <c r="H1030" s="35">
        <v>0</v>
      </c>
      <c r="I1030" s="35">
        <f>Tabla1[[#This Row],[P.U. M.N.]]*Tabla1[[#This Row],[CANTIDADES DE REFERENCIA]]</f>
        <v>0</v>
      </c>
      <c r="J1030" s="35">
        <f>Tabla1[[#This Row],[P.U. USD]]*Tabla1[[#This Row],[CANTIDADES DE REFERENCIA]]</f>
        <v>0</v>
      </c>
      <c r="K1030" s="36"/>
      <c r="L1030" s="36"/>
      <c r="M1030" s="36"/>
      <c r="N1030" s="37"/>
      <c r="O1030" s="37"/>
      <c r="P1030" s="38"/>
      <c r="Q1030" s="37" t="s">
        <v>2233</v>
      </c>
      <c r="R1030" s="37"/>
      <c r="S1030" s="37" t="s">
        <v>2161</v>
      </c>
      <c r="T1030" s="31"/>
    </row>
    <row r="1031" spans="1:20">
      <c r="A1031" s="31"/>
      <c r="B1031" s="32"/>
      <c r="C1031" s="33"/>
      <c r="D1031" s="32" t="s">
        <v>2234</v>
      </c>
      <c r="E1031" s="33" t="s">
        <v>116</v>
      </c>
      <c r="F1031" s="34">
        <v>1</v>
      </c>
      <c r="G1031" s="35">
        <v>0</v>
      </c>
      <c r="H1031" s="35">
        <v>0</v>
      </c>
      <c r="I1031" s="35">
        <f>Tabla1[[#This Row],[P.U. M.N.]]*Tabla1[[#This Row],[CANTIDADES DE REFERENCIA]]</f>
        <v>0</v>
      </c>
      <c r="J1031" s="35">
        <f>Tabla1[[#This Row],[P.U. USD]]*Tabla1[[#This Row],[CANTIDADES DE REFERENCIA]]</f>
        <v>0</v>
      </c>
      <c r="K1031" s="36"/>
      <c r="L1031" s="36"/>
      <c r="M1031" s="36"/>
      <c r="N1031" s="37"/>
      <c r="O1031" s="37"/>
      <c r="P1031" s="38"/>
      <c r="Q1031" s="37" t="s">
        <v>2235</v>
      </c>
      <c r="R1031" s="37"/>
      <c r="S1031" s="37" t="s">
        <v>2161</v>
      </c>
      <c r="T1031" s="31"/>
    </row>
    <row r="1032" spans="1:20">
      <c r="A1032" s="31"/>
      <c r="B1032" s="32"/>
      <c r="C1032" s="33"/>
      <c r="D1032" s="32" t="s">
        <v>2236</v>
      </c>
      <c r="E1032" s="33" t="s">
        <v>116</v>
      </c>
      <c r="F1032" s="34">
        <v>1</v>
      </c>
      <c r="G1032" s="35">
        <v>0</v>
      </c>
      <c r="H1032" s="35">
        <v>0</v>
      </c>
      <c r="I1032" s="35">
        <f>Tabla1[[#This Row],[P.U. M.N.]]*Tabla1[[#This Row],[CANTIDADES DE REFERENCIA]]</f>
        <v>0</v>
      </c>
      <c r="J1032" s="35">
        <f>Tabla1[[#This Row],[P.U. USD]]*Tabla1[[#This Row],[CANTIDADES DE REFERENCIA]]</f>
        <v>0</v>
      </c>
      <c r="K1032" s="36"/>
      <c r="L1032" s="36"/>
      <c r="M1032" s="36"/>
      <c r="N1032" s="37"/>
      <c r="O1032" s="37"/>
      <c r="P1032" s="38"/>
      <c r="Q1032" s="37" t="s">
        <v>2237</v>
      </c>
      <c r="R1032" s="37"/>
      <c r="S1032" s="37" t="s">
        <v>2161</v>
      </c>
      <c r="T1032" s="31"/>
    </row>
    <row r="1033" spans="1:20">
      <c r="A1033" s="31"/>
      <c r="B1033" s="32"/>
      <c r="C1033" s="33"/>
      <c r="D1033" s="32" t="s">
        <v>2238</v>
      </c>
      <c r="E1033" s="33" t="s">
        <v>116</v>
      </c>
      <c r="F1033" s="34">
        <v>1</v>
      </c>
      <c r="G1033" s="35">
        <v>0</v>
      </c>
      <c r="H1033" s="35">
        <v>0</v>
      </c>
      <c r="I1033" s="35">
        <f>Tabla1[[#This Row],[P.U. M.N.]]*Tabla1[[#This Row],[CANTIDADES DE REFERENCIA]]</f>
        <v>0</v>
      </c>
      <c r="J1033" s="35">
        <f>Tabla1[[#This Row],[P.U. USD]]*Tabla1[[#This Row],[CANTIDADES DE REFERENCIA]]</f>
        <v>0</v>
      </c>
      <c r="K1033" s="36"/>
      <c r="L1033" s="36"/>
      <c r="M1033" s="36"/>
      <c r="N1033" s="37"/>
      <c r="O1033" s="37"/>
      <c r="P1033" s="38"/>
      <c r="Q1033" s="37" t="s">
        <v>2239</v>
      </c>
      <c r="R1033" s="37"/>
      <c r="S1033" s="37" t="s">
        <v>2161</v>
      </c>
      <c r="T1033" s="31"/>
    </row>
    <row r="1034" spans="1:20">
      <c r="A1034" s="31"/>
      <c r="B1034" s="32"/>
      <c r="C1034" s="33"/>
      <c r="D1034" s="32" t="s">
        <v>2240</v>
      </c>
      <c r="E1034" s="33" t="s">
        <v>116</v>
      </c>
      <c r="F1034" s="34">
        <v>1</v>
      </c>
      <c r="G1034" s="35">
        <v>0</v>
      </c>
      <c r="H1034" s="35">
        <v>0</v>
      </c>
      <c r="I1034" s="35">
        <f>Tabla1[[#This Row],[P.U. M.N.]]*Tabla1[[#This Row],[CANTIDADES DE REFERENCIA]]</f>
        <v>0</v>
      </c>
      <c r="J1034" s="35">
        <f>Tabla1[[#This Row],[P.U. USD]]*Tabla1[[#This Row],[CANTIDADES DE REFERENCIA]]</f>
        <v>0</v>
      </c>
      <c r="K1034" s="36"/>
      <c r="L1034" s="36"/>
      <c r="M1034" s="36"/>
      <c r="N1034" s="37"/>
      <c r="O1034" s="37"/>
      <c r="P1034" s="38"/>
      <c r="Q1034" s="37" t="s">
        <v>2241</v>
      </c>
      <c r="R1034" s="37"/>
      <c r="S1034" s="37" t="s">
        <v>2161</v>
      </c>
      <c r="T1034" s="31"/>
    </row>
    <row r="1035" spans="1:20">
      <c r="A1035" s="31"/>
      <c r="B1035" s="32"/>
      <c r="C1035" s="33"/>
      <c r="D1035" s="32" t="s">
        <v>2242</v>
      </c>
      <c r="E1035" s="33" t="s">
        <v>116</v>
      </c>
      <c r="F1035" s="34">
        <v>1</v>
      </c>
      <c r="G1035" s="35">
        <v>0</v>
      </c>
      <c r="H1035" s="35">
        <v>0</v>
      </c>
      <c r="I1035" s="35">
        <f>Tabla1[[#This Row],[P.U. M.N.]]*Tabla1[[#This Row],[CANTIDADES DE REFERENCIA]]</f>
        <v>0</v>
      </c>
      <c r="J1035" s="35">
        <f>Tabla1[[#This Row],[P.U. USD]]*Tabla1[[#This Row],[CANTIDADES DE REFERENCIA]]</f>
        <v>0</v>
      </c>
      <c r="K1035" s="36"/>
      <c r="L1035" s="36"/>
      <c r="M1035" s="36"/>
      <c r="N1035" s="37"/>
      <c r="O1035" s="37"/>
      <c r="P1035" s="38"/>
      <c r="Q1035" s="37" t="s">
        <v>2243</v>
      </c>
      <c r="R1035" s="37"/>
      <c r="S1035" s="37" t="s">
        <v>2161</v>
      </c>
      <c r="T1035" s="31"/>
    </row>
    <row r="1036" spans="1:20">
      <c r="A1036" s="31"/>
      <c r="B1036" s="32"/>
      <c r="C1036" s="33"/>
      <c r="D1036" s="32" t="s">
        <v>2244</v>
      </c>
      <c r="E1036" s="33" t="s">
        <v>116</v>
      </c>
      <c r="F1036" s="34">
        <v>1</v>
      </c>
      <c r="G1036" s="35">
        <v>0</v>
      </c>
      <c r="H1036" s="35">
        <v>0</v>
      </c>
      <c r="I1036" s="35">
        <f>Tabla1[[#This Row],[P.U. M.N.]]*Tabla1[[#This Row],[CANTIDADES DE REFERENCIA]]</f>
        <v>0</v>
      </c>
      <c r="J1036" s="35">
        <f>Tabla1[[#This Row],[P.U. USD]]*Tabla1[[#This Row],[CANTIDADES DE REFERENCIA]]</f>
        <v>0</v>
      </c>
      <c r="K1036" s="36"/>
      <c r="L1036" s="36"/>
      <c r="M1036" s="36"/>
      <c r="N1036" s="37"/>
      <c r="O1036" s="37"/>
      <c r="P1036" s="38"/>
      <c r="Q1036" s="37" t="s">
        <v>2245</v>
      </c>
      <c r="R1036" s="37"/>
      <c r="S1036" s="37" t="s">
        <v>2161</v>
      </c>
      <c r="T1036" s="31"/>
    </row>
    <row r="1037" spans="1:20">
      <c r="A1037" s="31"/>
      <c r="B1037" s="32"/>
      <c r="C1037" s="33"/>
      <c r="D1037" s="32" t="s">
        <v>2246</v>
      </c>
      <c r="E1037" s="33" t="s">
        <v>116</v>
      </c>
      <c r="F1037" s="34">
        <v>1</v>
      </c>
      <c r="G1037" s="35">
        <v>0</v>
      </c>
      <c r="H1037" s="35">
        <v>0</v>
      </c>
      <c r="I1037" s="35">
        <f>Tabla1[[#This Row],[P.U. M.N.]]*Tabla1[[#This Row],[CANTIDADES DE REFERENCIA]]</f>
        <v>0</v>
      </c>
      <c r="J1037" s="35">
        <f>Tabla1[[#This Row],[P.U. USD]]*Tabla1[[#This Row],[CANTIDADES DE REFERENCIA]]</f>
        <v>0</v>
      </c>
      <c r="K1037" s="36"/>
      <c r="L1037" s="36"/>
      <c r="M1037" s="36"/>
      <c r="N1037" s="37"/>
      <c r="O1037" s="37"/>
      <c r="P1037" s="38"/>
      <c r="Q1037" s="37" t="s">
        <v>2247</v>
      </c>
      <c r="R1037" s="37"/>
      <c r="S1037" s="37" t="s">
        <v>2161</v>
      </c>
      <c r="T1037" s="31"/>
    </row>
    <row r="1038" spans="1:20">
      <c r="A1038" s="31"/>
      <c r="B1038" s="32"/>
      <c r="C1038" s="33"/>
      <c r="D1038" s="32" t="s">
        <v>2248</v>
      </c>
      <c r="E1038" s="33" t="s">
        <v>116</v>
      </c>
      <c r="F1038" s="34">
        <v>1</v>
      </c>
      <c r="G1038" s="35">
        <v>0</v>
      </c>
      <c r="H1038" s="35">
        <v>0</v>
      </c>
      <c r="I1038" s="35">
        <f>Tabla1[[#This Row],[P.U. M.N.]]*Tabla1[[#This Row],[CANTIDADES DE REFERENCIA]]</f>
        <v>0</v>
      </c>
      <c r="J1038" s="35">
        <f>Tabla1[[#This Row],[P.U. USD]]*Tabla1[[#This Row],[CANTIDADES DE REFERENCIA]]</f>
        <v>0</v>
      </c>
      <c r="K1038" s="36"/>
      <c r="L1038" s="36"/>
      <c r="M1038" s="36"/>
      <c r="N1038" s="37"/>
      <c r="O1038" s="37"/>
      <c r="P1038" s="38"/>
      <c r="Q1038" s="37" t="s">
        <v>2249</v>
      </c>
      <c r="R1038" s="37"/>
      <c r="S1038" s="37" t="s">
        <v>2161</v>
      </c>
      <c r="T1038" s="31"/>
    </row>
    <row r="1039" spans="1:20">
      <c r="A1039" s="31"/>
      <c r="B1039" s="32"/>
      <c r="C1039" s="33"/>
      <c r="D1039" s="32" t="s">
        <v>2250</v>
      </c>
      <c r="E1039" s="33" t="s">
        <v>116</v>
      </c>
      <c r="F1039" s="34">
        <v>1</v>
      </c>
      <c r="G1039" s="35">
        <v>0</v>
      </c>
      <c r="H1039" s="35">
        <v>0</v>
      </c>
      <c r="I1039" s="35">
        <f>Tabla1[[#This Row],[P.U. M.N.]]*Tabla1[[#This Row],[CANTIDADES DE REFERENCIA]]</f>
        <v>0</v>
      </c>
      <c r="J1039" s="35">
        <f>Tabla1[[#This Row],[P.U. USD]]*Tabla1[[#This Row],[CANTIDADES DE REFERENCIA]]</f>
        <v>0</v>
      </c>
      <c r="K1039" s="36"/>
      <c r="L1039" s="36"/>
      <c r="M1039" s="36"/>
      <c r="N1039" s="37"/>
      <c r="O1039" s="37"/>
      <c r="P1039" s="38"/>
      <c r="Q1039" s="37" t="s">
        <v>2251</v>
      </c>
      <c r="R1039" s="37"/>
      <c r="S1039" s="37" t="s">
        <v>2161</v>
      </c>
      <c r="T1039" s="31"/>
    </row>
    <row r="1040" spans="1:20">
      <c r="A1040" s="31"/>
      <c r="B1040" s="32"/>
      <c r="C1040" s="33"/>
      <c r="D1040" s="32" t="s">
        <v>2252</v>
      </c>
      <c r="E1040" s="33" t="s">
        <v>116</v>
      </c>
      <c r="F1040" s="34">
        <v>1</v>
      </c>
      <c r="G1040" s="35">
        <v>0</v>
      </c>
      <c r="H1040" s="35">
        <v>0</v>
      </c>
      <c r="I1040" s="35">
        <f>Tabla1[[#This Row],[P.U. M.N.]]*Tabla1[[#This Row],[CANTIDADES DE REFERENCIA]]</f>
        <v>0</v>
      </c>
      <c r="J1040" s="35">
        <f>Tabla1[[#This Row],[P.U. USD]]*Tabla1[[#This Row],[CANTIDADES DE REFERENCIA]]</f>
        <v>0</v>
      </c>
      <c r="K1040" s="36"/>
      <c r="L1040" s="36"/>
      <c r="M1040" s="36"/>
      <c r="N1040" s="37"/>
      <c r="O1040" s="37"/>
      <c r="P1040" s="38"/>
      <c r="Q1040" s="37" t="s">
        <v>2253</v>
      </c>
      <c r="R1040" s="37"/>
      <c r="S1040" s="37" t="s">
        <v>2161</v>
      </c>
      <c r="T1040" s="31"/>
    </row>
    <row r="1041" spans="1:20">
      <c r="A1041" s="31"/>
      <c r="B1041" s="32"/>
      <c r="C1041" s="33"/>
      <c r="D1041" s="32" t="s">
        <v>2254</v>
      </c>
      <c r="E1041" s="33" t="s">
        <v>116</v>
      </c>
      <c r="F1041" s="34">
        <v>1</v>
      </c>
      <c r="G1041" s="35">
        <v>0</v>
      </c>
      <c r="H1041" s="35">
        <v>0</v>
      </c>
      <c r="I1041" s="35">
        <f>Tabla1[[#This Row],[P.U. M.N.]]*Tabla1[[#This Row],[CANTIDADES DE REFERENCIA]]</f>
        <v>0</v>
      </c>
      <c r="J1041" s="35">
        <f>Tabla1[[#This Row],[P.U. USD]]*Tabla1[[#This Row],[CANTIDADES DE REFERENCIA]]</f>
        <v>0</v>
      </c>
      <c r="K1041" s="36"/>
      <c r="L1041" s="36"/>
      <c r="M1041" s="36"/>
      <c r="N1041" s="37"/>
      <c r="O1041" s="37"/>
      <c r="P1041" s="38"/>
      <c r="Q1041" s="37" t="s">
        <v>2255</v>
      </c>
      <c r="R1041" s="37"/>
      <c r="S1041" s="37" t="s">
        <v>2161</v>
      </c>
      <c r="T1041" s="31"/>
    </row>
    <row r="1042" spans="1:20">
      <c r="A1042" s="31"/>
      <c r="B1042" s="32"/>
      <c r="C1042" s="33"/>
      <c r="D1042" s="32" t="s">
        <v>2256</v>
      </c>
      <c r="E1042" s="33" t="s">
        <v>116</v>
      </c>
      <c r="F1042" s="34">
        <v>1</v>
      </c>
      <c r="G1042" s="35">
        <v>0</v>
      </c>
      <c r="H1042" s="35">
        <v>0</v>
      </c>
      <c r="I1042" s="35">
        <f>Tabla1[[#This Row],[P.U. M.N.]]*Tabla1[[#This Row],[CANTIDADES DE REFERENCIA]]</f>
        <v>0</v>
      </c>
      <c r="J1042" s="35">
        <f>Tabla1[[#This Row],[P.U. USD]]*Tabla1[[#This Row],[CANTIDADES DE REFERENCIA]]</f>
        <v>0</v>
      </c>
      <c r="K1042" s="36"/>
      <c r="L1042" s="36"/>
      <c r="M1042" s="36"/>
      <c r="N1042" s="37"/>
      <c r="O1042" s="37"/>
      <c r="P1042" s="38"/>
      <c r="Q1042" s="37" t="s">
        <v>2257</v>
      </c>
      <c r="R1042" s="37"/>
      <c r="S1042" s="37" t="s">
        <v>2161</v>
      </c>
      <c r="T1042" s="31"/>
    </row>
    <row r="1043" spans="1:20">
      <c r="A1043" s="31"/>
      <c r="B1043" s="32"/>
      <c r="C1043" s="33"/>
      <c r="D1043" s="32" t="s">
        <v>2258</v>
      </c>
      <c r="E1043" s="33" t="s">
        <v>116</v>
      </c>
      <c r="F1043" s="34">
        <v>1</v>
      </c>
      <c r="G1043" s="35">
        <v>0</v>
      </c>
      <c r="H1043" s="35">
        <v>0</v>
      </c>
      <c r="I1043" s="35">
        <f>Tabla1[[#This Row],[P.U. M.N.]]*Tabla1[[#This Row],[CANTIDADES DE REFERENCIA]]</f>
        <v>0</v>
      </c>
      <c r="J1043" s="35">
        <f>Tabla1[[#This Row],[P.U. USD]]*Tabla1[[#This Row],[CANTIDADES DE REFERENCIA]]</f>
        <v>0</v>
      </c>
      <c r="K1043" s="36"/>
      <c r="L1043" s="36"/>
      <c r="M1043" s="36"/>
      <c r="N1043" s="37"/>
      <c r="O1043" s="37"/>
      <c r="P1043" s="38"/>
      <c r="Q1043" s="37" t="s">
        <v>2259</v>
      </c>
      <c r="R1043" s="37"/>
      <c r="S1043" s="37" t="s">
        <v>2161</v>
      </c>
      <c r="T1043" s="31"/>
    </row>
    <row r="1044" spans="1:20">
      <c r="A1044" s="31"/>
      <c r="B1044" s="32"/>
      <c r="C1044" s="33"/>
      <c r="D1044" s="32" t="s">
        <v>2260</v>
      </c>
      <c r="E1044" s="33" t="s">
        <v>116</v>
      </c>
      <c r="F1044" s="34">
        <v>1</v>
      </c>
      <c r="G1044" s="35">
        <v>0</v>
      </c>
      <c r="H1044" s="35">
        <v>0</v>
      </c>
      <c r="I1044" s="35">
        <f>Tabla1[[#This Row],[P.U. M.N.]]*Tabla1[[#This Row],[CANTIDADES DE REFERENCIA]]</f>
        <v>0</v>
      </c>
      <c r="J1044" s="35">
        <f>Tabla1[[#This Row],[P.U. USD]]*Tabla1[[#This Row],[CANTIDADES DE REFERENCIA]]</f>
        <v>0</v>
      </c>
      <c r="K1044" s="36"/>
      <c r="L1044" s="36"/>
      <c r="M1044" s="36"/>
      <c r="N1044" s="37"/>
      <c r="O1044" s="37"/>
      <c r="P1044" s="38"/>
      <c r="Q1044" s="37" t="s">
        <v>2261</v>
      </c>
      <c r="R1044" s="37"/>
      <c r="S1044" s="37" t="s">
        <v>2161</v>
      </c>
      <c r="T1044" s="31"/>
    </row>
    <row r="1045" spans="1:20">
      <c r="A1045" s="31"/>
      <c r="B1045" s="32"/>
      <c r="C1045" s="33"/>
      <c r="D1045" s="32" t="s">
        <v>2262</v>
      </c>
      <c r="E1045" s="33" t="s">
        <v>116</v>
      </c>
      <c r="F1045" s="34">
        <v>1</v>
      </c>
      <c r="G1045" s="35">
        <v>0</v>
      </c>
      <c r="H1045" s="35">
        <v>0</v>
      </c>
      <c r="I1045" s="35">
        <f>Tabla1[[#This Row],[P.U. M.N.]]*Tabla1[[#This Row],[CANTIDADES DE REFERENCIA]]</f>
        <v>0</v>
      </c>
      <c r="J1045" s="35">
        <f>Tabla1[[#This Row],[P.U. USD]]*Tabla1[[#This Row],[CANTIDADES DE REFERENCIA]]</f>
        <v>0</v>
      </c>
      <c r="K1045" s="36"/>
      <c r="L1045" s="36"/>
      <c r="M1045" s="36"/>
      <c r="N1045" s="37"/>
      <c r="O1045" s="37"/>
      <c r="P1045" s="38"/>
      <c r="Q1045" s="37" t="s">
        <v>2263</v>
      </c>
      <c r="R1045" s="37"/>
      <c r="S1045" s="37" t="s">
        <v>2161</v>
      </c>
      <c r="T1045" s="31"/>
    </row>
    <row r="1046" spans="1:20">
      <c r="A1046" s="31"/>
      <c r="B1046" s="32"/>
      <c r="C1046" s="33"/>
      <c r="D1046" s="32" t="s">
        <v>2264</v>
      </c>
      <c r="E1046" s="33" t="s">
        <v>116</v>
      </c>
      <c r="F1046" s="34">
        <v>1</v>
      </c>
      <c r="G1046" s="35">
        <v>0</v>
      </c>
      <c r="H1046" s="35">
        <v>0</v>
      </c>
      <c r="I1046" s="35">
        <f>Tabla1[[#This Row],[P.U. M.N.]]*Tabla1[[#This Row],[CANTIDADES DE REFERENCIA]]</f>
        <v>0</v>
      </c>
      <c r="J1046" s="35">
        <f>Tabla1[[#This Row],[P.U. USD]]*Tabla1[[#This Row],[CANTIDADES DE REFERENCIA]]</f>
        <v>0</v>
      </c>
      <c r="K1046" s="36"/>
      <c r="L1046" s="36"/>
      <c r="M1046" s="36"/>
      <c r="N1046" s="37"/>
      <c r="O1046" s="37"/>
      <c r="P1046" s="38"/>
      <c r="Q1046" s="37" t="s">
        <v>2265</v>
      </c>
      <c r="R1046" s="37"/>
      <c r="S1046" s="37" t="s">
        <v>2161</v>
      </c>
      <c r="T1046" s="31"/>
    </row>
    <row r="1047" spans="1:20">
      <c r="A1047" s="31"/>
      <c r="B1047" s="32"/>
      <c r="C1047" s="33"/>
      <c r="D1047" s="32" t="s">
        <v>2266</v>
      </c>
      <c r="E1047" s="33" t="s">
        <v>116</v>
      </c>
      <c r="F1047" s="34">
        <v>1</v>
      </c>
      <c r="G1047" s="35">
        <v>0</v>
      </c>
      <c r="H1047" s="35">
        <v>0</v>
      </c>
      <c r="I1047" s="35">
        <f>Tabla1[[#This Row],[P.U. M.N.]]*Tabla1[[#This Row],[CANTIDADES DE REFERENCIA]]</f>
        <v>0</v>
      </c>
      <c r="J1047" s="35">
        <f>Tabla1[[#This Row],[P.U. USD]]*Tabla1[[#This Row],[CANTIDADES DE REFERENCIA]]</f>
        <v>0</v>
      </c>
      <c r="K1047" s="36"/>
      <c r="L1047" s="36"/>
      <c r="M1047" s="36"/>
      <c r="N1047" s="37"/>
      <c r="O1047" s="37"/>
      <c r="P1047" s="38"/>
      <c r="Q1047" s="37" t="s">
        <v>2267</v>
      </c>
      <c r="R1047" s="37"/>
      <c r="S1047" s="37" t="s">
        <v>2161</v>
      </c>
      <c r="T1047" s="31"/>
    </row>
    <row r="1048" spans="1:20">
      <c r="A1048" s="31"/>
      <c r="B1048" s="32"/>
      <c r="C1048" s="33"/>
      <c r="D1048" s="32" t="s">
        <v>2268</v>
      </c>
      <c r="E1048" s="33" t="s">
        <v>116</v>
      </c>
      <c r="F1048" s="34">
        <v>1</v>
      </c>
      <c r="G1048" s="35">
        <v>0</v>
      </c>
      <c r="H1048" s="35">
        <v>0</v>
      </c>
      <c r="I1048" s="35">
        <f>Tabla1[[#This Row],[P.U. M.N.]]*Tabla1[[#This Row],[CANTIDADES DE REFERENCIA]]</f>
        <v>0</v>
      </c>
      <c r="J1048" s="35">
        <f>Tabla1[[#This Row],[P.U. USD]]*Tabla1[[#This Row],[CANTIDADES DE REFERENCIA]]</f>
        <v>0</v>
      </c>
      <c r="K1048" s="36"/>
      <c r="L1048" s="36"/>
      <c r="M1048" s="36"/>
      <c r="N1048" s="37"/>
      <c r="O1048" s="37"/>
      <c r="P1048" s="38"/>
      <c r="Q1048" s="37" t="s">
        <v>2269</v>
      </c>
      <c r="R1048" s="37"/>
      <c r="S1048" s="37" t="s">
        <v>2161</v>
      </c>
      <c r="T1048" s="31"/>
    </row>
    <row r="1049" spans="1:20">
      <c r="A1049" s="31"/>
      <c r="B1049" s="32"/>
      <c r="C1049" s="33"/>
      <c r="D1049" s="32" t="s">
        <v>2270</v>
      </c>
      <c r="E1049" s="33" t="s">
        <v>135</v>
      </c>
      <c r="F1049" s="34">
        <v>1</v>
      </c>
      <c r="G1049" s="35">
        <v>0</v>
      </c>
      <c r="H1049" s="35">
        <v>0</v>
      </c>
      <c r="I1049" s="35">
        <f>Tabla1[[#This Row],[P.U. M.N.]]*Tabla1[[#This Row],[CANTIDADES DE REFERENCIA]]</f>
        <v>0</v>
      </c>
      <c r="J1049" s="35">
        <f>Tabla1[[#This Row],[P.U. USD]]*Tabla1[[#This Row],[CANTIDADES DE REFERENCIA]]</f>
        <v>0</v>
      </c>
      <c r="K1049" s="36"/>
      <c r="L1049" s="36"/>
      <c r="M1049" s="36"/>
      <c r="N1049" s="37"/>
      <c r="O1049" s="37"/>
      <c r="P1049" s="38"/>
      <c r="Q1049" s="37" t="s">
        <v>2271</v>
      </c>
      <c r="R1049" s="37"/>
      <c r="S1049" s="37" t="s">
        <v>2161</v>
      </c>
      <c r="T1049" s="31"/>
    </row>
    <row r="1050" spans="1:20">
      <c r="A1050" s="31"/>
      <c r="B1050" s="32"/>
      <c r="C1050" s="33"/>
      <c r="D1050" s="32" t="s">
        <v>2272</v>
      </c>
      <c r="E1050" s="33" t="s">
        <v>116</v>
      </c>
      <c r="F1050" s="34">
        <v>1</v>
      </c>
      <c r="G1050" s="35">
        <v>0</v>
      </c>
      <c r="H1050" s="35">
        <v>0</v>
      </c>
      <c r="I1050" s="35">
        <f>Tabla1[[#This Row],[P.U. M.N.]]*Tabla1[[#This Row],[CANTIDADES DE REFERENCIA]]</f>
        <v>0</v>
      </c>
      <c r="J1050" s="35">
        <f>Tabla1[[#This Row],[P.U. USD]]*Tabla1[[#This Row],[CANTIDADES DE REFERENCIA]]</f>
        <v>0</v>
      </c>
      <c r="K1050" s="36"/>
      <c r="L1050" s="36"/>
      <c r="M1050" s="36"/>
      <c r="N1050" s="37"/>
      <c r="O1050" s="37"/>
      <c r="P1050" s="38"/>
      <c r="Q1050" s="37" t="s">
        <v>2273</v>
      </c>
      <c r="R1050" s="37"/>
      <c r="S1050" s="37" t="s">
        <v>2161</v>
      </c>
      <c r="T1050" s="31"/>
    </row>
    <row r="1051" spans="1:20">
      <c r="A1051" s="31"/>
      <c r="B1051" s="32"/>
      <c r="C1051" s="33"/>
      <c r="D1051" s="32" t="s">
        <v>2274</v>
      </c>
      <c r="E1051" s="33" t="s">
        <v>116</v>
      </c>
      <c r="F1051" s="34">
        <v>1</v>
      </c>
      <c r="G1051" s="35">
        <v>0</v>
      </c>
      <c r="H1051" s="35">
        <v>0</v>
      </c>
      <c r="I1051" s="35">
        <f>Tabla1[[#This Row],[P.U. M.N.]]*Tabla1[[#This Row],[CANTIDADES DE REFERENCIA]]</f>
        <v>0</v>
      </c>
      <c r="J1051" s="35">
        <f>Tabla1[[#This Row],[P.U. USD]]*Tabla1[[#This Row],[CANTIDADES DE REFERENCIA]]</f>
        <v>0</v>
      </c>
      <c r="K1051" s="36"/>
      <c r="L1051" s="36"/>
      <c r="M1051" s="36"/>
      <c r="N1051" s="37"/>
      <c r="O1051" s="37"/>
      <c r="P1051" s="38"/>
      <c r="Q1051" s="37" t="s">
        <v>2275</v>
      </c>
      <c r="R1051" s="37"/>
      <c r="S1051" s="37" t="s">
        <v>2161</v>
      </c>
      <c r="T1051" s="31"/>
    </row>
    <row r="1052" spans="1:20">
      <c r="A1052" s="31"/>
      <c r="B1052" s="32"/>
      <c r="C1052" s="33"/>
      <c r="D1052" s="32" t="s">
        <v>2276</v>
      </c>
      <c r="E1052" s="33" t="s">
        <v>135</v>
      </c>
      <c r="F1052" s="34">
        <v>1</v>
      </c>
      <c r="G1052" s="35">
        <v>0</v>
      </c>
      <c r="H1052" s="35">
        <v>0</v>
      </c>
      <c r="I1052" s="35">
        <f>Tabla1[[#This Row],[P.U. M.N.]]*Tabla1[[#This Row],[CANTIDADES DE REFERENCIA]]</f>
        <v>0</v>
      </c>
      <c r="J1052" s="35">
        <f>Tabla1[[#This Row],[P.U. USD]]*Tabla1[[#This Row],[CANTIDADES DE REFERENCIA]]</f>
        <v>0</v>
      </c>
      <c r="K1052" s="36"/>
      <c r="L1052" s="36"/>
      <c r="M1052" s="36"/>
      <c r="N1052" s="37"/>
      <c r="O1052" s="37"/>
      <c r="P1052" s="38"/>
      <c r="Q1052" s="37" t="s">
        <v>2277</v>
      </c>
      <c r="R1052" s="37"/>
      <c r="S1052" s="37" t="s">
        <v>2161</v>
      </c>
      <c r="T1052" s="31"/>
    </row>
    <row r="1053" spans="1:20">
      <c r="A1053" s="31"/>
      <c r="B1053" s="32"/>
      <c r="C1053" s="33"/>
      <c r="D1053" s="32" t="s">
        <v>2278</v>
      </c>
      <c r="E1053" s="33" t="s">
        <v>116</v>
      </c>
      <c r="F1053" s="34">
        <v>1</v>
      </c>
      <c r="G1053" s="35">
        <v>0</v>
      </c>
      <c r="H1053" s="35">
        <v>0</v>
      </c>
      <c r="I1053" s="35">
        <f>Tabla1[[#This Row],[P.U. M.N.]]*Tabla1[[#This Row],[CANTIDADES DE REFERENCIA]]</f>
        <v>0</v>
      </c>
      <c r="J1053" s="35">
        <f>Tabla1[[#This Row],[P.U. USD]]*Tabla1[[#This Row],[CANTIDADES DE REFERENCIA]]</f>
        <v>0</v>
      </c>
      <c r="K1053" s="36"/>
      <c r="L1053" s="36"/>
      <c r="M1053" s="36"/>
      <c r="N1053" s="37"/>
      <c r="O1053" s="37"/>
      <c r="P1053" s="38"/>
      <c r="Q1053" s="37" t="s">
        <v>2279</v>
      </c>
      <c r="R1053" s="37"/>
      <c r="S1053" s="37" t="s">
        <v>2161</v>
      </c>
      <c r="T1053" s="31"/>
    </row>
    <row r="1054" spans="1:20">
      <c r="A1054" s="31"/>
      <c r="B1054" s="32"/>
      <c r="C1054" s="33"/>
      <c r="D1054" s="32" t="s">
        <v>2280</v>
      </c>
      <c r="E1054" s="33" t="s">
        <v>116</v>
      </c>
      <c r="F1054" s="34">
        <v>1</v>
      </c>
      <c r="G1054" s="35">
        <v>0</v>
      </c>
      <c r="H1054" s="35">
        <v>0</v>
      </c>
      <c r="I1054" s="35">
        <f>Tabla1[[#This Row],[P.U. M.N.]]*Tabla1[[#This Row],[CANTIDADES DE REFERENCIA]]</f>
        <v>0</v>
      </c>
      <c r="J1054" s="35">
        <f>Tabla1[[#This Row],[P.U. USD]]*Tabla1[[#This Row],[CANTIDADES DE REFERENCIA]]</f>
        <v>0</v>
      </c>
      <c r="K1054" s="36"/>
      <c r="L1054" s="36"/>
      <c r="M1054" s="36"/>
      <c r="N1054" s="37"/>
      <c r="O1054" s="37"/>
      <c r="P1054" s="38"/>
      <c r="Q1054" s="37" t="s">
        <v>2281</v>
      </c>
      <c r="R1054" s="37"/>
      <c r="S1054" s="37" t="s">
        <v>2161</v>
      </c>
      <c r="T1054" s="31"/>
    </row>
    <row r="1055" spans="1:20">
      <c r="A1055" s="31"/>
      <c r="B1055" s="32"/>
      <c r="C1055" s="33"/>
      <c r="D1055" s="32" t="s">
        <v>2282</v>
      </c>
      <c r="E1055" s="33" t="s">
        <v>116</v>
      </c>
      <c r="F1055" s="34">
        <v>1</v>
      </c>
      <c r="G1055" s="35">
        <v>0</v>
      </c>
      <c r="H1055" s="35">
        <v>0</v>
      </c>
      <c r="I1055" s="35">
        <f>Tabla1[[#This Row],[P.U. M.N.]]*Tabla1[[#This Row],[CANTIDADES DE REFERENCIA]]</f>
        <v>0</v>
      </c>
      <c r="J1055" s="35">
        <f>Tabla1[[#This Row],[P.U. USD]]*Tabla1[[#This Row],[CANTIDADES DE REFERENCIA]]</f>
        <v>0</v>
      </c>
      <c r="K1055" s="36"/>
      <c r="L1055" s="36"/>
      <c r="M1055" s="36"/>
      <c r="N1055" s="37"/>
      <c r="O1055" s="37"/>
      <c r="P1055" s="38"/>
      <c r="Q1055" s="37" t="s">
        <v>2283</v>
      </c>
      <c r="R1055" s="37"/>
      <c r="S1055" s="37" t="s">
        <v>2161</v>
      </c>
      <c r="T1055" s="31"/>
    </row>
    <row r="1056" spans="1:20">
      <c r="A1056" s="31"/>
      <c r="B1056" s="32"/>
      <c r="C1056" s="33"/>
      <c r="D1056" s="32" t="s">
        <v>2284</v>
      </c>
      <c r="E1056" s="33" t="s">
        <v>116</v>
      </c>
      <c r="F1056" s="34">
        <v>1</v>
      </c>
      <c r="G1056" s="35">
        <v>0</v>
      </c>
      <c r="H1056" s="35">
        <v>0</v>
      </c>
      <c r="I1056" s="35">
        <f>Tabla1[[#This Row],[P.U. M.N.]]*Tabla1[[#This Row],[CANTIDADES DE REFERENCIA]]</f>
        <v>0</v>
      </c>
      <c r="J1056" s="35">
        <f>Tabla1[[#This Row],[P.U. USD]]*Tabla1[[#This Row],[CANTIDADES DE REFERENCIA]]</f>
        <v>0</v>
      </c>
      <c r="K1056" s="36"/>
      <c r="L1056" s="36"/>
      <c r="M1056" s="36"/>
      <c r="N1056" s="37"/>
      <c r="O1056" s="37"/>
      <c r="P1056" s="38"/>
      <c r="Q1056" s="37" t="s">
        <v>2285</v>
      </c>
      <c r="R1056" s="37"/>
      <c r="S1056" s="37" t="s">
        <v>2161</v>
      </c>
      <c r="T1056" s="31"/>
    </row>
    <row r="1057" spans="1:20">
      <c r="A1057" s="31"/>
      <c r="B1057" s="32"/>
      <c r="C1057" s="33"/>
      <c r="D1057" s="32" t="s">
        <v>2286</v>
      </c>
      <c r="E1057" s="33" t="s">
        <v>116</v>
      </c>
      <c r="F1057" s="34">
        <v>1</v>
      </c>
      <c r="G1057" s="35">
        <v>0</v>
      </c>
      <c r="H1057" s="35">
        <v>0</v>
      </c>
      <c r="I1057" s="35">
        <f>Tabla1[[#This Row],[P.U. M.N.]]*Tabla1[[#This Row],[CANTIDADES DE REFERENCIA]]</f>
        <v>0</v>
      </c>
      <c r="J1057" s="35">
        <f>Tabla1[[#This Row],[P.U. USD]]*Tabla1[[#This Row],[CANTIDADES DE REFERENCIA]]</f>
        <v>0</v>
      </c>
      <c r="K1057" s="36"/>
      <c r="L1057" s="36"/>
      <c r="M1057" s="36"/>
      <c r="N1057" s="37"/>
      <c r="O1057" s="37"/>
      <c r="P1057" s="38"/>
      <c r="Q1057" s="37" t="s">
        <v>2287</v>
      </c>
      <c r="R1057" s="37"/>
      <c r="S1057" s="37" t="s">
        <v>2161</v>
      </c>
      <c r="T1057" s="31"/>
    </row>
    <row r="1058" spans="1:20">
      <c r="A1058" s="31"/>
      <c r="B1058" s="32"/>
      <c r="C1058" s="33"/>
      <c r="D1058" s="32" t="s">
        <v>2288</v>
      </c>
      <c r="E1058" s="33" t="s">
        <v>116</v>
      </c>
      <c r="F1058" s="34">
        <v>1</v>
      </c>
      <c r="G1058" s="35">
        <v>0</v>
      </c>
      <c r="H1058" s="35">
        <v>0</v>
      </c>
      <c r="I1058" s="35">
        <f>Tabla1[[#This Row],[P.U. M.N.]]*Tabla1[[#This Row],[CANTIDADES DE REFERENCIA]]</f>
        <v>0</v>
      </c>
      <c r="J1058" s="35">
        <f>Tabla1[[#This Row],[P.U. USD]]*Tabla1[[#This Row],[CANTIDADES DE REFERENCIA]]</f>
        <v>0</v>
      </c>
      <c r="K1058" s="36"/>
      <c r="L1058" s="36"/>
      <c r="M1058" s="36"/>
      <c r="N1058" s="37"/>
      <c r="O1058" s="37"/>
      <c r="P1058" s="38"/>
      <c r="Q1058" s="37" t="s">
        <v>2289</v>
      </c>
      <c r="R1058" s="37"/>
      <c r="S1058" s="37" t="s">
        <v>2161</v>
      </c>
      <c r="T1058" s="31"/>
    </row>
    <row r="1059" spans="1:20">
      <c r="A1059" s="31"/>
      <c r="B1059" s="32"/>
      <c r="C1059" s="33"/>
      <c r="D1059" s="32" t="s">
        <v>2290</v>
      </c>
      <c r="E1059" s="33" t="s">
        <v>116</v>
      </c>
      <c r="F1059" s="34">
        <v>1</v>
      </c>
      <c r="G1059" s="35">
        <v>0</v>
      </c>
      <c r="H1059" s="35">
        <v>0</v>
      </c>
      <c r="I1059" s="35">
        <f>Tabla1[[#This Row],[P.U. M.N.]]*Tabla1[[#This Row],[CANTIDADES DE REFERENCIA]]</f>
        <v>0</v>
      </c>
      <c r="J1059" s="35">
        <f>Tabla1[[#This Row],[P.U. USD]]*Tabla1[[#This Row],[CANTIDADES DE REFERENCIA]]</f>
        <v>0</v>
      </c>
      <c r="K1059" s="36"/>
      <c r="L1059" s="36"/>
      <c r="M1059" s="36"/>
      <c r="N1059" s="37"/>
      <c r="O1059" s="37"/>
      <c r="P1059" s="38"/>
      <c r="Q1059" s="37" t="s">
        <v>2291</v>
      </c>
      <c r="R1059" s="37"/>
      <c r="S1059" s="37" t="s">
        <v>2161</v>
      </c>
      <c r="T1059" s="31"/>
    </row>
    <row r="1060" spans="1:20">
      <c r="A1060" s="31"/>
      <c r="B1060" s="32"/>
      <c r="C1060" s="33"/>
      <c r="D1060" s="32" t="s">
        <v>2292</v>
      </c>
      <c r="E1060" s="33" t="s">
        <v>116</v>
      </c>
      <c r="F1060" s="34">
        <v>1</v>
      </c>
      <c r="G1060" s="35">
        <v>0</v>
      </c>
      <c r="H1060" s="35">
        <v>0</v>
      </c>
      <c r="I1060" s="35">
        <f>Tabla1[[#This Row],[P.U. M.N.]]*Tabla1[[#This Row],[CANTIDADES DE REFERENCIA]]</f>
        <v>0</v>
      </c>
      <c r="J1060" s="35">
        <f>Tabla1[[#This Row],[P.U. USD]]*Tabla1[[#This Row],[CANTIDADES DE REFERENCIA]]</f>
        <v>0</v>
      </c>
      <c r="K1060" s="36"/>
      <c r="L1060" s="36"/>
      <c r="M1060" s="36"/>
      <c r="N1060" s="37"/>
      <c r="O1060" s="37"/>
      <c r="P1060" s="38"/>
      <c r="Q1060" s="37" t="s">
        <v>2293</v>
      </c>
      <c r="R1060" s="37"/>
      <c r="S1060" s="37" t="s">
        <v>2161</v>
      </c>
      <c r="T1060" s="31"/>
    </row>
    <row r="1061" spans="1:20">
      <c r="A1061" s="31"/>
      <c r="B1061" s="32"/>
      <c r="C1061" s="33"/>
      <c r="D1061" s="32" t="s">
        <v>2294</v>
      </c>
      <c r="E1061" s="33" t="s">
        <v>116</v>
      </c>
      <c r="F1061" s="34">
        <v>1</v>
      </c>
      <c r="G1061" s="35">
        <v>0</v>
      </c>
      <c r="H1061" s="35">
        <v>0</v>
      </c>
      <c r="I1061" s="35">
        <f>Tabla1[[#This Row],[P.U. M.N.]]*Tabla1[[#This Row],[CANTIDADES DE REFERENCIA]]</f>
        <v>0</v>
      </c>
      <c r="J1061" s="35">
        <f>Tabla1[[#This Row],[P.U. USD]]*Tabla1[[#This Row],[CANTIDADES DE REFERENCIA]]</f>
        <v>0</v>
      </c>
      <c r="K1061" s="36"/>
      <c r="L1061" s="36"/>
      <c r="M1061" s="36"/>
      <c r="N1061" s="37"/>
      <c r="O1061" s="37"/>
      <c r="P1061" s="38"/>
      <c r="Q1061" s="37" t="s">
        <v>2295</v>
      </c>
      <c r="R1061" s="37"/>
      <c r="S1061" s="37" t="s">
        <v>2161</v>
      </c>
      <c r="T1061" s="31"/>
    </row>
    <row r="1062" spans="1:20">
      <c r="A1062" s="31"/>
      <c r="B1062" s="32"/>
      <c r="C1062" s="33"/>
      <c r="D1062" s="32" t="s">
        <v>2296</v>
      </c>
      <c r="E1062" s="33" t="s">
        <v>116</v>
      </c>
      <c r="F1062" s="34">
        <v>1</v>
      </c>
      <c r="G1062" s="35">
        <v>0</v>
      </c>
      <c r="H1062" s="35">
        <v>0</v>
      </c>
      <c r="I1062" s="35">
        <f>Tabla1[[#This Row],[P.U. M.N.]]*Tabla1[[#This Row],[CANTIDADES DE REFERENCIA]]</f>
        <v>0</v>
      </c>
      <c r="J1062" s="35">
        <f>Tabla1[[#This Row],[P.U. USD]]*Tabla1[[#This Row],[CANTIDADES DE REFERENCIA]]</f>
        <v>0</v>
      </c>
      <c r="K1062" s="36"/>
      <c r="L1062" s="36"/>
      <c r="M1062" s="36"/>
      <c r="N1062" s="37"/>
      <c r="O1062" s="37"/>
      <c r="P1062" s="38"/>
      <c r="Q1062" s="37" t="s">
        <v>2297</v>
      </c>
      <c r="R1062" s="37"/>
      <c r="S1062" s="37" t="s">
        <v>2161</v>
      </c>
      <c r="T1062" s="31"/>
    </row>
    <row r="1063" spans="1:20">
      <c r="A1063" s="31"/>
      <c r="B1063" s="32"/>
      <c r="C1063" s="33"/>
      <c r="D1063" s="32" t="s">
        <v>2298</v>
      </c>
      <c r="E1063" s="33" t="s">
        <v>116</v>
      </c>
      <c r="F1063" s="34">
        <v>1</v>
      </c>
      <c r="G1063" s="35">
        <v>0</v>
      </c>
      <c r="H1063" s="35">
        <v>0</v>
      </c>
      <c r="I1063" s="35">
        <f>Tabla1[[#This Row],[P.U. M.N.]]*Tabla1[[#This Row],[CANTIDADES DE REFERENCIA]]</f>
        <v>0</v>
      </c>
      <c r="J1063" s="35">
        <f>Tabla1[[#This Row],[P.U. USD]]*Tabla1[[#This Row],[CANTIDADES DE REFERENCIA]]</f>
        <v>0</v>
      </c>
      <c r="K1063" s="36"/>
      <c r="L1063" s="36"/>
      <c r="M1063" s="36"/>
      <c r="N1063" s="37"/>
      <c r="O1063" s="37"/>
      <c r="P1063" s="38"/>
      <c r="Q1063" s="37" t="s">
        <v>2299</v>
      </c>
      <c r="R1063" s="37"/>
      <c r="S1063" s="37" t="s">
        <v>2161</v>
      </c>
      <c r="T1063" s="31"/>
    </row>
    <row r="1064" spans="1:20">
      <c r="A1064" s="31"/>
      <c r="B1064" s="32"/>
      <c r="C1064" s="33"/>
      <c r="D1064" s="32" t="s">
        <v>2300</v>
      </c>
      <c r="E1064" s="33" t="s">
        <v>116</v>
      </c>
      <c r="F1064" s="34">
        <v>1</v>
      </c>
      <c r="G1064" s="35">
        <v>0</v>
      </c>
      <c r="H1064" s="35">
        <v>0</v>
      </c>
      <c r="I1064" s="35">
        <f>Tabla1[[#This Row],[P.U. M.N.]]*Tabla1[[#This Row],[CANTIDADES DE REFERENCIA]]</f>
        <v>0</v>
      </c>
      <c r="J1064" s="35">
        <f>Tabla1[[#This Row],[P.U. USD]]*Tabla1[[#This Row],[CANTIDADES DE REFERENCIA]]</f>
        <v>0</v>
      </c>
      <c r="K1064" s="36"/>
      <c r="L1064" s="36"/>
      <c r="M1064" s="36"/>
      <c r="N1064" s="37"/>
      <c r="O1064" s="37"/>
      <c r="P1064" s="38"/>
      <c r="Q1064" s="37" t="s">
        <v>2301</v>
      </c>
      <c r="R1064" s="37"/>
      <c r="S1064" s="37" t="s">
        <v>2161</v>
      </c>
      <c r="T1064" s="31"/>
    </row>
    <row r="1065" spans="1:20">
      <c r="A1065" s="31"/>
      <c r="B1065" s="32"/>
      <c r="C1065" s="33"/>
      <c r="D1065" s="32" t="s">
        <v>2302</v>
      </c>
      <c r="E1065" s="33" t="s">
        <v>116</v>
      </c>
      <c r="F1065" s="34">
        <v>1</v>
      </c>
      <c r="G1065" s="35">
        <v>0</v>
      </c>
      <c r="H1065" s="35">
        <v>0</v>
      </c>
      <c r="I1065" s="35">
        <f>Tabla1[[#This Row],[P.U. M.N.]]*Tabla1[[#This Row],[CANTIDADES DE REFERENCIA]]</f>
        <v>0</v>
      </c>
      <c r="J1065" s="35">
        <f>Tabla1[[#This Row],[P.U. USD]]*Tabla1[[#This Row],[CANTIDADES DE REFERENCIA]]</f>
        <v>0</v>
      </c>
      <c r="K1065" s="36"/>
      <c r="L1065" s="36"/>
      <c r="M1065" s="36"/>
      <c r="N1065" s="37"/>
      <c r="O1065" s="37"/>
      <c r="P1065" s="38"/>
      <c r="Q1065" s="37" t="s">
        <v>2303</v>
      </c>
      <c r="R1065" s="37"/>
      <c r="S1065" s="37" t="s">
        <v>2161</v>
      </c>
      <c r="T1065" s="31"/>
    </row>
    <row r="1066" spans="1:20">
      <c r="A1066" s="31"/>
      <c r="B1066" s="32"/>
      <c r="C1066" s="33"/>
      <c r="D1066" s="32" t="s">
        <v>2304</v>
      </c>
      <c r="E1066" s="33" t="s">
        <v>135</v>
      </c>
      <c r="F1066" s="34">
        <v>1</v>
      </c>
      <c r="G1066" s="35">
        <v>0</v>
      </c>
      <c r="H1066" s="35">
        <v>0</v>
      </c>
      <c r="I1066" s="35">
        <f>Tabla1[[#This Row],[P.U. M.N.]]*Tabla1[[#This Row],[CANTIDADES DE REFERENCIA]]</f>
        <v>0</v>
      </c>
      <c r="J1066" s="35">
        <f>Tabla1[[#This Row],[P.U. USD]]*Tabla1[[#This Row],[CANTIDADES DE REFERENCIA]]</f>
        <v>0</v>
      </c>
      <c r="K1066" s="36"/>
      <c r="L1066" s="36"/>
      <c r="M1066" s="36"/>
      <c r="N1066" s="37" t="s">
        <v>117</v>
      </c>
      <c r="O1066" s="37" t="s">
        <v>118</v>
      </c>
      <c r="P1066" s="38"/>
      <c r="Q1066" s="37" t="s">
        <v>2305</v>
      </c>
      <c r="R1066" s="37"/>
      <c r="S1066" s="37" t="s">
        <v>120</v>
      </c>
      <c r="T1066" s="31"/>
    </row>
    <row r="1067" spans="1:20">
      <c r="A1067" s="31"/>
      <c r="B1067" s="32"/>
      <c r="C1067" s="33"/>
      <c r="D1067" s="32" t="s">
        <v>2306</v>
      </c>
      <c r="E1067" s="33" t="s">
        <v>116</v>
      </c>
      <c r="F1067" s="34">
        <v>1</v>
      </c>
      <c r="G1067" s="35">
        <v>0</v>
      </c>
      <c r="H1067" s="35">
        <v>0</v>
      </c>
      <c r="I1067" s="35">
        <f>Tabla1[[#This Row],[P.U. M.N.]]*Tabla1[[#This Row],[CANTIDADES DE REFERENCIA]]</f>
        <v>0</v>
      </c>
      <c r="J1067" s="35">
        <f>Tabla1[[#This Row],[P.U. USD]]*Tabla1[[#This Row],[CANTIDADES DE REFERENCIA]]</f>
        <v>0</v>
      </c>
      <c r="K1067" s="36"/>
      <c r="L1067" s="36"/>
      <c r="M1067" s="36"/>
      <c r="N1067" s="37" t="s">
        <v>89</v>
      </c>
      <c r="O1067" s="37" t="s">
        <v>90</v>
      </c>
      <c r="P1067" s="38"/>
      <c r="Q1067" s="37" t="s">
        <v>2307</v>
      </c>
      <c r="R1067" s="37"/>
      <c r="S1067" s="37" t="s">
        <v>2142</v>
      </c>
      <c r="T1067" s="31"/>
    </row>
    <row r="1068" spans="1:20">
      <c r="A1068" s="31"/>
      <c r="B1068" s="32"/>
      <c r="C1068" s="33"/>
      <c r="D1068" s="32" t="s">
        <v>2308</v>
      </c>
      <c r="E1068" s="33" t="s">
        <v>116</v>
      </c>
      <c r="F1068" s="34">
        <v>1</v>
      </c>
      <c r="G1068" s="35">
        <v>0</v>
      </c>
      <c r="H1068" s="35">
        <v>0</v>
      </c>
      <c r="I1068" s="35">
        <f>Tabla1[[#This Row],[P.U. M.N.]]*Tabla1[[#This Row],[CANTIDADES DE REFERENCIA]]</f>
        <v>0</v>
      </c>
      <c r="J1068" s="35">
        <f>Tabla1[[#This Row],[P.U. USD]]*Tabla1[[#This Row],[CANTIDADES DE REFERENCIA]]</f>
        <v>0</v>
      </c>
      <c r="K1068" s="36"/>
      <c r="L1068" s="36"/>
      <c r="M1068" s="36"/>
      <c r="N1068" s="37" t="s">
        <v>89</v>
      </c>
      <c r="O1068" s="37" t="s">
        <v>90</v>
      </c>
      <c r="P1068" s="38"/>
      <c r="Q1068" s="37" t="s">
        <v>2309</v>
      </c>
      <c r="R1068" s="37"/>
      <c r="S1068" s="37" t="s">
        <v>2142</v>
      </c>
      <c r="T1068" s="31"/>
    </row>
    <row r="1069" spans="1:20">
      <c r="A1069" s="31"/>
      <c r="B1069" s="32"/>
      <c r="C1069" s="33"/>
      <c r="D1069" s="32" t="s">
        <v>2310</v>
      </c>
      <c r="E1069" s="33" t="s">
        <v>116</v>
      </c>
      <c r="F1069" s="34">
        <v>1</v>
      </c>
      <c r="G1069" s="35">
        <v>0</v>
      </c>
      <c r="H1069" s="35">
        <v>0</v>
      </c>
      <c r="I1069" s="35">
        <f>Tabla1[[#This Row],[P.U. M.N.]]*Tabla1[[#This Row],[CANTIDADES DE REFERENCIA]]</f>
        <v>0</v>
      </c>
      <c r="J1069" s="35">
        <f>Tabla1[[#This Row],[P.U. USD]]*Tabla1[[#This Row],[CANTIDADES DE REFERENCIA]]</f>
        <v>0</v>
      </c>
      <c r="K1069" s="36"/>
      <c r="L1069" s="36"/>
      <c r="M1069" s="36"/>
      <c r="N1069" s="37" t="s">
        <v>89</v>
      </c>
      <c r="O1069" s="37" t="s">
        <v>90</v>
      </c>
      <c r="P1069" s="38"/>
      <c r="Q1069" s="37" t="s">
        <v>2311</v>
      </c>
      <c r="R1069" s="37"/>
      <c r="S1069" s="37" t="s">
        <v>2142</v>
      </c>
      <c r="T1069" s="31"/>
    </row>
    <row r="1070" spans="1:20">
      <c r="A1070" s="31" t="s">
        <v>39</v>
      </c>
      <c r="B1070" s="32" t="s">
        <v>2312</v>
      </c>
      <c r="C1070" s="33" t="str">
        <f>Tabla1[[#This Row],[PARTIDA]] &amp; "."</f>
        <v>5C-11.</v>
      </c>
      <c r="D1070" s="32" t="s">
        <v>2313</v>
      </c>
      <c r="E1070" s="33" t="s">
        <v>367</v>
      </c>
      <c r="F1070" s="34">
        <v>1</v>
      </c>
      <c r="G1070" s="35">
        <v>16193.34</v>
      </c>
      <c r="H1070" s="35">
        <v>0</v>
      </c>
      <c r="I1070" s="35">
        <f>Tabla1[[#This Row],[P.U. M.N.]]*Tabla1[[#This Row],[CANTIDADES DE REFERENCIA]]</f>
        <v>16193.34</v>
      </c>
      <c r="J1070" s="35">
        <f>Tabla1[[#This Row],[P.U. USD]]*Tabla1[[#This Row],[CANTIDADES DE REFERENCIA]]</f>
        <v>0</v>
      </c>
      <c r="K1070" s="36"/>
      <c r="L1070" s="36"/>
      <c r="M1070" s="36"/>
      <c r="N1070" s="37" t="s">
        <v>2214</v>
      </c>
      <c r="O1070" s="37" t="s">
        <v>2215</v>
      </c>
      <c r="P1070" s="38">
        <v>45814</v>
      </c>
      <c r="Q1070" s="37" t="s">
        <v>2314</v>
      </c>
      <c r="R1070" s="37"/>
      <c r="S1070" s="37" t="s">
        <v>2217</v>
      </c>
      <c r="T1070" s="31"/>
    </row>
    <row r="1071" spans="1:20">
      <c r="A1071" s="31"/>
      <c r="B1071" s="32"/>
      <c r="C1071" s="33"/>
      <c r="D1071" s="32" t="s">
        <v>2315</v>
      </c>
      <c r="E1071" s="33" t="s">
        <v>116</v>
      </c>
      <c r="F1071" s="34">
        <v>1</v>
      </c>
      <c r="G1071" s="35">
        <v>0</v>
      </c>
      <c r="H1071" s="35">
        <v>0</v>
      </c>
      <c r="I1071" s="35">
        <f>Tabla1[[#This Row],[P.U. M.N.]]*Tabla1[[#This Row],[CANTIDADES DE REFERENCIA]]</f>
        <v>0</v>
      </c>
      <c r="J1071" s="35">
        <f>Tabla1[[#This Row],[P.U. USD]]*Tabla1[[#This Row],[CANTIDADES DE REFERENCIA]]</f>
        <v>0</v>
      </c>
      <c r="K1071" s="36"/>
      <c r="L1071" s="36"/>
      <c r="M1071" s="36"/>
      <c r="N1071" s="37" t="s">
        <v>89</v>
      </c>
      <c r="O1071" s="37" t="s">
        <v>90</v>
      </c>
      <c r="P1071" s="38"/>
      <c r="Q1071" s="37" t="s">
        <v>2316</v>
      </c>
      <c r="R1071" s="37"/>
      <c r="S1071" s="37" t="s">
        <v>2142</v>
      </c>
      <c r="T1071" s="31"/>
    </row>
    <row r="1072" spans="1:20">
      <c r="A1072" s="31"/>
      <c r="B1072" s="32"/>
      <c r="C1072" s="33"/>
      <c r="D1072" s="32" t="s">
        <v>2317</v>
      </c>
      <c r="E1072" s="33" t="s">
        <v>116</v>
      </c>
      <c r="F1072" s="34">
        <v>1</v>
      </c>
      <c r="G1072" s="35">
        <v>0</v>
      </c>
      <c r="H1072" s="35">
        <v>0</v>
      </c>
      <c r="I1072" s="35">
        <f>Tabla1[[#This Row],[P.U. M.N.]]*Tabla1[[#This Row],[CANTIDADES DE REFERENCIA]]</f>
        <v>0</v>
      </c>
      <c r="J1072" s="35">
        <f>Tabla1[[#This Row],[P.U. USD]]*Tabla1[[#This Row],[CANTIDADES DE REFERENCIA]]</f>
        <v>0</v>
      </c>
      <c r="K1072" s="36"/>
      <c r="L1072" s="36"/>
      <c r="M1072" s="36"/>
      <c r="N1072" s="37" t="s">
        <v>89</v>
      </c>
      <c r="O1072" s="37" t="s">
        <v>90</v>
      </c>
      <c r="P1072" s="38"/>
      <c r="Q1072" s="37" t="s">
        <v>2318</v>
      </c>
      <c r="R1072" s="37"/>
      <c r="S1072" s="37" t="s">
        <v>2142</v>
      </c>
      <c r="T1072" s="31"/>
    </row>
    <row r="1073" spans="1:20">
      <c r="A1073" s="31"/>
      <c r="B1073" s="32"/>
      <c r="C1073" s="33"/>
      <c r="D1073" s="32" t="s">
        <v>2319</v>
      </c>
      <c r="E1073" s="33" t="s">
        <v>116</v>
      </c>
      <c r="F1073" s="34">
        <v>1</v>
      </c>
      <c r="G1073" s="35">
        <v>0</v>
      </c>
      <c r="H1073" s="35">
        <v>0</v>
      </c>
      <c r="I1073" s="35">
        <f>Tabla1[[#This Row],[P.U. M.N.]]*Tabla1[[#This Row],[CANTIDADES DE REFERENCIA]]</f>
        <v>0</v>
      </c>
      <c r="J1073" s="35">
        <f>Tabla1[[#This Row],[P.U. USD]]*Tabla1[[#This Row],[CANTIDADES DE REFERENCIA]]</f>
        <v>0</v>
      </c>
      <c r="K1073" s="36"/>
      <c r="L1073" s="36"/>
      <c r="M1073" s="36"/>
      <c r="N1073" s="37" t="s">
        <v>89</v>
      </c>
      <c r="O1073" s="37" t="s">
        <v>90</v>
      </c>
      <c r="P1073" s="38"/>
      <c r="Q1073" s="37" t="s">
        <v>2320</v>
      </c>
      <c r="R1073" s="37"/>
      <c r="S1073" s="37" t="s">
        <v>2142</v>
      </c>
      <c r="T1073" s="31"/>
    </row>
    <row r="1074" spans="1:20">
      <c r="A1074" s="31"/>
      <c r="B1074" s="32"/>
      <c r="C1074" s="33"/>
      <c r="D1074" s="32" t="s">
        <v>2321</v>
      </c>
      <c r="E1074" s="33" t="s">
        <v>116</v>
      </c>
      <c r="F1074" s="34">
        <v>1</v>
      </c>
      <c r="G1074" s="35">
        <v>0</v>
      </c>
      <c r="H1074" s="35">
        <v>0</v>
      </c>
      <c r="I1074" s="35">
        <f>Tabla1[[#This Row],[P.U. M.N.]]*Tabla1[[#This Row],[CANTIDADES DE REFERENCIA]]</f>
        <v>0</v>
      </c>
      <c r="J1074" s="35">
        <f>Tabla1[[#This Row],[P.U. USD]]*Tabla1[[#This Row],[CANTIDADES DE REFERENCIA]]</f>
        <v>0</v>
      </c>
      <c r="K1074" s="36"/>
      <c r="L1074" s="36"/>
      <c r="M1074" s="36"/>
      <c r="N1074" s="37" t="s">
        <v>89</v>
      </c>
      <c r="O1074" s="37" t="s">
        <v>90</v>
      </c>
      <c r="P1074" s="38"/>
      <c r="Q1074" s="37" t="s">
        <v>2322</v>
      </c>
      <c r="R1074" s="37"/>
      <c r="S1074" s="37" t="s">
        <v>2142</v>
      </c>
      <c r="T1074" s="31"/>
    </row>
    <row r="1075" spans="1:20">
      <c r="A1075" s="31"/>
      <c r="B1075" s="32"/>
      <c r="C1075" s="33"/>
      <c r="D1075" s="32" t="s">
        <v>2323</v>
      </c>
      <c r="E1075" s="33" t="s">
        <v>116</v>
      </c>
      <c r="F1075" s="34">
        <v>1</v>
      </c>
      <c r="G1075" s="35">
        <v>0</v>
      </c>
      <c r="H1075" s="35">
        <v>0</v>
      </c>
      <c r="I1075" s="35">
        <f>Tabla1[[#This Row],[P.U. M.N.]]*Tabla1[[#This Row],[CANTIDADES DE REFERENCIA]]</f>
        <v>0</v>
      </c>
      <c r="J1075" s="35">
        <f>Tabla1[[#This Row],[P.U. USD]]*Tabla1[[#This Row],[CANTIDADES DE REFERENCIA]]</f>
        <v>0</v>
      </c>
      <c r="K1075" s="36"/>
      <c r="L1075" s="36"/>
      <c r="M1075" s="36"/>
      <c r="N1075" s="37" t="s">
        <v>89</v>
      </c>
      <c r="O1075" s="37" t="s">
        <v>90</v>
      </c>
      <c r="P1075" s="38"/>
      <c r="Q1075" s="37" t="s">
        <v>2324</v>
      </c>
      <c r="R1075" s="37"/>
      <c r="S1075" s="37" t="s">
        <v>2142</v>
      </c>
      <c r="T1075" s="31"/>
    </row>
    <row r="1076" spans="1:20">
      <c r="A1076" s="31"/>
      <c r="B1076" s="32"/>
      <c r="C1076" s="33"/>
      <c r="D1076" s="32" t="s">
        <v>2325</v>
      </c>
      <c r="E1076" s="33" t="s">
        <v>116</v>
      </c>
      <c r="F1076" s="34">
        <v>1</v>
      </c>
      <c r="G1076" s="35">
        <v>0</v>
      </c>
      <c r="H1076" s="35">
        <v>0</v>
      </c>
      <c r="I1076" s="35">
        <f>Tabla1[[#This Row],[P.U. M.N.]]*Tabla1[[#This Row],[CANTIDADES DE REFERENCIA]]</f>
        <v>0</v>
      </c>
      <c r="J1076" s="35">
        <f>Tabla1[[#This Row],[P.U. USD]]*Tabla1[[#This Row],[CANTIDADES DE REFERENCIA]]</f>
        <v>0</v>
      </c>
      <c r="K1076" s="36"/>
      <c r="L1076" s="36"/>
      <c r="M1076" s="36"/>
      <c r="N1076" s="37" t="s">
        <v>89</v>
      </c>
      <c r="O1076" s="37" t="s">
        <v>90</v>
      </c>
      <c r="P1076" s="38"/>
      <c r="Q1076" s="37" t="s">
        <v>2326</v>
      </c>
      <c r="R1076" s="37"/>
      <c r="S1076" s="37" t="s">
        <v>2142</v>
      </c>
      <c r="T1076" s="31"/>
    </row>
    <row r="1077" spans="1:20">
      <c r="A1077" s="31"/>
      <c r="B1077" s="32"/>
      <c r="C1077" s="33"/>
      <c r="D1077" s="32" t="s">
        <v>2327</v>
      </c>
      <c r="E1077" s="33" t="s">
        <v>135</v>
      </c>
      <c r="F1077" s="34">
        <v>1</v>
      </c>
      <c r="G1077" s="35">
        <v>0</v>
      </c>
      <c r="H1077" s="35">
        <v>0</v>
      </c>
      <c r="I1077" s="35">
        <f>Tabla1[[#This Row],[P.U. M.N.]]*Tabla1[[#This Row],[CANTIDADES DE REFERENCIA]]</f>
        <v>0</v>
      </c>
      <c r="J1077" s="35">
        <f>Tabla1[[#This Row],[P.U. USD]]*Tabla1[[#This Row],[CANTIDADES DE REFERENCIA]]</f>
        <v>0</v>
      </c>
      <c r="K1077" s="36"/>
      <c r="L1077" s="36"/>
      <c r="M1077" s="36"/>
      <c r="N1077" s="37" t="s">
        <v>89</v>
      </c>
      <c r="O1077" s="37" t="s">
        <v>90</v>
      </c>
      <c r="P1077" s="38"/>
      <c r="Q1077" s="37" t="s">
        <v>2328</v>
      </c>
      <c r="R1077" s="37"/>
      <c r="S1077" s="37" t="s">
        <v>2142</v>
      </c>
      <c r="T1077" s="31"/>
    </row>
    <row r="1078" spans="1:20">
      <c r="A1078" s="31"/>
      <c r="B1078" s="32"/>
      <c r="C1078" s="33"/>
      <c r="D1078" s="32" t="s">
        <v>2329</v>
      </c>
      <c r="E1078" s="33" t="s">
        <v>135</v>
      </c>
      <c r="F1078" s="34">
        <v>1</v>
      </c>
      <c r="G1078" s="35">
        <v>0</v>
      </c>
      <c r="H1078" s="35">
        <v>0</v>
      </c>
      <c r="I1078" s="35">
        <f>Tabla1[[#This Row],[P.U. M.N.]]*Tabla1[[#This Row],[CANTIDADES DE REFERENCIA]]</f>
        <v>0</v>
      </c>
      <c r="J1078" s="35">
        <f>Tabla1[[#This Row],[P.U. USD]]*Tabla1[[#This Row],[CANTIDADES DE REFERENCIA]]</f>
        <v>0</v>
      </c>
      <c r="K1078" s="36"/>
      <c r="L1078" s="36"/>
      <c r="M1078" s="36"/>
      <c r="N1078" s="37" t="s">
        <v>89</v>
      </c>
      <c r="O1078" s="37" t="s">
        <v>90</v>
      </c>
      <c r="P1078" s="38"/>
      <c r="Q1078" s="37" t="s">
        <v>2330</v>
      </c>
      <c r="R1078" s="37"/>
      <c r="S1078" s="37" t="s">
        <v>2142</v>
      </c>
      <c r="T1078" s="31"/>
    </row>
    <row r="1079" spans="1:20">
      <c r="A1079" s="31"/>
      <c r="B1079" s="32"/>
      <c r="C1079" s="33"/>
      <c r="D1079" s="32" t="s">
        <v>2331</v>
      </c>
      <c r="E1079" s="33" t="s">
        <v>135</v>
      </c>
      <c r="F1079" s="34">
        <v>1</v>
      </c>
      <c r="G1079" s="35">
        <v>0</v>
      </c>
      <c r="H1079" s="35">
        <v>0</v>
      </c>
      <c r="I1079" s="35">
        <f>Tabla1[[#This Row],[P.U. M.N.]]*Tabla1[[#This Row],[CANTIDADES DE REFERENCIA]]</f>
        <v>0</v>
      </c>
      <c r="J1079" s="35">
        <f>Tabla1[[#This Row],[P.U. USD]]*Tabla1[[#This Row],[CANTIDADES DE REFERENCIA]]</f>
        <v>0</v>
      </c>
      <c r="K1079" s="36"/>
      <c r="L1079" s="36"/>
      <c r="M1079" s="36"/>
      <c r="N1079" s="37" t="s">
        <v>89</v>
      </c>
      <c r="O1079" s="37" t="s">
        <v>90</v>
      </c>
      <c r="P1079" s="38"/>
      <c r="Q1079" s="37" t="s">
        <v>2332</v>
      </c>
      <c r="R1079" s="37"/>
      <c r="S1079" s="37" t="s">
        <v>2142</v>
      </c>
      <c r="T1079" s="31"/>
    </row>
    <row r="1080" spans="1:20">
      <c r="A1080" s="31"/>
      <c r="B1080" s="32"/>
      <c r="C1080" s="33"/>
      <c r="D1080" s="32" t="s">
        <v>2333</v>
      </c>
      <c r="E1080" s="33" t="s">
        <v>135</v>
      </c>
      <c r="F1080" s="34">
        <v>1</v>
      </c>
      <c r="G1080" s="35">
        <v>0</v>
      </c>
      <c r="H1080" s="35">
        <v>0</v>
      </c>
      <c r="I1080" s="35">
        <f>Tabla1[[#This Row],[P.U. M.N.]]*Tabla1[[#This Row],[CANTIDADES DE REFERENCIA]]</f>
        <v>0</v>
      </c>
      <c r="J1080" s="35">
        <f>Tabla1[[#This Row],[P.U. USD]]*Tabla1[[#This Row],[CANTIDADES DE REFERENCIA]]</f>
        <v>0</v>
      </c>
      <c r="K1080" s="36"/>
      <c r="L1080" s="36"/>
      <c r="M1080" s="36"/>
      <c r="N1080" s="37" t="s">
        <v>89</v>
      </c>
      <c r="O1080" s="37" t="s">
        <v>90</v>
      </c>
      <c r="P1080" s="38"/>
      <c r="Q1080" s="37" t="s">
        <v>2334</v>
      </c>
      <c r="R1080" s="37"/>
      <c r="S1080" s="37" t="s">
        <v>2142</v>
      </c>
      <c r="T1080" s="31"/>
    </row>
    <row r="1081" spans="1:20">
      <c r="A1081" s="31"/>
      <c r="B1081" s="32"/>
      <c r="C1081" s="33"/>
      <c r="D1081" s="32" t="s">
        <v>2335</v>
      </c>
      <c r="E1081" s="33" t="s">
        <v>116</v>
      </c>
      <c r="F1081" s="34">
        <v>1</v>
      </c>
      <c r="G1081" s="35">
        <v>0</v>
      </c>
      <c r="H1081" s="35">
        <v>0</v>
      </c>
      <c r="I1081" s="35">
        <f>Tabla1[[#This Row],[P.U. M.N.]]*Tabla1[[#This Row],[CANTIDADES DE REFERENCIA]]</f>
        <v>0</v>
      </c>
      <c r="J1081" s="35">
        <f>Tabla1[[#This Row],[P.U. USD]]*Tabla1[[#This Row],[CANTIDADES DE REFERENCIA]]</f>
        <v>0</v>
      </c>
      <c r="K1081" s="36"/>
      <c r="L1081" s="36"/>
      <c r="M1081" s="36"/>
      <c r="N1081" s="37" t="s">
        <v>89</v>
      </c>
      <c r="O1081" s="37" t="s">
        <v>90</v>
      </c>
      <c r="P1081" s="38"/>
      <c r="Q1081" s="37" t="s">
        <v>2336</v>
      </c>
      <c r="R1081" s="37"/>
      <c r="S1081" s="37" t="s">
        <v>2142</v>
      </c>
      <c r="T1081" s="31"/>
    </row>
    <row r="1082" spans="1:20">
      <c r="A1082" s="31"/>
      <c r="B1082" s="32"/>
      <c r="C1082" s="33"/>
      <c r="D1082" s="32" t="s">
        <v>2337</v>
      </c>
      <c r="E1082" s="33" t="s">
        <v>116</v>
      </c>
      <c r="F1082" s="34">
        <v>1</v>
      </c>
      <c r="G1082" s="35">
        <v>0</v>
      </c>
      <c r="H1082" s="35">
        <v>0</v>
      </c>
      <c r="I1082" s="35">
        <f>Tabla1[[#This Row],[P.U. M.N.]]*Tabla1[[#This Row],[CANTIDADES DE REFERENCIA]]</f>
        <v>0</v>
      </c>
      <c r="J1082" s="35">
        <f>Tabla1[[#This Row],[P.U. USD]]*Tabla1[[#This Row],[CANTIDADES DE REFERENCIA]]</f>
        <v>0</v>
      </c>
      <c r="K1082" s="36"/>
      <c r="L1082" s="36"/>
      <c r="M1082" s="36"/>
      <c r="N1082" s="37" t="s">
        <v>89</v>
      </c>
      <c r="O1082" s="37" t="s">
        <v>90</v>
      </c>
      <c r="P1082" s="38"/>
      <c r="Q1082" s="37" t="s">
        <v>2338</v>
      </c>
      <c r="R1082" s="37"/>
      <c r="S1082" s="37" t="s">
        <v>2142</v>
      </c>
      <c r="T1082" s="31"/>
    </row>
    <row r="1083" spans="1:20">
      <c r="A1083" s="31"/>
      <c r="B1083" s="32"/>
      <c r="C1083" s="33"/>
      <c r="D1083" s="32" t="s">
        <v>2339</v>
      </c>
      <c r="E1083" s="33" t="s">
        <v>116</v>
      </c>
      <c r="F1083" s="34">
        <v>1</v>
      </c>
      <c r="G1083" s="35">
        <v>0</v>
      </c>
      <c r="H1083" s="35">
        <v>0</v>
      </c>
      <c r="I1083" s="35">
        <f>Tabla1[[#This Row],[P.U. M.N.]]*Tabla1[[#This Row],[CANTIDADES DE REFERENCIA]]</f>
        <v>0</v>
      </c>
      <c r="J1083" s="35">
        <f>Tabla1[[#This Row],[P.U. USD]]*Tabla1[[#This Row],[CANTIDADES DE REFERENCIA]]</f>
        <v>0</v>
      </c>
      <c r="K1083" s="36"/>
      <c r="L1083" s="36"/>
      <c r="M1083" s="36"/>
      <c r="N1083" s="37" t="s">
        <v>89</v>
      </c>
      <c r="O1083" s="37" t="s">
        <v>90</v>
      </c>
      <c r="P1083" s="38"/>
      <c r="Q1083" s="37" t="s">
        <v>2340</v>
      </c>
      <c r="R1083" s="37"/>
      <c r="S1083" s="37" t="s">
        <v>2142</v>
      </c>
      <c r="T1083" s="31"/>
    </row>
    <row r="1084" spans="1:20">
      <c r="A1084" s="31"/>
      <c r="B1084" s="32"/>
      <c r="C1084" s="33"/>
      <c r="D1084" s="32" t="s">
        <v>2341</v>
      </c>
      <c r="E1084" s="33" t="s">
        <v>116</v>
      </c>
      <c r="F1084" s="34">
        <v>1</v>
      </c>
      <c r="G1084" s="35">
        <v>0</v>
      </c>
      <c r="H1084" s="35">
        <v>0</v>
      </c>
      <c r="I1084" s="35">
        <f>Tabla1[[#This Row],[P.U. M.N.]]*Tabla1[[#This Row],[CANTIDADES DE REFERENCIA]]</f>
        <v>0</v>
      </c>
      <c r="J1084" s="35">
        <f>Tabla1[[#This Row],[P.U. USD]]*Tabla1[[#This Row],[CANTIDADES DE REFERENCIA]]</f>
        <v>0</v>
      </c>
      <c r="K1084" s="36"/>
      <c r="L1084" s="36"/>
      <c r="M1084" s="36"/>
      <c r="N1084" s="37" t="s">
        <v>89</v>
      </c>
      <c r="O1084" s="37" t="s">
        <v>90</v>
      </c>
      <c r="P1084" s="38"/>
      <c r="Q1084" s="37" t="s">
        <v>2342</v>
      </c>
      <c r="R1084" s="37"/>
      <c r="S1084" s="37" t="s">
        <v>2142</v>
      </c>
      <c r="T1084" s="31"/>
    </row>
    <row r="1085" spans="1:20">
      <c r="A1085" s="31" t="s">
        <v>39</v>
      </c>
      <c r="B1085" s="32" t="s">
        <v>2343</v>
      </c>
      <c r="C1085" s="33" t="str">
        <f>Tabla1[[#This Row],[PARTIDA]] &amp; "."</f>
        <v>6C-11.</v>
      </c>
      <c r="D1085" s="32" t="s">
        <v>2344</v>
      </c>
      <c r="E1085" s="33" t="s">
        <v>42</v>
      </c>
      <c r="F1085" s="34">
        <v>1</v>
      </c>
      <c r="G1085" s="35">
        <v>1301348.94</v>
      </c>
      <c r="H1085" s="35">
        <v>0</v>
      </c>
      <c r="I1085" s="35">
        <f>Tabla1[[#This Row],[P.U. M.N.]]*Tabla1[[#This Row],[CANTIDADES DE REFERENCIA]]</f>
        <v>1301348.94</v>
      </c>
      <c r="J1085" s="35">
        <f>Tabla1[[#This Row],[P.U. USD]]*Tabla1[[#This Row],[CANTIDADES DE REFERENCIA]]</f>
        <v>0</v>
      </c>
      <c r="K1085" s="36"/>
      <c r="L1085" s="36"/>
      <c r="M1085" s="36"/>
      <c r="N1085" s="37" t="s">
        <v>599</v>
      </c>
      <c r="O1085" s="37" t="s">
        <v>600</v>
      </c>
      <c r="P1085" s="38">
        <v>45814</v>
      </c>
      <c r="Q1085" s="37" t="s">
        <v>2345</v>
      </c>
      <c r="R1085" s="37"/>
      <c r="S1085" s="37" t="s">
        <v>602</v>
      </c>
      <c r="T1085" s="31"/>
    </row>
    <row r="1086" spans="1:20">
      <c r="A1086" s="31"/>
      <c r="B1086" s="32"/>
      <c r="C1086" s="33"/>
      <c r="D1086" s="32" t="s">
        <v>2346</v>
      </c>
      <c r="E1086" s="33" t="s">
        <v>116</v>
      </c>
      <c r="F1086" s="34">
        <v>1</v>
      </c>
      <c r="G1086" s="35">
        <v>0</v>
      </c>
      <c r="H1086" s="35">
        <v>0</v>
      </c>
      <c r="I1086" s="35">
        <f>Tabla1[[#This Row],[P.U. M.N.]]*Tabla1[[#This Row],[CANTIDADES DE REFERENCIA]]</f>
        <v>0</v>
      </c>
      <c r="J1086" s="35">
        <f>Tabla1[[#This Row],[P.U. USD]]*Tabla1[[#This Row],[CANTIDADES DE REFERENCIA]]</f>
        <v>0</v>
      </c>
      <c r="K1086" s="36"/>
      <c r="L1086" s="36"/>
      <c r="M1086" s="36"/>
      <c r="N1086" s="37" t="s">
        <v>89</v>
      </c>
      <c r="O1086" s="37" t="s">
        <v>90</v>
      </c>
      <c r="P1086" s="38"/>
      <c r="Q1086" s="37" t="s">
        <v>2347</v>
      </c>
      <c r="R1086" s="37"/>
      <c r="S1086" s="37" t="s">
        <v>2142</v>
      </c>
      <c r="T1086" s="31"/>
    </row>
    <row r="1087" spans="1:20">
      <c r="A1087" s="31"/>
      <c r="B1087" s="32"/>
      <c r="C1087" s="33"/>
      <c r="D1087" s="32" t="s">
        <v>2348</v>
      </c>
      <c r="E1087" s="33" t="s">
        <v>116</v>
      </c>
      <c r="F1087" s="34">
        <v>1</v>
      </c>
      <c r="G1087" s="35">
        <v>0</v>
      </c>
      <c r="H1087" s="35">
        <v>0</v>
      </c>
      <c r="I1087" s="35">
        <f>Tabla1[[#This Row],[P.U. M.N.]]*Tabla1[[#This Row],[CANTIDADES DE REFERENCIA]]</f>
        <v>0</v>
      </c>
      <c r="J1087" s="35">
        <f>Tabla1[[#This Row],[P.U. USD]]*Tabla1[[#This Row],[CANTIDADES DE REFERENCIA]]</f>
        <v>0</v>
      </c>
      <c r="K1087" s="36"/>
      <c r="L1087" s="36"/>
      <c r="M1087" s="36"/>
      <c r="N1087" s="37" t="s">
        <v>89</v>
      </c>
      <c r="O1087" s="37" t="s">
        <v>90</v>
      </c>
      <c r="P1087" s="38"/>
      <c r="Q1087" s="37" t="s">
        <v>2349</v>
      </c>
      <c r="R1087" s="37"/>
      <c r="S1087" s="37" t="s">
        <v>2142</v>
      </c>
      <c r="T1087" s="31"/>
    </row>
    <row r="1088" spans="1:20">
      <c r="A1088" s="31"/>
      <c r="B1088" s="32"/>
      <c r="C1088" s="33"/>
      <c r="D1088" s="32" t="s">
        <v>2350</v>
      </c>
      <c r="E1088" s="33" t="s">
        <v>116</v>
      </c>
      <c r="F1088" s="34">
        <v>1</v>
      </c>
      <c r="G1088" s="35">
        <v>0</v>
      </c>
      <c r="H1088" s="35">
        <v>0</v>
      </c>
      <c r="I1088" s="35">
        <f>Tabla1[[#This Row],[P.U. M.N.]]*Tabla1[[#This Row],[CANTIDADES DE REFERENCIA]]</f>
        <v>0</v>
      </c>
      <c r="J1088" s="35">
        <f>Tabla1[[#This Row],[P.U. USD]]*Tabla1[[#This Row],[CANTIDADES DE REFERENCIA]]</f>
        <v>0</v>
      </c>
      <c r="K1088" s="36"/>
      <c r="L1088" s="36"/>
      <c r="M1088" s="36"/>
      <c r="N1088" s="37" t="s">
        <v>89</v>
      </c>
      <c r="O1088" s="37" t="s">
        <v>90</v>
      </c>
      <c r="P1088" s="38"/>
      <c r="Q1088" s="37" t="s">
        <v>2351</v>
      </c>
      <c r="R1088" s="37"/>
      <c r="S1088" s="37" t="s">
        <v>2142</v>
      </c>
      <c r="T1088" s="31"/>
    </row>
    <row r="1089" spans="1:20">
      <c r="A1089" s="31"/>
      <c r="B1089" s="32"/>
      <c r="C1089" s="33"/>
      <c r="D1089" s="32" t="s">
        <v>2352</v>
      </c>
      <c r="E1089" s="33" t="s">
        <v>116</v>
      </c>
      <c r="F1089" s="34">
        <v>1</v>
      </c>
      <c r="G1089" s="35">
        <v>0</v>
      </c>
      <c r="H1089" s="35">
        <v>0</v>
      </c>
      <c r="I1089" s="35">
        <f>Tabla1[[#This Row],[P.U. M.N.]]*Tabla1[[#This Row],[CANTIDADES DE REFERENCIA]]</f>
        <v>0</v>
      </c>
      <c r="J1089" s="35">
        <f>Tabla1[[#This Row],[P.U. USD]]*Tabla1[[#This Row],[CANTIDADES DE REFERENCIA]]</f>
        <v>0</v>
      </c>
      <c r="K1089" s="36"/>
      <c r="L1089" s="36"/>
      <c r="M1089" s="36"/>
      <c r="N1089" s="37"/>
      <c r="O1089" s="37"/>
      <c r="P1089" s="38"/>
      <c r="Q1089" s="37" t="s">
        <v>2353</v>
      </c>
      <c r="R1089" s="37"/>
      <c r="S1089" s="37" t="s">
        <v>2354</v>
      </c>
      <c r="T1089" s="31"/>
    </row>
    <row r="1090" spans="1:20">
      <c r="A1090" s="31"/>
      <c r="B1090" s="32"/>
      <c r="C1090" s="33"/>
      <c r="D1090" s="32" t="s">
        <v>2355</v>
      </c>
      <c r="E1090" s="33" t="s">
        <v>116</v>
      </c>
      <c r="F1090" s="34">
        <v>1</v>
      </c>
      <c r="G1090" s="35">
        <v>0</v>
      </c>
      <c r="H1090" s="35">
        <v>0</v>
      </c>
      <c r="I1090" s="35">
        <f>Tabla1[[#This Row],[P.U. M.N.]]*Tabla1[[#This Row],[CANTIDADES DE REFERENCIA]]</f>
        <v>0</v>
      </c>
      <c r="J1090" s="35">
        <f>Tabla1[[#This Row],[P.U. USD]]*Tabla1[[#This Row],[CANTIDADES DE REFERENCIA]]</f>
        <v>0</v>
      </c>
      <c r="K1090" s="36"/>
      <c r="L1090" s="36"/>
      <c r="M1090" s="36"/>
      <c r="N1090" s="37"/>
      <c r="O1090" s="37"/>
      <c r="P1090" s="38"/>
      <c r="Q1090" s="37" t="s">
        <v>2356</v>
      </c>
      <c r="R1090" s="37"/>
      <c r="S1090" s="37" t="s">
        <v>2354</v>
      </c>
      <c r="T1090" s="31"/>
    </row>
    <row r="1091" spans="1:20">
      <c r="A1091" s="31"/>
      <c r="B1091" s="32"/>
      <c r="C1091" s="33"/>
      <c r="D1091" s="32" t="s">
        <v>2357</v>
      </c>
      <c r="E1091" s="33" t="s">
        <v>116</v>
      </c>
      <c r="F1091" s="34">
        <v>1</v>
      </c>
      <c r="G1091" s="35">
        <v>0</v>
      </c>
      <c r="H1091" s="35">
        <v>0</v>
      </c>
      <c r="I1091" s="35">
        <f>Tabla1[[#This Row],[P.U. M.N.]]*Tabla1[[#This Row],[CANTIDADES DE REFERENCIA]]</f>
        <v>0</v>
      </c>
      <c r="J1091" s="35">
        <f>Tabla1[[#This Row],[P.U. USD]]*Tabla1[[#This Row],[CANTIDADES DE REFERENCIA]]</f>
        <v>0</v>
      </c>
      <c r="K1091" s="36"/>
      <c r="L1091" s="36"/>
      <c r="M1091" s="36"/>
      <c r="N1091" s="37"/>
      <c r="O1091" s="37"/>
      <c r="P1091" s="38"/>
      <c r="Q1091" s="37" t="s">
        <v>2358</v>
      </c>
      <c r="R1091" s="37"/>
      <c r="S1091" s="37" t="s">
        <v>2354</v>
      </c>
      <c r="T1091" s="31"/>
    </row>
    <row r="1092" spans="1:20">
      <c r="A1092" s="31"/>
      <c r="B1092" s="32"/>
      <c r="C1092" s="33"/>
      <c r="D1092" s="32" t="s">
        <v>2359</v>
      </c>
      <c r="E1092" s="33" t="s">
        <v>116</v>
      </c>
      <c r="F1092" s="34">
        <v>1</v>
      </c>
      <c r="G1092" s="35">
        <v>0</v>
      </c>
      <c r="H1092" s="35">
        <v>0</v>
      </c>
      <c r="I1092" s="35">
        <f>Tabla1[[#This Row],[P.U. M.N.]]*Tabla1[[#This Row],[CANTIDADES DE REFERENCIA]]</f>
        <v>0</v>
      </c>
      <c r="J1092" s="35">
        <f>Tabla1[[#This Row],[P.U. USD]]*Tabla1[[#This Row],[CANTIDADES DE REFERENCIA]]</f>
        <v>0</v>
      </c>
      <c r="K1092" s="36"/>
      <c r="L1092" s="36"/>
      <c r="M1092" s="36"/>
      <c r="N1092" s="37"/>
      <c r="O1092" s="37"/>
      <c r="P1092" s="38"/>
      <c r="Q1092" s="37" t="s">
        <v>2360</v>
      </c>
      <c r="R1092" s="37"/>
      <c r="S1092" s="37" t="s">
        <v>2354</v>
      </c>
      <c r="T1092" s="31"/>
    </row>
    <row r="1093" spans="1:20">
      <c r="A1093" s="31"/>
      <c r="B1093" s="32"/>
      <c r="C1093" s="33"/>
      <c r="D1093" s="32" t="s">
        <v>2361</v>
      </c>
      <c r="E1093" s="33" t="s">
        <v>116</v>
      </c>
      <c r="F1093" s="34">
        <v>1</v>
      </c>
      <c r="G1093" s="35">
        <v>0</v>
      </c>
      <c r="H1093" s="35">
        <v>0</v>
      </c>
      <c r="I1093" s="35">
        <f>Tabla1[[#This Row],[P.U. M.N.]]*Tabla1[[#This Row],[CANTIDADES DE REFERENCIA]]</f>
        <v>0</v>
      </c>
      <c r="J1093" s="35">
        <f>Tabla1[[#This Row],[P.U. USD]]*Tabla1[[#This Row],[CANTIDADES DE REFERENCIA]]</f>
        <v>0</v>
      </c>
      <c r="K1093" s="36"/>
      <c r="L1093" s="36"/>
      <c r="M1093" s="36"/>
      <c r="N1093" s="37"/>
      <c r="O1093" s="37"/>
      <c r="P1093" s="38"/>
      <c r="Q1093" s="37" t="s">
        <v>2362</v>
      </c>
      <c r="R1093" s="37"/>
      <c r="S1093" s="37" t="s">
        <v>2354</v>
      </c>
      <c r="T1093" s="31"/>
    </row>
    <row r="1094" spans="1:20">
      <c r="A1094" s="31"/>
      <c r="B1094" s="32"/>
      <c r="C1094" s="33"/>
      <c r="D1094" s="32" t="s">
        <v>2363</v>
      </c>
      <c r="E1094" s="33" t="s">
        <v>116</v>
      </c>
      <c r="F1094" s="34">
        <v>1</v>
      </c>
      <c r="G1094" s="35">
        <v>0</v>
      </c>
      <c r="H1094" s="35">
        <v>0</v>
      </c>
      <c r="I1094" s="35">
        <f>Tabla1[[#This Row],[P.U. M.N.]]*Tabla1[[#This Row],[CANTIDADES DE REFERENCIA]]</f>
        <v>0</v>
      </c>
      <c r="J1094" s="35">
        <f>Tabla1[[#This Row],[P.U. USD]]*Tabla1[[#This Row],[CANTIDADES DE REFERENCIA]]</f>
        <v>0</v>
      </c>
      <c r="K1094" s="36"/>
      <c r="L1094" s="36"/>
      <c r="M1094" s="36"/>
      <c r="N1094" s="37"/>
      <c r="O1094" s="37"/>
      <c r="P1094" s="38"/>
      <c r="Q1094" s="37" t="s">
        <v>2364</v>
      </c>
      <c r="R1094" s="37"/>
      <c r="S1094" s="37" t="s">
        <v>2354</v>
      </c>
      <c r="T1094" s="31"/>
    </row>
    <row r="1095" spans="1:20">
      <c r="A1095" s="31"/>
      <c r="B1095" s="32"/>
      <c r="C1095" s="33"/>
      <c r="D1095" s="32" t="s">
        <v>2365</v>
      </c>
      <c r="E1095" s="33" t="s">
        <v>116</v>
      </c>
      <c r="F1095" s="34">
        <v>1</v>
      </c>
      <c r="G1095" s="35">
        <v>0</v>
      </c>
      <c r="H1095" s="35">
        <v>0</v>
      </c>
      <c r="I1095" s="35">
        <f>Tabla1[[#This Row],[P.U. M.N.]]*Tabla1[[#This Row],[CANTIDADES DE REFERENCIA]]</f>
        <v>0</v>
      </c>
      <c r="J1095" s="35">
        <f>Tabla1[[#This Row],[P.U. USD]]*Tabla1[[#This Row],[CANTIDADES DE REFERENCIA]]</f>
        <v>0</v>
      </c>
      <c r="K1095" s="36"/>
      <c r="L1095" s="36"/>
      <c r="M1095" s="36"/>
      <c r="N1095" s="37"/>
      <c r="O1095" s="37"/>
      <c r="P1095" s="38"/>
      <c r="Q1095" s="37" t="s">
        <v>2366</v>
      </c>
      <c r="R1095" s="37"/>
      <c r="S1095" s="37" t="s">
        <v>2354</v>
      </c>
      <c r="T1095" s="31"/>
    </row>
    <row r="1096" spans="1:20">
      <c r="A1096" s="31"/>
      <c r="B1096" s="32"/>
      <c r="C1096" s="33"/>
      <c r="D1096" s="32" t="s">
        <v>2367</v>
      </c>
      <c r="E1096" s="33" t="s">
        <v>116</v>
      </c>
      <c r="F1096" s="34">
        <v>1</v>
      </c>
      <c r="G1096" s="35">
        <v>0</v>
      </c>
      <c r="H1096" s="35">
        <v>0</v>
      </c>
      <c r="I1096" s="35">
        <f>Tabla1[[#This Row],[P.U. M.N.]]*Tabla1[[#This Row],[CANTIDADES DE REFERENCIA]]</f>
        <v>0</v>
      </c>
      <c r="J1096" s="35">
        <f>Tabla1[[#This Row],[P.U. USD]]*Tabla1[[#This Row],[CANTIDADES DE REFERENCIA]]</f>
        <v>0</v>
      </c>
      <c r="K1096" s="36"/>
      <c r="L1096" s="36"/>
      <c r="M1096" s="36"/>
      <c r="N1096" s="37"/>
      <c r="O1096" s="37"/>
      <c r="P1096" s="38"/>
      <c r="Q1096" s="37" t="s">
        <v>2368</v>
      </c>
      <c r="R1096" s="37"/>
      <c r="S1096" s="37" t="s">
        <v>2354</v>
      </c>
      <c r="T1096" s="31"/>
    </row>
    <row r="1097" spans="1:20">
      <c r="A1097" s="31"/>
      <c r="B1097" s="32"/>
      <c r="C1097" s="33"/>
      <c r="D1097" s="32" t="s">
        <v>2369</v>
      </c>
      <c r="E1097" s="33" t="s">
        <v>116</v>
      </c>
      <c r="F1097" s="34">
        <v>1</v>
      </c>
      <c r="G1097" s="35">
        <v>0</v>
      </c>
      <c r="H1097" s="35">
        <v>0</v>
      </c>
      <c r="I1097" s="35">
        <f>Tabla1[[#This Row],[P.U. M.N.]]*Tabla1[[#This Row],[CANTIDADES DE REFERENCIA]]</f>
        <v>0</v>
      </c>
      <c r="J1097" s="35">
        <f>Tabla1[[#This Row],[P.U. USD]]*Tabla1[[#This Row],[CANTIDADES DE REFERENCIA]]</f>
        <v>0</v>
      </c>
      <c r="K1097" s="36"/>
      <c r="L1097" s="36"/>
      <c r="M1097" s="36"/>
      <c r="N1097" s="37"/>
      <c r="O1097" s="37"/>
      <c r="P1097" s="38"/>
      <c r="Q1097" s="37" t="s">
        <v>2370</v>
      </c>
      <c r="R1097" s="37"/>
      <c r="S1097" s="37" t="s">
        <v>2354</v>
      </c>
      <c r="T1097" s="31"/>
    </row>
    <row r="1098" spans="1:20">
      <c r="A1098" s="31"/>
      <c r="B1098" s="32"/>
      <c r="C1098" s="33"/>
      <c r="D1098" s="32" t="s">
        <v>2371</v>
      </c>
      <c r="E1098" s="33" t="s">
        <v>116</v>
      </c>
      <c r="F1098" s="34">
        <v>1</v>
      </c>
      <c r="G1098" s="35">
        <v>0</v>
      </c>
      <c r="H1098" s="35">
        <v>0</v>
      </c>
      <c r="I1098" s="35">
        <f>Tabla1[[#This Row],[P.U. M.N.]]*Tabla1[[#This Row],[CANTIDADES DE REFERENCIA]]</f>
        <v>0</v>
      </c>
      <c r="J1098" s="35">
        <f>Tabla1[[#This Row],[P.U. USD]]*Tabla1[[#This Row],[CANTIDADES DE REFERENCIA]]</f>
        <v>0</v>
      </c>
      <c r="K1098" s="36"/>
      <c r="L1098" s="36"/>
      <c r="M1098" s="36"/>
      <c r="N1098" s="37"/>
      <c r="O1098" s="37"/>
      <c r="P1098" s="38"/>
      <c r="Q1098" s="37" t="s">
        <v>2372</v>
      </c>
      <c r="R1098" s="37"/>
      <c r="S1098" s="37" t="s">
        <v>2354</v>
      </c>
      <c r="T1098" s="31"/>
    </row>
    <row r="1099" spans="1:20">
      <c r="A1099" s="31"/>
      <c r="B1099" s="32"/>
      <c r="C1099" s="33"/>
      <c r="D1099" s="32" t="s">
        <v>2373</v>
      </c>
      <c r="E1099" s="33" t="s">
        <v>116</v>
      </c>
      <c r="F1099" s="34">
        <v>1</v>
      </c>
      <c r="G1099" s="35">
        <v>0</v>
      </c>
      <c r="H1099" s="35">
        <v>0</v>
      </c>
      <c r="I1099" s="35">
        <f>Tabla1[[#This Row],[P.U. M.N.]]*Tabla1[[#This Row],[CANTIDADES DE REFERENCIA]]</f>
        <v>0</v>
      </c>
      <c r="J1099" s="35">
        <f>Tabla1[[#This Row],[P.U. USD]]*Tabla1[[#This Row],[CANTIDADES DE REFERENCIA]]</f>
        <v>0</v>
      </c>
      <c r="K1099" s="36"/>
      <c r="L1099" s="36"/>
      <c r="M1099" s="36"/>
      <c r="N1099" s="37"/>
      <c r="O1099" s="37"/>
      <c r="P1099" s="38"/>
      <c r="Q1099" s="37" t="s">
        <v>2374</v>
      </c>
      <c r="R1099" s="37"/>
      <c r="S1099" s="37" t="s">
        <v>2354</v>
      </c>
      <c r="T1099" s="31"/>
    </row>
    <row r="1100" spans="1:20">
      <c r="A1100" s="31"/>
      <c r="B1100" s="32"/>
      <c r="C1100" s="33"/>
      <c r="D1100" s="32" t="s">
        <v>2375</v>
      </c>
      <c r="E1100" s="33" t="s">
        <v>116</v>
      </c>
      <c r="F1100" s="34">
        <v>1</v>
      </c>
      <c r="G1100" s="35">
        <v>0</v>
      </c>
      <c r="H1100" s="35">
        <v>0</v>
      </c>
      <c r="I1100" s="35">
        <f>Tabla1[[#This Row],[P.U. M.N.]]*Tabla1[[#This Row],[CANTIDADES DE REFERENCIA]]</f>
        <v>0</v>
      </c>
      <c r="J1100" s="35">
        <f>Tabla1[[#This Row],[P.U. USD]]*Tabla1[[#This Row],[CANTIDADES DE REFERENCIA]]</f>
        <v>0</v>
      </c>
      <c r="K1100" s="36"/>
      <c r="L1100" s="36"/>
      <c r="M1100" s="36"/>
      <c r="N1100" s="37"/>
      <c r="O1100" s="37"/>
      <c r="P1100" s="38"/>
      <c r="Q1100" s="37" t="s">
        <v>2376</v>
      </c>
      <c r="R1100" s="37"/>
      <c r="S1100" s="37" t="s">
        <v>2354</v>
      </c>
      <c r="T1100" s="31"/>
    </row>
    <row r="1101" spans="1:20">
      <c r="A1101" s="31"/>
      <c r="B1101" s="32"/>
      <c r="C1101" s="33"/>
      <c r="D1101" s="32" t="s">
        <v>2377</v>
      </c>
      <c r="E1101" s="33" t="s">
        <v>116</v>
      </c>
      <c r="F1101" s="34">
        <v>1</v>
      </c>
      <c r="G1101" s="35">
        <v>0</v>
      </c>
      <c r="H1101" s="35">
        <v>0</v>
      </c>
      <c r="I1101" s="35">
        <f>Tabla1[[#This Row],[P.U. M.N.]]*Tabla1[[#This Row],[CANTIDADES DE REFERENCIA]]</f>
        <v>0</v>
      </c>
      <c r="J1101" s="35">
        <f>Tabla1[[#This Row],[P.U. USD]]*Tabla1[[#This Row],[CANTIDADES DE REFERENCIA]]</f>
        <v>0</v>
      </c>
      <c r="K1101" s="36"/>
      <c r="L1101" s="36"/>
      <c r="M1101" s="36"/>
      <c r="N1101" s="37"/>
      <c r="O1101" s="37"/>
      <c r="P1101" s="38"/>
      <c r="Q1101" s="37" t="s">
        <v>2378</v>
      </c>
      <c r="R1101" s="37"/>
      <c r="S1101" s="37" t="s">
        <v>2354</v>
      </c>
      <c r="T1101" s="31"/>
    </row>
    <row r="1102" spans="1:20">
      <c r="A1102" s="31"/>
      <c r="B1102" s="32"/>
      <c r="C1102" s="33"/>
      <c r="D1102" s="32" t="s">
        <v>2379</v>
      </c>
      <c r="E1102" s="33" t="s">
        <v>135</v>
      </c>
      <c r="F1102" s="34">
        <v>1</v>
      </c>
      <c r="G1102" s="35">
        <v>0</v>
      </c>
      <c r="H1102" s="35">
        <v>0</v>
      </c>
      <c r="I1102" s="35">
        <f>Tabla1[[#This Row],[P.U. M.N.]]*Tabla1[[#This Row],[CANTIDADES DE REFERENCIA]]</f>
        <v>0</v>
      </c>
      <c r="J1102" s="35">
        <f>Tabla1[[#This Row],[P.U. USD]]*Tabla1[[#This Row],[CANTIDADES DE REFERENCIA]]</f>
        <v>0</v>
      </c>
      <c r="K1102" s="36"/>
      <c r="L1102" s="36"/>
      <c r="M1102" s="36"/>
      <c r="N1102" s="37"/>
      <c r="O1102" s="37"/>
      <c r="P1102" s="38"/>
      <c r="Q1102" s="37" t="s">
        <v>2380</v>
      </c>
      <c r="R1102" s="37"/>
      <c r="S1102" s="37" t="s">
        <v>2354</v>
      </c>
      <c r="T1102" s="31"/>
    </row>
    <row r="1103" spans="1:20">
      <c r="A1103" s="31"/>
      <c r="B1103" s="32"/>
      <c r="C1103" s="33"/>
      <c r="D1103" s="32" t="s">
        <v>2381</v>
      </c>
      <c r="E1103" s="33" t="s">
        <v>135</v>
      </c>
      <c r="F1103" s="34">
        <v>1</v>
      </c>
      <c r="G1103" s="35">
        <v>0</v>
      </c>
      <c r="H1103" s="35">
        <v>0</v>
      </c>
      <c r="I1103" s="35">
        <f>Tabla1[[#This Row],[P.U. M.N.]]*Tabla1[[#This Row],[CANTIDADES DE REFERENCIA]]</f>
        <v>0</v>
      </c>
      <c r="J1103" s="35">
        <f>Tabla1[[#This Row],[P.U. USD]]*Tabla1[[#This Row],[CANTIDADES DE REFERENCIA]]</f>
        <v>0</v>
      </c>
      <c r="K1103" s="36"/>
      <c r="L1103" s="36"/>
      <c r="M1103" s="36"/>
      <c r="N1103" s="37"/>
      <c r="O1103" s="37"/>
      <c r="P1103" s="38"/>
      <c r="Q1103" s="37" t="s">
        <v>2382</v>
      </c>
      <c r="R1103" s="37"/>
      <c r="S1103" s="37" t="s">
        <v>2354</v>
      </c>
      <c r="T1103" s="31"/>
    </row>
    <row r="1104" spans="1:20">
      <c r="A1104" s="31"/>
      <c r="B1104" s="32"/>
      <c r="C1104" s="33"/>
      <c r="D1104" s="32" t="s">
        <v>2383</v>
      </c>
      <c r="E1104" s="33" t="s">
        <v>135</v>
      </c>
      <c r="F1104" s="34">
        <v>1</v>
      </c>
      <c r="G1104" s="35">
        <v>0</v>
      </c>
      <c r="H1104" s="35">
        <v>0</v>
      </c>
      <c r="I1104" s="35">
        <f>Tabla1[[#This Row],[P.U. M.N.]]*Tabla1[[#This Row],[CANTIDADES DE REFERENCIA]]</f>
        <v>0</v>
      </c>
      <c r="J1104" s="35">
        <f>Tabla1[[#This Row],[P.U. USD]]*Tabla1[[#This Row],[CANTIDADES DE REFERENCIA]]</f>
        <v>0</v>
      </c>
      <c r="K1104" s="36"/>
      <c r="L1104" s="36"/>
      <c r="M1104" s="36"/>
      <c r="N1104" s="37"/>
      <c r="O1104" s="37"/>
      <c r="P1104" s="38"/>
      <c r="Q1104" s="37" t="s">
        <v>2384</v>
      </c>
      <c r="R1104" s="37"/>
      <c r="S1104" s="37" t="s">
        <v>2354</v>
      </c>
      <c r="T1104" s="31"/>
    </row>
    <row r="1105" spans="1:20">
      <c r="A1105" s="31"/>
      <c r="B1105" s="32"/>
      <c r="C1105" s="33"/>
      <c r="D1105" s="32" t="s">
        <v>2385</v>
      </c>
      <c r="E1105" s="33" t="s">
        <v>135</v>
      </c>
      <c r="F1105" s="34">
        <v>1</v>
      </c>
      <c r="G1105" s="35">
        <v>0</v>
      </c>
      <c r="H1105" s="35">
        <v>0</v>
      </c>
      <c r="I1105" s="35">
        <f>Tabla1[[#This Row],[P.U. M.N.]]*Tabla1[[#This Row],[CANTIDADES DE REFERENCIA]]</f>
        <v>0</v>
      </c>
      <c r="J1105" s="35">
        <f>Tabla1[[#This Row],[P.U. USD]]*Tabla1[[#This Row],[CANTIDADES DE REFERENCIA]]</f>
        <v>0</v>
      </c>
      <c r="K1105" s="36"/>
      <c r="L1105" s="36"/>
      <c r="M1105" s="36"/>
      <c r="N1105" s="37"/>
      <c r="O1105" s="37"/>
      <c r="P1105" s="38"/>
      <c r="Q1105" s="37" t="s">
        <v>2386</v>
      </c>
      <c r="R1105" s="37"/>
      <c r="S1105" s="37" t="s">
        <v>2354</v>
      </c>
      <c r="T1105" s="31"/>
    </row>
    <row r="1106" spans="1:20">
      <c r="A1106" s="31"/>
      <c r="B1106" s="32"/>
      <c r="C1106" s="33"/>
      <c r="D1106" s="32" t="s">
        <v>2387</v>
      </c>
      <c r="E1106" s="33" t="s">
        <v>135</v>
      </c>
      <c r="F1106" s="34">
        <v>1</v>
      </c>
      <c r="G1106" s="35">
        <v>0</v>
      </c>
      <c r="H1106" s="35">
        <v>0</v>
      </c>
      <c r="I1106" s="35">
        <f>Tabla1[[#This Row],[P.U. M.N.]]*Tabla1[[#This Row],[CANTIDADES DE REFERENCIA]]</f>
        <v>0</v>
      </c>
      <c r="J1106" s="35">
        <f>Tabla1[[#This Row],[P.U. USD]]*Tabla1[[#This Row],[CANTIDADES DE REFERENCIA]]</f>
        <v>0</v>
      </c>
      <c r="K1106" s="36"/>
      <c r="L1106" s="36"/>
      <c r="M1106" s="36"/>
      <c r="N1106" s="37"/>
      <c r="O1106" s="37"/>
      <c r="P1106" s="38"/>
      <c r="Q1106" s="37" t="s">
        <v>2388</v>
      </c>
      <c r="R1106" s="37"/>
      <c r="S1106" s="37" t="s">
        <v>2354</v>
      </c>
      <c r="T1106" s="31"/>
    </row>
    <row r="1107" spans="1:20">
      <c r="A1107" s="31"/>
      <c r="B1107" s="32"/>
      <c r="C1107" s="33"/>
      <c r="D1107" s="32" t="s">
        <v>2389</v>
      </c>
      <c r="E1107" s="33" t="s">
        <v>135</v>
      </c>
      <c r="F1107" s="34">
        <v>1</v>
      </c>
      <c r="G1107" s="35">
        <v>0</v>
      </c>
      <c r="H1107" s="35">
        <v>0</v>
      </c>
      <c r="I1107" s="35">
        <f>Tabla1[[#This Row],[P.U. M.N.]]*Tabla1[[#This Row],[CANTIDADES DE REFERENCIA]]</f>
        <v>0</v>
      </c>
      <c r="J1107" s="35">
        <f>Tabla1[[#This Row],[P.U. USD]]*Tabla1[[#This Row],[CANTIDADES DE REFERENCIA]]</f>
        <v>0</v>
      </c>
      <c r="K1107" s="36"/>
      <c r="L1107" s="36"/>
      <c r="M1107" s="36"/>
      <c r="N1107" s="37"/>
      <c r="O1107" s="37"/>
      <c r="P1107" s="38"/>
      <c r="Q1107" s="37" t="s">
        <v>2390</v>
      </c>
      <c r="R1107" s="37"/>
      <c r="S1107" s="37" t="s">
        <v>2354</v>
      </c>
      <c r="T1107" s="31"/>
    </row>
    <row r="1108" spans="1:20">
      <c r="A1108" s="31"/>
      <c r="B1108" s="32"/>
      <c r="C1108" s="33"/>
      <c r="D1108" s="32" t="s">
        <v>2391</v>
      </c>
      <c r="E1108" s="33" t="s">
        <v>116</v>
      </c>
      <c r="F1108" s="34">
        <v>1</v>
      </c>
      <c r="G1108" s="35">
        <v>0</v>
      </c>
      <c r="H1108" s="35">
        <v>0</v>
      </c>
      <c r="I1108" s="35">
        <f>Tabla1[[#This Row],[P.U. M.N.]]*Tabla1[[#This Row],[CANTIDADES DE REFERENCIA]]</f>
        <v>0</v>
      </c>
      <c r="J1108" s="35">
        <f>Tabla1[[#This Row],[P.U. USD]]*Tabla1[[#This Row],[CANTIDADES DE REFERENCIA]]</f>
        <v>0</v>
      </c>
      <c r="K1108" s="36"/>
      <c r="L1108" s="36"/>
      <c r="M1108" s="36"/>
      <c r="N1108" s="37"/>
      <c r="O1108" s="37"/>
      <c r="P1108" s="38"/>
      <c r="Q1108" s="37" t="s">
        <v>2392</v>
      </c>
      <c r="R1108" s="37"/>
      <c r="S1108" s="37" t="s">
        <v>2354</v>
      </c>
      <c r="T1108" s="31"/>
    </row>
    <row r="1109" spans="1:20">
      <c r="A1109" s="31"/>
      <c r="B1109" s="32"/>
      <c r="C1109" s="33"/>
      <c r="D1109" s="32" t="s">
        <v>2393</v>
      </c>
      <c r="E1109" s="33" t="s">
        <v>116</v>
      </c>
      <c r="F1109" s="34">
        <v>1</v>
      </c>
      <c r="G1109" s="35">
        <v>0</v>
      </c>
      <c r="H1109" s="35">
        <v>0</v>
      </c>
      <c r="I1109" s="35">
        <f>Tabla1[[#This Row],[P.U. M.N.]]*Tabla1[[#This Row],[CANTIDADES DE REFERENCIA]]</f>
        <v>0</v>
      </c>
      <c r="J1109" s="35">
        <f>Tabla1[[#This Row],[P.U. USD]]*Tabla1[[#This Row],[CANTIDADES DE REFERENCIA]]</f>
        <v>0</v>
      </c>
      <c r="K1109" s="36"/>
      <c r="L1109" s="36"/>
      <c r="M1109" s="36"/>
      <c r="N1109" s="37"/>
      <c r="O1109" s="37"/>
      <c r="P1109" s="38"/>
      <c r="Q1109" s="37" t="s">
        <v>2394</v>
      </c>
      <c r="R1109" s="37"/>
      <c r="S1109" s="37" t="s">
        <v>2354</v>
      </c>
      <c r="T1109" s="31"/>
    </row>
    <row r="1110" spans="1:20">
      <c r="A1110" s="31"/>
      <c r="B1110" s="32"/>
      <c r="C1110" s="33"/>
      <c r="D1110" s="32" t="s">
        <v>2395</v>
      </c>
      <c r="E1110" s="33" t="s">
        <v>116</v>
      </c>
      <c r="F1110" s="34">
        <v>1</v>
      </c>
      <c r="G1110" s="35">
        <v>0</v>
      </c>
      <c r="H1110" s="35">
        <v>0</v>
      </c>
      <c r="I1110" s="35">
        <f>Tabla1[[#This Row],[P.U. M.N.]]*Tabla1[[#This Row],[CANTIDADES DE REFERENCIA]]</f>
        <v>0</v>
      </c>
      <c r="J1110" s="35">
        <f>Tabla1[[#This Row],[P.U. USD]]*Tabla1[[#This Row],[CANTIDADES DE REFERENCIA]]</f>
        <v>0</v>
      </c>
      <c r="K1110" s="36"/>
      <c r="L1110" s="36"/>
      <c r="M1110" s="36"/>
      <c r="N1110" s="37"/>
      <c r="O1110" s="37"/>
      <c r="P1110" s="38"/>
      <c r="Q1110" s="37" t="s">
        <v>2396</v>
      </c>
      <c r="R1110" s="37"/>
      <c r="S1110" s="37" t="s">
        <v>2354</v>
      </c>
      <c r="T1110" s="31"/>
    </row>
    <row r="1111" spans="1:20">
      <c r="A1111" s="31"/>
      <c r="B1111" s="32"/>
      <c r="C1111" s="33"/>
      <c r="D1111" s="32" t="s">
        <v>2397</v>
      </c>
      <c r="E1111" s="33" t="s">
        <v>116</v>
      </c>
      <c r="F1111" s="34">
        <v>1</v>
      </c>
      <c r="G1111" s="35">
        <v>0</v>
      </c>
      <c r="H1111" s="35">
        <v>0</v>
      </c>
      <c r="I1111" s="35">
        <f>Tabla1[[#This Row],[P.U. M.N.]]*Tabla1[[#This Row],[CANTIDADES DE REFERENCIA]]</f>
        <v>0</v>
      </c>
      <c r="J1111" s="35">
        <f>Tabla1[[#This Row],[P.U. USD]]*Tabla1[[#This Row],[CANTIDADES DE REFERENCIA]]</f>
        <v>0</v>
      </c>
      <c r="K1111" s="36"/>
      <c r="L1111" s="36"/>
      <c r="M1111" s="36"/>
      <c r="N1111" s="37"/>
      <c r="O1111" s="37"/>
      <c r="P1111" s="38"/>
      <c r="Q1111" s="37" t="s">
        <v>2398</v>
      </c>
      <c r="R1111" s="37"/>
      <c r="S1111" s="37" t="s">
        <v>2354</v>
      </c>
      <c r="T1111" s="31"/>
    </row>
    <row r="1112" spans="1:20">
      <c r="A1112" s="31"/>
      <c r="B1112" s="32"/>
      <c r="C1112" s="33"/>
      <c r="D1112" s="32" t="s">
        <v>2399</v>
      </c>
      <c r="E1112" s="33" t="s">
        <v>116</v>
      </c>
      <c r="F1112" s="34">
        <v>1</v>
      </c>
      <c r="G1112" s="35">
        <v>0</v>
      </c>
      <c r="H1112" s="35">
        <v>0</v>
      </c>
      <c r="I1112" s="35">
        <f>Tabla1[[#This Row],[P.U. M.N.]]*Tabla1[[#This Row],[CANTIDADES DE REFERENCIA]]</f>
        <v>0</v>
      </c>
      <c r="J1112" s="35">
        <f>Tabla1[[#This Row],[P.U. USD]]*Tabla1[[#This Row],[CANTIDADES DE REFERENCIA]]</f>
        <v>0</v>
      </c>
      <c r="K1112" s="36"/>
      <c r="L1112" s="36"/>
      <c r="M1112" s="36"/>
      <c r="N1112" s="37"/>
      <c r="O1112" s="37"/>
      <c r="P1112" s="38"/>
      <c r="Q1112" s="37" t="s">
        <v>2400</v>
      </c>
      <c r="R1112" s="37"/>
      <c r="S1112" s="37" t="s">
        <v>2354</v>
      </c>
      <c r="T1112" s="31"/>
    </row>
    <row r="1113" spans="1:20">
      <c r="A1113" s="31"/>
      <c r="B1113" s="32"/>
      <c r="C1113" s="33"/>
      <c r="D1113" s="32" t="s">
        <v>2401</v>
      </c>
      <c r="E1113" s="33" t="s">
        <v>116</v>
      </c>
      <c r="F1113" s="34">
        <v>1</v>
      </c>
      <c r="G1113" s="35">
        <v>0</v>
      </c>
      <c r="H1113" s="35">
        <v>0</v>
      </c>
      <c r="I1113" s="35">
        <f>Tabla1[[#This Row],[P.U. M.N.]]*Tabla1[[#This Row],[CANTIDADES DE REFERENCIA]]</f>
        <v>0</v>
      </c>
      <c r="J1113" s="35">
        <f>Tabla1[[#This Row],[P.U. USD]]*Tabla1[[#This Row],[CANTIDADES DE REFERENCIA]]</f>
        <v>0</v>
      </c>
      <c r="K1113" s="36"/>
      <c r="L1113" s="36"/>
      <c r="M1113" s="36"/>
      <c r="N1113" s="37"/>
      <c r="O1113" s="37"/>
      <c r="P1113" s="38"/>
      <c r="Q1113" s="37" t="s">
        <v>2402</v>
      </c>
      <c r="R1113" s="37"/>
      <c r="S1113" s="37" t="s">
        <v>2354</v>
      </c>
      <c r="T1113" s="31"/>
    </row>
    <row r="1114" spans="1:20">
      <c r="A1114" s="31"/>
      <c r="B1114" s="32"/>
      <c r="C1114" s="33"/>
      <c r="D1114" s="32" t="s">
        <v>2403</v>
      </c>
      <c r="E1114" s="33" t="s">
        <v>116</v>
      </c>
      <c r="F1114" s="34">
        <v>1</v>
      </c>
      <c r="G1114" s="35">
        <v>0</v>
      </c>
      <c r="H1114" s="35">
        <v>0</v>
      </c>
      <c r="I1114" s="35">
        <f>Tabla1[[#This Row],[P.U. M.N.]]*Tabla1[[#This Row],[CANTIDADES DE REFERENCIA]]</f>
        <v>0</v>
      </c>
      <c r="J1114" s="35">
        <f>Tabla1[[#This Row],[P.U. USD]]*Tabla1[[#This Row],[CANTIDADES DE REFERENCIA]]</f>
        <v>0</v>
      </c>
      <c r="K1114" s="36"/>
      <c r="L1114" s="36"/>
      <c r="M1114" s="36"/>
      <c r="N1114" s="37"/>
      <c r="O1114" s="37"/>
      <c r="P1114" s="38"/>
      <c r="Q1114" s="37" t="s">
        <v>2404</v>
      </c>
      <c r="R1114" s="37"/>
      <c r="S1114" s="37" t="s">
        <v>2354</v>
      </c>
      <c r="T1114" s="31"/>
    </row>
    <row r="1115" spans="1:20">
      <c r="A1115" s="31"/>
      <c r="B1115" s="32"/>
      <c r="C1115" s="33"/>
      <c r="D1115" s="32" t="s">
        <v>2405</v>
      </c>
      <c r="E1115" s="33" t="s">
        <v>116</v>
      </c>
      <c r="F1115" s="34">
        <v>1</v>
      </c>
      <c r="G1115" s="35">
        <v>0</v>
      </c>
      <c r="H1115" s="35">
        <v>0</v>
      </c>
      <c r="I1115" s="35">
        <f>Tabla1[[#This Row],[P.U. M.N.]]*Tabla1[[#This Row],[CANTIDADES DE REFERENCIA]]</f>
        <v>0</v>
      </c>
      <c r="J1115" s="35">
        <f>Tabla1[[#This Row],[P.U. USD]]*Tabla1[[#This Row],[CANTIDADES DE REFERENCIA]]</f>
        <v>0</v>
      </c>
      <c r="K1115" s="36"/>
      <c r="L1115" s="36"/>
      <c r="M1115" s="36"/>
      <c r="N1115" s="37"/>
      <c r="O1115" s="37"/>
      <c r="P1115" s="38"/>
      <c r="Q1115" s="37" t="s">
        <v>2406</v>
      </c>
      <c r="R1115" s="37"/>
      <c r="S1115" s="37" t="s">
        <v>2354</v>
      </c>
      <c r="T1115" s="31"/>
    </row>
    <row r="1116" spans="1:20">
      <c r="A1116" s="31"/>
      <c r="B1116" s="32"/>
      <c r="C1116" s="33"/>
      <c r="D1116" s="32" t="s">
        <v>2407</v>
      </c>
      <c r="E1116" s="33" t="s">
        <v>116</v>
      </c>
      <c r="F1116" s="34">
        <v>1</v>
      </c>
      <c r="G1116" s="35">
        <v>0</v>
      </c>
      <c r="H1116" s="35">
        <v>0</v>
      </c>
      <c r="I1116" s="35">
        <f>Tabla1[[#This Row],[P.U. M.N.]]*Tabla1[[#This Row],[CANTIDADES DE REFERENCIA]]</f>
        <v>0</v>
      </c>
      <c r="J1116" s="35">
        <f>Tabla1[[#This Row],[P.U. USD]]*Tabla1[[#This Row],[CANTIDADES DE REFERENCIA]]</f>
        <v>0</v>
      </c>
      <c r="K1116" s="36"/>
      <c r="L1116" s="36"/>
      <c r="M1116" s="36"/>
      <c r="N1116" s="37"/>
      <c r="O1116" s="37"/>
      <c r="P1116" s="38"/>
      <c r="Q1116" s="37" t="s">
        <v>2408</v>
      </c>
      <c r="R1116" s="37"/>
      <c r="S1116" s="37" t="s">
        <v>2354</v>
      </c>
      <c r="T1116" s="31"/>
    </row>
    <row r="1117" spans="1:20">
      <c r="A1117" s="31"/>
      <c r="B1117" s="32"/>
      <c r="C1117" s="33"/>
      <c r="D1117" s="32" t="s">
        <v>2409</v>
      </c>
      <c r="E1117" s="33" t="s">
        <v>116</v>
      </c>
      <c r="F1117" s="34">
        <v>1</v>
      </c>
      <c r="G1117" s="35">
        <v>0</v>
      </c>
      <c r="H1117" s="35">
        <v>0</v>
      </c>
      <c r="I1117" s="35">
        <f>Tabla1[[#This Row],[P.U. M.N.]]*Tabla1[[#This Row],[CANTIDADES DE REFERENCIA]]</f>
        <v>0</v>
      </c>
      <c r="J1117" s="35">
        <f>Tabla1[[#This Row],[P.U. USD]]*Tabla1[[#This Row],[CANTIDADES DE REFERENCIA]]</f>
        <v>0</v>
      </c>
      <c r="K1117" s="36"/>
      <c r="L1117" s="36"/>
      <c r="M1117" s="36"/>
      <c r="N1117" s="37" t="s">
        <v>117</v>
      </c>
      <c r="O1117" s="37" t="s">
        <v>118</v>
      </c>
      <c r="P1117" s="38"/>
      <c r="Q1117" s="37" t="s">
        <v>2410</v>
      </c>
      <c r="R1117" s="37"/>
      <c r="S1117" s="37" t="s">
        <v>120</v>
      </c>
      <c r="T1117" s="31"/>
    </row>
    <row r="1118" spans="1:20">
      <c r="A1118" s="31"/>
      <c r="B1118" s="32"/>
      <c r="C1118" s="33"/>
      <c r="D1118" s="32" t="s">
        <v>2411</v>
      </c>
      <c r="E1118" s="33" t="s">
        <v>116</v>
      </c>
      <c r="F1118" s="34">
        <v>1</v>
      </c>
      <c r="G1118" s="35">
        <v>0</v>
      </c>
      <c r="H1118" s="35">
        <v>0</v>
      </c>
      <c r="I1118" s="35">
        <f>Tabla1[[#This Row],[P.U. M.N.]]*Tabla1[[#This Row],[CANTIDADES DE REFERENCIA]]</f>
        <v>0</v>
      </c>
      <c r="J1118" s="35">
        <f>Tabla1[[#This Row],[P.U. USD]]*Tabla1[[#This Row],[CANTIDADES DE REFERENCIA]]</f>
        <v>0</v>
      </c>
      <c r="K1118" s="36"/>
      <c r="L1118" s="36"/>
      <c r="M1118" s="36"/>
      <c r="N1118" s="37"/>
      <c r="O1118" s="37"/>
      <c r="P1118" s="38"/>
      <c r="Q1118" s="37" t="s">
        <v>2412</v>
      </c>
      <c r="R1118" s="37"/>
      <c r="S1118" s="37" t="s">
        <v>2354</v>
      </c>
      <c r="T1118" s="31"/>
    </row>
    <row r="1119" spans="1:20">
      <c r="A1119" s="31"/>
      <c r="B1119" s="32"/>
      <c r="C1119" s="33"/>
      <c r="D1119" s="32" t="s">
        <v>2413</v>
      </c>
      <c r="E1119" s="33" t="s">
        <v>116</v>
      </c>
      <c r="F1119" s="34">
        <v>1</v>
      </c>
      <c r="G1119" s="35">
        <v>0</v>
      </c>
      <c r="H1119" s="35">
        <v>0</v>
      </c>
      <c r="I1119" s="35">
        <f>Tabla1[[#This Row],[P.U. M.N.]]*Tabla1[[#This Row],[CANTIDADES DE REFERENCIA]]</f>
        <v>0</v>
      </c>
      <c r="J1119" s="35">
        <f>Tabla1[[#This Row],[P.U. USD]]*Tabla1[[#This Row],[CANTIDADES DE REFERENCIA]]</f>
        <v>0</v>
      </c>
      <c r="K1119" s="36"/>
      <c r="L1119" s="36"/>
      <c r="M1119" s="36"/>
      <c r="N1119" s="37"/>
      <c r="O1119" s="37"/>
      <c r="P1119" s="38"/>
      <c r="Q1119" s="37" t="s">
        <v>2414</v>
      </c>
      <c r="R1119" s="37"/>
      <c r="S1119" s="37" t="s">
        <v>2354</v>
      </c>
      <c r="T1119" s="31"/>
    </row>
    <row r="1120" spans="1:20">
      <c r="A1120" s="31"/>
      <c r="B1120" s="32"/>
      <c r="C1120" s="33"/>
      <c r="D1120" s="32" t="s">
        <v>2415</v>
      </c>
      <c r="E1120" s="33" t="s">
        <v>116</v>
      </c>
      <c r="F1120" s="34">
        <v>1</v>
      </c>
      <c r="G1120" s="35">
        <v>0</v>
      </c>
      <c r="H1120" s="35">
        <v>0</v>
      </c>
      <c r="I1120" s="35">
        <f>Tabla1[[#This Row],[P.U. M.N.]]*Tabla1[[#This Row],[CANTIDADES DE REFERENCIA]]</f>
        <v>0</v>
      </c>
      <c r="J1120" s="35">
        <f>Tabla1[[#This Row],[P.U. USD]]*Tabla1[[#This Row],[CANTIDADES DE REFERENCIA]]</f>
        <v>0</v>
      </c>
      <c r="K1120" s="36"/>
      <c r="L1120" s="36"/>
      <c r="M1120" s="36"/>
      <c r="N1120" s="37"/>
      <c r="O1120" s="37"/>
      <c r="P1120" s="38"/>
      <c r="Q1120" s="37" t="s">
        <v>2416</v>
      </c>
      <c r="R1120" s="37"/>
      <c r="S1120" s="37" t="s">
        <v>2354</v>
      </c>
      <c r="T1120" s="31"/>
    </row>
    <row r="1121" spans="1:20">
      <c r="A1121" s="31"/>
      <c r="B1121" s="32"/>
      <c r="C1121" s="33"/>
      <c r="D1121" s="32" t="s">
        <v>2417</v>
      </c>
      <c r="E1121" s="33" t="s">
        <v>116</v>
      </c>
      <c r="F1121" s="34">
        <v>1</v>
      </c>
      <c r="G1121" s="35">
        <v>0</v>
      </c>
      <c r="H1121" s="35">
        <v>0</v>
      </c>
      <c r="I1121" s="35">
        <f>Tabla1[[#This Row],[P.U. M.N.]]*Tabla1[[#This Row],[CANTIDADES DE REFERENCIA]]</f>
        <v>0</v>
      </c>
      <c r="J1121" s="35">
        <f>Tabla1[[#This Row],[P.U. USD]]*Tabla1[[#This Row],[CANTIDADES DE REFERENCIA]]</f>
        <v>0</v>
      </c>
      <c r="K1121" s="36"/>
      <c r="L1121" s="36"/>
      <c r="M1121" s="36"/>
      <c r="N1121" s="37"/>
      <c r="O1121" s="37"/>
      <c r="P1121" s="38"/>
      <c r="Q1121" s="37" t="s">
        <v>2418</v>
      </c>
      <c r="R1121" s="37"/>
      <c r="S1121" s="37" t="s">
        <v>2354</v>
      </c>
      <c r="T1121" s="31"/>
    </row>
    <row r="1122" spans="1:20">
      <c r="A1122" s="31"/>
      <c r="B1122" s="32"/>
      <c r="C1122" s="33"/>
      <c r="D1122" s="32" t="s">
        <v>2419</v>
      </c>
      <c r="E1122" s="33" t="s">
        <v>116</v>
      </c>
      <c r="F1122" s="34">
        <v>1</v>
      </c>
      <c r="G1122" s="35">
        <v>0</v>
      </c>
      <c r="H1122" s="35">
        <v>0</v>
      </c>
      <c r="I1122" s="35">
        <f>Tabla1[[#This Row],[P.U. M.N.]]*Tabla1[[#This Row],[CANTIDADES DE REFERENCIA]]</f>
        <v>0</v>
      </c>
      <c r="J1122" s="35">
        <f>Tabla1[[#This Row],[P.U. USD]]*Tabla1[[#This Row],[CANTIDADES DE REFERENCIA]]</f>
        <v>0</v>
      </c>
      <c r="K1122" s="36"/>
      <c r="L1122" s="36"/>
      <c r="M1122" s="36"/>
      <c r="N1122" s="37"/>
      <c r="O1122" s="37"/>
      <c r="P1122" s="38"/>
      <c r="Q1122" s="37" t="s">
        <v>2420</v>
      </c>
      <c r="R1122" s="37"/>
      <c r="S1122" s="37" t="s">
        <v>2354</v>
      </c>
      <c r="T1122" s="31"/>
    </row>
    <row r="1123" spans="1:20">
      <c r="A1123" s="31"/>
      <c r="B1123" s="32"/>
      <c r="C1123" s="33"/>
      <c r="D1123" s="32" t="s">
        <v>2421</v>
      </c>
      <c r="E1123" s="33" t="s">
        <v>116</v>
      </c>
      <c r="F1123" s="34">
        <v>1</v>
      </c>
      <c r="G1123" s="35">
        <v>0</v>
      </c>
      <c r="H1123" s="35">
        <v>0</v>
      </c>
      <c r="I1123" s="35">
        <f>Tabla1[[#This Row],[P.U. M.N.]]*Tabla1[[#This Row],[CANTIDADES DE REFERENCIA]]</f>
        <v>0</v>
      </c>
      <c r="J1123" s="35">
        <f>Tabla1[[#This Row],[P.U. USD]]*Tabla1[[#This Row],[CANTIDADES DE REFERENCIA]]</f>
        <v>0</v>
      </c>
      <c r="K1123" s="36"/>
      <c r="L1123" s="36"/>
      <c r="M1123" s="36"/>
      <c r="N1123" s="37"/>
      <c r="O1123" s="37"/>
      <c r="P1123" s="38"/>
      <c r="Q1123" s="37" t="s">
        <v>2422</v>
      </c>
      <c r="R1123" s="37"/>
      <c r="S1123" s="37" t="s">
        <v>2354</v>
      </c>
      <c r="T1123" s="31"/>
    </row>
    <row r="1124" spans="1:20">
      <c r="A1124" s="31"/>
      <c r="B1124" s="32"/>
      <c r="C1124" s="33"/>
      <c r="D1124" s="32" t="s">
        <v>2423</v>
      </c>
      <c r="E1124" s="33" t="s">
        <v>135</v>
      </c>
      <c r="F1124" s="34">
        <v>1</v>
      </c>
      <c r="G1124" s="35">
        <v>0</v>
      </c>
      <c r="H1124" s="35">
        <v>0</v>
      </c>
      <c r="I1124" s="35">
        <f>Tabla1[[#This Row],[P.U. M.N.]]*Tabla1[[#This Row],[CANTIDADES DE REFERENCIA]]</f>
        <v>0</v>
      </c>
      <c r="J1124" s="35">
        <f>Tabla1[[#This Row],[P.U. USD]]*Tabla1[[#This Row],[CANTIDADES DE REFERENCIA]]</f>
        <v>0</v>
      </c>
      <c r="K1124" s="36"/>
      <c r="L1124" s="36"/>
      <c r="M1124" s="36"/>
      <c r="N1124" s="37"/>
      <c r="O1124" s="37"/>
      <c r="P1124" s="38"/>
      <c r="Q1124" s="37" t="s">
        <v>2424</v>
      </c>
      <c r="R1124" s="37"/>
      <c r="S1124" s="37" t="s">
        <v>2354</v>
      </c>
      <c r="T1124" s="31"/>
    </row>
    <row r="1125" spans="1:20">
      <c r="A1125" s="31"/>
      <c r="B1125" s="32"/>
      <c r="C1125" s="33"/>
      <c r="D1125" s="32" t="s">
        <v>2425</v>
      </c>
      <c r="E1125" s="33" t="s">
        <v>116</v>
      </c>
      <c r="F1125" s="34">
        <v>1</v>
      </c>
      <c r="G1125" s="35">
        <v>0</v>
      </c>
      <c r="H1125" s="35">
        <v>0</v>
      </c>
      <c r="I1125" s="35">
        <f>Tabla1[[#This Row],[P.U. M.N.]]*Tabla1[[#This Row],[CANTIDADES DE REFERENCIA]]</f>
        <v>0</v>
      </c>
      <c r="J1125" s="35">
        <f>Tabla1[[#This Row],[P.U. USD]]*Tabla1[[#This Row],[CANTIDADES DE REFERENCIA]]</f>
        <v>0</v>
      </c>
      <c r="K1125" s="36"/>
      <c r="L1125" s="36"/>
      <c r="M1125" s="36"/>
      <c r="N1125" s="37"/>
      <c r="O1125" s="37"/>
      <c r="P1125" s="38"/>
      <c r="Q1125" s="37" t="s">
        <v>2426</v>
      </c>
      <c r="R1125" s="37"/>
      <c r="S1125" s="37" t="s">
        <v>2354</v>
      </c>
      <c r="T1125" s="31"/>
    </row>
    <row r="1126" spans="1:20">
      <c r="A1126" s="31"/>
      <c r="B1126" s="32"/>
      <c r="C1126" s="33"/>
      <c r="D1126" s="32" t="s">
        <v>2427</v>
      </c>
      <c r="E1126" s="33" t="s">
        <v>116</v>
      </c>
      <c r="F1126" s="34">
        <v>1</v>
      </c>
      <c r="G1126" s="35">
        <v>0</v>
      </c>
      <c r="H1126" s="35">
        <v>0</v>
      </c>
      <c r="I1126" s="35">
        <f>Tabla1[[#This Row],[P.U. M.N.]]*Tabla1[[#This Row],[CANTIDADES DE REFERENCIA]]</f>
        <v>0</v>
      </c>
      <c r="J1126" s="35">
        <f>Tabla1[[#This Row],[P.U. USD]]*Tabla1[[#This Row],[CANTIDADES DE REFERENCIA]]</f>
        <v>0</v>
      </c>
      <c r="K1126" s="36"/>
      <c r="L1126" s="36"/>
      <c r="M1126" s="36"/>
      <c r="N1126" s="37"/>
      <c r="O1126" s="37"/>
      <c r="P1126" s="38"/>
      <c r="Q1126" s="37" t="s">
        <v>2428</v>
      </c>
      <c r="R1126" s="37"/>
      <c r="S1126" s="37" t="s">
        <v>2354</v>
      </c>
      <c r="T1126" s="31"/>
    </row>
    <row r="1127" spans="1:20">
      <c r="A1127" s="31"/>
      <c r="B1127" s="32"/>
      <c r="C1127" s="33"/>
      <c r="D1127" s="32" t="s">
        <v>2429</v>
      </c>
      <c r="E1127" s="33" t="s">
        <v>116</v>
      </c>
      <c r="F1127" s="34">
        <v>1</v>
      </c>
      <c r="G1127" s="35">
        <v>0</v>
      </c>
      <c r="H1127" s="35">
        <v>0</v>
      </c>
      <c r="I1127" s="35">
        <f>Tabla1[[#This Row],[P.U. M.N.]]*Tabla1[[#This Row],[CANTIDADES DE REFERENCIA]]</f>
        <v>0</v>
      </c>
      <c r="J1127" s="35">
        <f>Tabla1[[#This Row],[P.U. USD]]*Tabla1[[#This Row],[CANTIDADES DE REFERENCIA]]</f>
        <v>0</v>
      </c>
      <c r="K1127" s="36"/>
      <c r="L1127" s="36"/>
      <c r="M1127" s="36"/>
      <c r="N1127" s="37"/>
      <c r="O1127" s="37"/>
      <c r="P1127" s="38"/>
      <c r="Q1127" s="37" t="s">
        <v>2430</v>
      </c>
      <c r="R1127" s="37"/>
      <c r="S1127" s="37" t="s">
        <v>2354</v>
      </c>
      <c r="T1127" s="31"/>
    </row>
    <row r="1128" spans="1:20">
      <c r="A1128" s="31"/>
      <c r="B1128" s="32"/>
      <c r="C1128" s="33"/>
      <c r="D1128" s="32" t="s">
        <v>2431</v>
      </c>
      <c r="E1128" s="33" t="s">
        <v>116</v>
      </c>
      <c r="F1128" s="34">
        <v>1</v>
      </c>
      <c r="G1128" s="35">
        <v>0</v>
      </c>
      <c r="H1128" s="35">
        <v>0</v>
      </c>
      <c r="I1128" s="35">
        <f>Tabla1[[#This Row],[P.U. M.N.]]*Tabla1[[#This Row],[CANTIDADES DE REFERENCIA]]</f>
        <v>0</v>
      </c>
      <c r="J1128" s="35">
        <f>Tabla1[[#This Row],[P.U. USD]]*Tabla1[[#This Row],[CANTIDADES DE REFERENCIA]]</f>
        <v>0</v>
      </c>
      <c r="K1128" s="36"/>
      <c r="L1128" s="36"/>
      <c r="M1128" s="36"/>
      <c r="N1128" s="37"/>
      <c r="O1128" s="37"/>
      <c r="P1128" s="38"/>
      <c r="Q1128" s="37" t="s">
        <v>2432</v>
      </c>
      <c r="R1128" s="37"/>
      <c r="S1128" s="37" t="s">
        <v>2354</v>
      </c>
      <c r="T1128" s="31"/>
    </row>
    <row r="1129" spans="1:20">
      <c r="A1129" s="31"/>
      <c r="B1129" s="32"/>
      <c r="C1129" s="33"/>
      <c r="D1129" s="32" t="s">
        <v>2433</v>
      </c>
      <c r="E1129" s="33" t="s">
        <v>116</v>
      </c>
      <c r="F1129" s="34">
        <v>1</v>
      </c>
      <c r="G1129" s="35">
        <v>0</v>
      </c>
      <c r="H1129" s="35">
        <v>0</v>
      </c>
      <c r="I1129" s="35">
        <f>Tabla1[[#This Row],[P.U. M.N.]]*Tabla1[[#This Row],[CANTIDADES DE REFERENCIA]]</f>
        <v>0</v>
      </c>
      <c r="J1129" s="35">
        <f>Tabla1[[#This Row],[P.U. USD]]*Tabla1[[#This Row],[CANTIDADES DE REFERENCIA]]</f>
        <v>0</v>
      </c>
      <c r="K1129" s="36"/>
      <c r="L1129" s="36"/>
      <c r="M1129" s="36"/>
      <c r="N1129" s="37"/>
      <c r="O1129" s="37"/>
      <c r="P1129" s="38"/>
      <c r="Q1129" s="37" t="s">
        <v>2434</v>
      </c>
      <c r="R1129" s="37"/>
      <c r="S1129" s="37" t="s">
        <v>2354</v>
      </c>
      <c r="T1129" s="31"/>
    </row>
    <row r="1130" spans="1:20">
      <c r="A1130" s="31"/>
      <c r="B1130" s="32"/>
      <c r="C1130" s="33"/>
      <c r="D1130" s="32" t="s">
        <v>2435</v>
      </c>
      <c r="E1130" s="33" t="s">
        <v>116</v>
      </c>
      <c r="F1130" s="34">
        <v>1</v>
      </c>
      <c r="G1130" s="35">
        <v>0</v>
      </c>
      <c r="H1130" s="35">
        <v>0</v>
      </c>
      <c r="I1130" s="35">
        <f>Tabla1[[#This Row],[P.U. M.N.]]*Tabla1[[#This Row],[CANTIDADES DE REFERENCIA]]</f>
        <v>0</v>
      </c>
      <c r="J1130" s="35">
        <f>Tabla1[[#This Row],[P.U. USD]]*Tabla1[[#This Row],[CANTIDADES DE REFERENCIA]]</f>
        <v>0</v>
      </c>
      <c r="K1130" s="36"/>
      <c r="L1130" s="36"/>
      <c r="M1130" s="36"/>
      <c r="N1130" s="37"/>
      <c r="O1130" s="37"/>
      <c r="P1130" s="38"/>
      <c r="Q1130" s="37" t="s">
        <v>2436</v>
      </c>
      <c r="R1130" s="37"/>
      <c r="S1130" s="37" t="s">
        <v>2354</v>
      </c>
      <c r="T1130" s="31"/>
    </row>
    <row r="1131" spans="1:20">
      <c r="A1131" s="31"/>
      <c r="B1131" s="32"/>
      <c r="C1131" s="33"/>
      <c r="D1131" s="32" t="s">
        <v>2437</v>
      </c>
      <c r="E1131" s="33" t="s">
        <v>116</v>
      </c>
      <c r="F1131" s="34">
        <v>1</v>
      </c>
      <c r="G1131" s="35">
        <v>0</v>
      </c>
      <c r="H1131" s="35">
        <v>0</v>
      </c>
      <c r="I1131" s="35">
        <f>Tabla1[[#This Row],[P.U. M.N.]]*Tabla1[[#This Row],[CANTIDADES DE REFERENCIA]]</f>
        <v>0</v>
      </c>
      <c r="J1131" s="35">
        <f>Tabla1[[#This Row],[P.U. USD]]*Tabla1[[#This Row],[CANTIDADES DE REFERENCIA]]</f>
        <v>0</v>
      </c>
      <c r="K1131" s="36"/>
      <c r="L1131" s="36"/>
      <c r="M1131" s="36"/>
      <c r="N1131" s="37"/>
      <c r="O1131" s="37"/>
      <c r="P1131" s="38"/>
      <c r="Q1131" s="37" t="s">
        <v>2438</v>
      </c>
      <c r="R1131" s="37"/>
      <c r="S1131" s="37" t="s">
        <v>2354</v>
      </c>
      <c r="T1131" s="31"/>
    </row>
    <row r="1132" spans="1:20">
      <c r="A1132" s="31"/>
      <c r="B1132" s="32"/>
      <c r="C1132" s="33"/>
      <c r="D1132" s="32" t="s">
        <v>2439</v>
      </c>
      <c r="E1132" s="33" t="s">
        <v>116</v>
      </c>
      <c r="F1132" s="34">
        <v>1</v>
      </c>
      <c r="G1132" s="35">
        <v>0</v>
      </c>
      <c r="H1132" s="35">
        <v>0</v>
      </c>
      <c r="I1132" s="35">
        <f>Tabla1[[#This Row],[P.U. M.N.]]*Tabla1[[#This Row],[CANTIDADES DE REFERENCIA]]</f>
        <v>0</v>
      </c>
      <c r="J1132" s="35">
        <f>Tabla1[[#This Row],[P.U. USD]]*Tabla1[[#This Row],[CANTIDADES DE REFERENCIA]]</f>
        <v>0</v>
      </c>
      <c r="K1132" s="36"/>
      <c r="L1132" s="36"/>
      <c r="M1132" s="36"/>
      <c r="N1132" s="37"/>
      <c r="O1132" s="37"/>
      <c r="P1132" s="38"/>
      <c r="Q1132" s="37" t="s">
        <v>2440</v>
      </c>
      <c r="R1132" s="37"/>
      <c r="S1132" s="37" t="s">
        <v>2354</v>
      </c>
      <c r="T1132" s="31"/>
    </row>
    <row r="1133" spans="1:20">
      <c r="A1133" s="31"/>
      <c r="B1133" s="32"/>
      <c r="C1133" s="33"/>
      <c r="D1133" s="32" t="s">
        <v>2441</v>
      </c>
      <c r="E1133" s="33" t="s">
        <v>116</v>
      </c>
      <c r="F1133" s="34">
        <v>1</v>
      </c>
      <c r="G1133" s="35">
        <v>0</v>
      </c>
      <c r="H1133" s="35">
        <v>0</v>
      </c>
      <c r="I1133" s="35">
        <f>Tabla1[[#This Row],[P.U. M.N.]]*Tabla1[[#This Row],[CANTIDADES DE REFERENCIA]]</f>
        <v>0</v>
      </c>
      <c r="J1133" s="35">
        <f>Tabla1[[#This Row],[P.U. USD]]*Tabla1[[#This Row],[CANTIDADES DE REFERENCIA]]</f>
        <v>0</v>
      </c>
      <c r="K1133" s="36"/>
      <c r="L1133" s="36"/>
      <c r="M1133" s="36"/>
      <c r="N1133" s="37"/>
      <c r="O1133" s="37"/>
      <c r="P1133" s="38"/>
      <c r="Q1133" s="37" t="s">
        <v>2442</v>
      </c>
      <c r="R1133" s="37"/>
      <c r="S1133" s="37" t="s">
        <v>2354</v>
      </c>
      <c r="T1133" s="31"/>
    </row>
    <row r="1134" spans="1:20">
      <c r="A1134" s="31"/>
      <c r="B1134" s="32"/>
      <c r="C1134" s="33"/>
      <c r="D1134" s="32" t="s">
        <v>2443</v>
      </c>
      <c r="E1134" s="33" t="s">
        <v>116</v>
      </c>
      <c r="F1134" s="34">
        <v>1</v>
      </c>
      <c r="G1134" s="35">
        <v>0</v>
      </c>
      <c r="H1134" s="35">
        <v>0</v>
      </c>
      <c r="I1134" s="35">
        <f>Tabla1[[#This Row],[P.U. M.N.]]*Tabla1[[#This Row],[CANTIDADES DE REFERENCIA]]</f>
        <v>0</v>
      </c>
      <c r="J1134" s="35">
        <f>Tabla1[[#This Row],[P.U. USD]]*Tabla1[[#This Row],[CANTIDADES DE REFERENCIA]]</f>
        <v>0</v>
      </c>
      <c r="K1134" s="36"/>
      <c r="L1134" s="36"/>
      <c r="M1134" s="36"/>
      <c r="N1134" s="37"/>
      <c r="O1134" s="37"/>
      <c r="P1134" s="38"/>
      <c r="Q1134" s="37" t="s">
        <v>2444</v>
      </c>
      <c r="R1134" s="37"/>
      <c r="S1134" s="37" t="s">
        <v>2354</v>
      </c>
      <c r="T1134" s="31"/>
    </row>
    <row r="1135" spans="1:20">
      <c r="A1135" s="31"/>
      <c r="B1135" s="32"/>
      <c r="C1135" s="33"/>
      <c r="D1135" s="32" t="s">
        <v>2445</v>
      </c>
      <c r="E1135" s="33" t="s">
        <v>116</v>
      </c>
      <c r="F1135" s="34">
        <v>1</v>
      </c>
      <c r="G1135" s="35">
        <v>0</v>
      </c>
      <c r="H1135" s="35">
        <v>0</v>
      </c>
      <c r="I1135" s="35">
        <f>Tabla1[[#This Row],[P.U. M.N.]]*Tabla1[[#This Row],[CANTIDADES DE REFERENCIA]]</f>
        <v>0</v>
      </c>
      <c r="J1135" s="35">
        <f>Tabla1[[#This Row],[P.U. USD]]*Tabla1[[#This Row],[CANTIDADES DE REFERENCIA]]</f>
        <v>0</v>
      </c>
      <c r="K1135" s="36"/>
      <c r="L1135" s="36"/>
      <c r="M1135" s="36"/>
      <c r="N1135" s="37"/>
      <c r="O1135" s="37"/>
      <c r="P1135" s="38"/>
      <c r="Q1135" s="37" t="s">
        <v>2446</v>
      </c>
      <c r="R1135" s="37"/>
      <c r="S1135" s="37" t="s">
        <v>2354</v>
      </c>
      <c r="T1135" s="31"/>
    </row>
    <row r="1136" spans="1:20">
      <c r="A1136" s="31"/>
      <c r="B1136" s="32"/>
      <c r="C1136" s="33"/>
      <c r="D1136" s="32" t="s">
        <v>2447</v>
      </c>
      <c r="E1136" s="33" t="s">
        <v>116</v>
      </c>
      <c r="F1136" s="34">
        <v>1</v>
      </c>
      <c r="G1136" s="35">
        <v>0</v>
      </c>
      <c r="H1136" s="35">
        <v>0</v>
      </c>
      <c r="I1136" s="35">
        <f>Tabla1[[#This Row],[P.U. M.N.]]*Tabla1[[#This Row],[CANTIDADES DE REFERENCIA]]</f>
        <v>0</v>
      </c>
      <c r="J1136" s="35">
        <f>Tabla1[[#This Row],[P.U. USD]]*Tabla1[[#This Row],[CANTIDADES DE REFERENCIA]]</f>
        <v>0</v>
      </c>
      <c r="K1136" s="36"/>
      <c r="L1136" s="36"/>
      <c r="M1136" s="36"/>
      <c r="N1136" s="37"/>
      <c r="O1136" s="37"/>
      <c r="P1136" s="38"/>
      <c r="Q1136" s="37" t="s">
        <v>2448</v>
      </c>
      <c r="R1136" s="37"/>
      <c r="S1136" s="37" t="s">
        <v>2354</v>
      </c>
      <c r="T1136" s="31"/>
    </row>
    <row r="1137" spans="1:20">
      <c r="A1137" s="31"/>
      <c r="B1137" s="32"/>
      <c r="C1137" s="33"/>
      <c r="D1137" s="32" t="s">
        <v>2449</v>
      </c>
      <c r="E1137" s="33" t="s">
        <v>116</v>
      </c>
      <c r="F1137" s="34">
        <v>1</v>
      </c>
      <c r="G1137" s="35">
        <v>0</v>
      </c>
      <c r="H1137" s="35">
        <v>0</v>
      </c>
      <c r="I1137" s="35">
        <f>Tabla1[[#This Row],[P.U. M.N.]]*Tabla1[[#This Row],[CANTIDADES DE REFERENCIA]]</f>
        <v>0</v>
      </c>
      <c r="J1137" s="35">
        <f>Tabla1[[#This Row],[P.U. USD]]*Tabla1[[#This Row],[CANTIDADES DE REFERENCIA]]</f>
        <v>0</v>
      </c>
      <c r="K1137" s="36"/>
      <c r="L1137" s="36"/>
      <c r="M1137" s="36"/>
      <c r="N1137" s="37"/>
      <c r="O1137" s="37"/>
      <c r="P1137" s="38"/>
      <c r="Q1137" s="37" t="s">
        <v>2450</v>
      </c>
      <c r="R1137" s="37"/>
      <c r="S1137" s="37" t="s">
        <v>2354</v>
      </c>
      <c r="T1137" s="31"/>
    </row>
    <row r="1138" spans="1:20">
      <c r="A1138" s="31"/>
      <c r="B1138" s="32"/>
      <c r="C1138" s="33"/>
      <c r="D1138" s="32" t="s">
        <v>2451</v>
      </c>
      <c r="E1138" s="33" t="s">
        <v>135</v>
      </c>
      <c r="F1138" s="34">
        <v>1</v>
      </c>
      <c r="G1138" s="35">
        <v>0</v>
      </c>
      <c r="H1138" s="35">
        <v>0</v>
      </c>
      <c r="I1138" s="35">
        <f>Tabla1[[#This Row],[P.U. M.N.]]*Tabla1[[#This Row],[CANTIDADES DE REFERENCIA]]</f>
        <v>0</v>
      </c>
      <c r="J1138" s="35">
        <f>Tabla1[[#This Row],[P.U. USD]]*Tabla1[[#This Row],[CANTIDADES DE REFERENCIA]]</f>
        <v>0</v>
      </c>
      <c r="K1138" s="36"/>
      <c r="L1138" s="36"/>
      <c r="M1138" s="36"/>
      <c r="N1138" s="37"/>
      <c r="O1138" s="37"/>
      <c r="P1138" s="38"/>
      <c r="Q1138" s="37" t="s">
        <v>2452</v>
      </c>
      <c r="R1138" s="37"/>
      <c r="S1138" s="37" t="s">
        <v>2354</v>
      </c>
      <c r="T1138" s="31"/>
    </row>
    <row r="1139" spans="1:20">
      <c r="A1139" s="31"/>
      <c r="B1139" s="32"/>
      <c r="C1139" s="33"/>
      <c r="D1139" s="32" t="s">
        <v>2453</v>
      </c>
      <c r="E1139" s="33" t="s">
        <v>135</v>
      </c>
      <c r="F1139" s="34">
        <v>1</v>
      </c>
      <c r="G1139" s="35">
        <v>0</v>
      </c>
      <c r="H1139" s="35">
        <v>0</v>
      </c>
      <c r="I1139" s="35">
        <f>Tabla1[[#This Row],[P.U. M.N.]]*Tabla1[[#This Row],[CANTIDADES DE REFERENCIA]]</f>
        <v>0</v>
      </c>
      <c r="J1139" s="35">
        <f>Tabla1[[#This Row],[P.U. USD]]*Tabla1[[#This Row],[CANTIDADES DE REFERENCIA]]</f>
        <v>0</v>
      </c>
      <c r="K1139" s="36"/>
      <c r="L1139" s="36"/>
      <c r="M1139" s="36"/>
      <c r="N1139" s="37"/>
      <c r="O1139" s="37"/>
      <c r="P1139" s="38"/>
      <c r="Q1139" s="37" t="s">
        <v>2454</v>
      </c>
      <c r="R1139" s="37"/>
      <c r="S1139" s="37" t="s">
        <v>2354</v>
      </c>
      <c r="T1139" s="31"/>
    </row>
    <row r="1140" spans="1:20">
      <c r="A1140" s="31"/>
      <c r="B1140" s="32"/>
      <c r="C1140" s="33"/>
      <c r="D1140" s="32" t="s">
        <v>2455</v>
      </c>
      <c r="E1140" s="33" t="s">
        <v>116</v>
      </c>
      <c r="F1140" s="34">
        <v>1</v>
      </c>
      <c r="G1140" s="35">
        <v>0</v>
      </c>
      <c r="H1140" s="35">
        <v>0</v>
      </c>
      <c r="I1140" s="35">
        <f>Tabla1[[#This Row],[P.U. M.N.]]*Tabla1[[#This Row],[CANTIDADES DE REFERENCIA]]</f>
        <v>0</v>
      </c>
      <c r="J1140" s="35">
        <f>Tabla1[[#This Row],[P.U. USD]]*Tabla1[[#This Row],[CANTIDADES DE REFERENCIA]]</f>
        <v>0</v>
      </c>
      <c r="K1140" s="36"/>
      <c r="L1140" s="36"/>
      <c r="M1140" s="36"/>
      <c r="N1140" s="37"/>
      <c r="O1140" s="37"/>
      <c r="P1140" s="38"/>
      <c r="Q1140" s="37" t="s">
        <v>2456</v>
      </c>
      <c r="R1140" s="37"/>
      <c r="S1140" s="37" t="s">
        <v>2354</v>
      </c>
      <c r="T1140" s="31"/>
    </row>
    <row r="1141" spans="1:20">
      <c r="A1141" s="31"/>
      <c r="B1141" s="32"/>
      <c r="C1141" s="33"/>
      <c r="D1141" s="32" t="s">
        <v>2457</v>
      </c>
      <c r="E1141" s="33" t="s">
        <v>116</v>
      </c>
      <c r="F1141" s="34">
        <v>1</v>
      </c>
      <c r="G1141" s="35">
        <v>0</v>
      </c>
      <c r="H1141" s="35">
        <v>0</v>
      </c>
      <c r="I1141" s="35">
        <f>Tabla1[[#This Row],[P.U. M.N.]]*Tabla1[[#This Row],[CANTIDADES DE REFERENCIA]]</f>
        <v>0</v>
      </c>
      <c r="J1141" s="35">
        <f>Tabla1[[#This Row],[P.U. USD]]*Tabla1[[#This Row],[CANTIDADES DE REFERENCIA]]</f>
        <v>0</v>
      </c>
      <c r="K1141" s="36"/>
      <c r="L1141" s="36"/>
      <c r="M1141" s="36"/>
      <c r="N1141" s="37"/>
      <c r="O1141" s="37"/>
      <c r="P1141" s="38"/>
      <c r="Q1141" s="37" t="s">
        <v>2458</v>
      </c>
      <c r="R1141" s="37"/>
      <c r="S1141" s="37" t="s">
        <v>2354</v>
      </c>
      <c r="T1141" s="31"/>
    </row>
    <row r="1142" spans="1:20">
      <c r="A1142" s="31"/>
      <c r="B1142" s="32"/>
      <c r="C1142" s="33"/>
      <c r="D1142" s="32" t="s">
        <v>2459</v>
      </c>
      <c r="E1142" s="33" t="s">
        <v>116</v>
      </c>
      <c r="F1142" s="34">
        <v>1</v>
      </c>
      <c r="G1142" s="35">
        <v>0</v>
      </c>
      <c r="H1142" s="35">
        <v>0</v>
      </c>
      <c r="I1142" s="35">
        <f>Tabla1[[#This Row],[P.U. M.N.]]*Tabla1[[#This Row],[CANTIDADES DE REFERENCIA]]</f>
        <v>0</v>
      </c>
      <c r="J1142" s="35">
        <f>Tabla1[[#This Row],[P.U. USD]]*Tabla1[[#This Row],[CANTIDADES DE REFERENCIA]]</f>
        <v>0</v>
      </c>
      <c r="K1142" s="36"/>
      <c r="L1142" s="36"/>
      <c r="M1142" s="36"/>
      <c r="N1142" s="37"/>
      <c r="O1142" s="37"/>
      <c r="P1142" s="38"/>
      <c r="Q1142" s="37" t="s">
        <v>2460</v>
      </c>
      <c r="R1142" s="37"/>
      <c r="S1142" s="37" t="s">
        <v>2354</v>
      </c>
      <c r="T1142" s="31"/>
    </row>
    <row r="1143" spans="1:20">
      <c r="A1143" s="31"/>
      <c r="B1143" s="32"/>
      <c r="C1143" s="33"/>
      <c r="D1143" s="32" t="s">
        <v>2461</v>
      </c>
      <c r="E1143" s="33" t="s">
        <v>116</v>
      </c>
      <c r="F1143" s="34">
        <v>1</v>
      </c>
      <c r="G1143" s="35">
        <v>0</v>
      </c>
      <c r="H1143" s="35">
        <v>0</v>
      </c>
      <c r="I1143" s="35">
        <f>Tabla1[[#This Row],[P.U. M.N.]]*Tabla1[[#This Row],[CANTIDADES DE REFERENCIA]]</f>
        <v>0</v>
      </c>
      <c r="J1143" s="35">
        <f>Tabla1[[#This Row],[P.U. USD]]*Tabla1[[#This Row],[CANTIDADES DE REFERENCIA]]</f>
        <v>0</v>
      </c>
      <c r="K1143" s="36"/>
      <c r="L1143" s="36"/>
      <c r="M1143" s="36"/>
      <c r="N1143" s="37"/>
      <c r="O1143" s="37"/>
      <c r="P1143" s="38"/>
      <c r="Q1143" s="37" t="s">
        <v>2462</v>
      </c>
      <c r="R1143" s="37"/>
      <c r="S1143" s="37" t="s">
        <v>2354</v>
      </c>
      <c r="T1143" s="31"/>
    </row>
    <row r="1144" spans="1:20">
      <c r="A1144" s="31"/>
      <c r="B1144" s="32"/>
      <c r="C1144" s="33"/>
      <c r="D1144" s="32" t="s">
        <v>2463</v>
      </c>
      <c r="E1144" s="33" t="s">
        <v>116</v>
      </c>
      <c r="F1144" s="34">
        <v>1</v>
      </c>
      <c r="G1144" s="35">
        <v>0</v>
      </c>
      <c r="H1144" s="35">
        <v>0</v>
      </c>
      <c r="I1144" s="35">
        <f>Tabla1[[#This Row],[P.U. M.N.]]*Tabla1[[#This Row],[CANTIDADES DE REFERENCIA]]</f>
        <v>0</v>
      </c>
      <c r="J1144" s="35">
        <f>Tabla1[[#This Row],[P.U. USD]]*Tabla1[[#This Row],[CANTIDADES DE REFERENCIA]]</f>
        <v>0</v>
      </c>
      <c r="K1144" s="36"/>
      <c r="L1144" s="36"/>
      <c r="M1144" s="36"/>
      <c r="N1144" s="37"/>
      <c r="O1144" s="37"/>
      <c r="P1144" s="38"/>
      <c r="Q1144" s="37" t="s">
        <v>2464</v>
      </c>
      <c r="R1144" s="37"/>
      <c r="S1144" s="37" t="s">
        <v>2354</v>
      </c>
      <c r="T1144" s="31"/>
    </row>
    <row r="1145" spans="1:20">
      <c r="A1145" s="31"/>
      <c r="B1145" s="32"/>
      <c r="C1145" s="33"/>
      <c r="D1145" s="32" t="s">
        <v>2465</v>
      </c>
      <c r="E1145" s="33" t="s">
        <v>116</v>
      </c>
      <c r="F1145" s="34">
        <v>1</v>
      </c>
      <c r="G1145" s="35">
        <v>0</v>
      </c>
      <c r="H1145" s="35">
        <v>0</v>
      </c>
      <c r="I1145" s="35">
        <f>Tabla1[[#This Row],[P.U. M.N.]]*Tabla1[[#This Row],[CANTIDADES DE REFERENCIA]]</f>
        <v>0</v>
      </c>
      <c r="J1145" s="35">
        <f>Tabla1[[#This Row],[P.U. USD]]*Tabla1[[#This Row],[CANTIDADES DE REFERENCIA]]</f>
        <v>0</v>
      </c>
      <c r="K1145" s="36"/>
      <c r="L1145" s="36"/>
      <c r="M1145" s="36"/>
      <c r="N1145" s="37"/>
      <c r="O1145" s="37"/>
      <c r="P1145" s="38"/>
      <c r="Q1145" s="37" t="s">
        <v>2466</v>
      </c>
      <c r="R1145" s="37"/>
      <c r="S1145" s="37" t="s">
        <v>2354</v>
      </c>
      <c r="T1145" s="31"/>
    </row>
    <row r="1146" spans="1:20">
      <c r="A1146" s="31"/>
      <c r="B1146" s="32"/>
      <c r="C1146" s="33"/>
      <c r="D1146" s="32" t="s">
        <v>2467</v>
      </c>
      <c r="E1146" s="33" t="s">
        <v>116</v>
      </c>
      <c r="F1146" s="34">
        <v>1</v>
      </c>
      <c r="G1146" s="35">
        <v>0</v>
      </c>
      <c r="H1146" s="35">
        <v>0</v>
      </c>
      <c r="I1146" s="35">
        <f>Tabla1[[#This Row],[P.U. M.N.]]*Tabla1[[#This Row],[CANTIDADES DE REFERENCIA]]</f>
        <v>0</v>
      </c>
      <c r="J1146" s="35">
        <f>Tabla1[[#This Row],[P.U. USD]]*Tabla1[[#This Row],[CANTIDADES DE REFERENCIA]]</f>
        <v>0</v>
      </c>
      <c r="K1146" s="36"/>
      <c r="L1146" s="36"/>
      <c r="M1146" s="36"/>
      <c r="N1146" s="37"/>
      <c r="O1146" s="37"/>
      <c r="P1146" s="38"/>
      <c r="Q1146" s="37" t="s">
        <v>2468</v>
      </c>
      <c r="R1146" s="37"/>
      <c r="S1146" s="37" t="s">
        <v>2354</v>
      </c>
      <c r="T1146" s="31"/>
    </row>
    <row r="1147" spans="1:20">
      <c r="A1147" s="31"/>
      <c r="B1147" s="32"/>
      <c r="C1147" s="33"/>
      <c r="D1147" s="32" t="s">
        <v>2469</v>
      </c>
      <c r="E1147" s="33" t="s">
        <v>116</v>
      </c>
      <c r="F1147" s="34">
        <v>1</v>
      </c>
      <c r="G1147" s="35">
        <v>0</v>
      </c>
      <c r="H1147" s="35">
        <v>0</v>
      </c>
      <c r="I1147" s="35">
        <f>Tabla1[[#This Row],[P.U. M.N.]]*Tabla1[[#This Row],[CANTIDADES DE REFERENCIA]]</f>
        <v>0</v>
      </c>
      <c r="J1147" s="35">
        <f>Tabla1[[#This Row],[P.U. USD]]*Tabla1[[#This Row],[CANTIDADES DE REFERENCIA]]</f>
        <v>0</v>
      </c>
      <c r="K1147" s="36"/>
      <c r="L1147" s="36"/>
      <c r="M1147" s="36"/>
      <c r="N1147" s="37"/>
      <c r="O1147" s="37"/>
      <c r="P1147" s="38"/>
      <c r="Q1147" s="37" t="s">
        <v>2470</v>
      </c>
      <c r="R1147" s="37"/>
      <c r="S1147" s="37" t="s">
        <v>2354</v>
      </c>
      <c r="T1147" s="31"/>
    </row>
    <row r="1148" spans="1:20">
      <c r="A1148" s="31"/>
      <c r="B1148" s="32"/>
      <c r="C1148" s="33"/>
      <c r="D1148" s="32" t="s">
        <v>2471</v>
      </c>
      <c r="E1148" s="33" t="s">
        <v>116</v>
      </c>
      <c r="F1148" s="34">
        <v>1</v>
      </c>
      <c r="G1148" s="35">
        <v>0</v>
      </c>
      <c r="H1148" s="35">
        <v>0</v>
      </c>
      <c r="I1148" s="35">
        <f>Tabla1[[#This Row],[P.U. M.N.]]*Tabla1[[#This Row],[CANTIDADES DE REFERENCIA]]</f>
        <v>0</v>
      </c>
      <c r="J1148" s="35">
        <f>Tabla1[[#This Row],[P.U. USD]]*Tabla1[[#This Row],[CANTIDADES DE REFERENCIA]]</f>
        <v>0</v>
      </c>
      <c r="K1148" s="36"/>
      <c r="L1148" s="36"/>
      <c r="M1148" s="36"/>
      <c r="N1148" s="37"/>
      <c r="O1148" s="37"/>
      <c r="P1148" s="38"/>
      <c r="Q1148" s="37" t="s">
        <v>2472</v>
      </c>
      <c r="R1148" s="37"/>
      <c r="S1148" s="37" t="s">
        <v>2354</v>
      </c>
      <c r="T1148" s="31"/>
    </row>
    <row r="1149" spans="1:20">
      <c r="A1149" s="31"/>
      <c r="B1149" s="32"/>
      <c r="C1149" s="33"/>
      <c r="D1149" s="32" t="s">
        <v>2473</v>
      </c>
      <c r="E1149" s="33" t="s">
        <v>135</v>
      </c>
      <c r="F1149" s="34">
        <v>1</v>
      </c>
      <c r="G1149" s="35">
        <v>0</v>
      </c>
      <c r="H1149" s="35">
        <v>0</v>
      </c>
      <c r="I1149" s="35">
        <f>Tabla1[[#This Row],[P.U. M.N.]]*Tabla1[[#This Row],[CANTIDADES DE REFERENCIA]]</f>
        <v>0</v>
      </c>
      <c r="J1149" s="35">
        <f>Tabla1[[#This Row],[P.U. USD]]*Tabla1[[#This Row],[CANTIDADES DE REFERENCIA]]</f>
        <v>0</v>
      </c>
      <c r="K1149" s="36"/>
      <c r="L1149" s="36"/>
      <c r="M1149" s="36"/>
      <c r="N1149" s="37"/>
      <c r="O1149" s="37"/>
      <c r="P1149" s="38"/>
      <c r="Q1149" s="37" t="s">
        <v>2474</v>
      </c>
      <c r="R1149" s="37"/>
      <c r="S1149" s="37" t="s">
        <v>2354</v>
      </c>
      <c r="T1149" s="31"/>
    </row>
    <row r="1150" spans="1:20">
      <c r="A1150" s="31"/>
      <c r="B1150" s="32"/>
      <c r="C1150" s="33"/>
      <c r="D1150" s="32" t="s">
        <v>2475</v>
      </c>
      <c r="E1150" s="33" t="s">
        <v>116</v>
      </c>
      <c r="F1150" s="34">
        <v>1</v>
      </c>
      <c r="G1150" s="35">
        <v>0</v>
      </c>
      <c r="H1150" s="35">
        <v>0</v>
      </c>
      <c r="I1150" s="35">
        <f>Tabla1[[#This Row],[P.U. M.N.]]*Tabla1[[#This Row],[CANTIDADES DE REFERENCIA]]</f>
        <v>0</v>
      </c>
      <c r="J1150" s="35">
        <f>Tabla1[[#This Row],[P.U. USD]]*Tabla1[[#This Row],[CANTIDADES DE REFERENCIA]]</f>
        <v>0</v>
      </c>
      <c r="K1150" s="36"/>
      <c r="L1150" s="36"/>
      <c r="M1150" s="36"/>
      <c r="N1150" s="37"/>
      <c r="O1150" s="37"/>
      <c r="P1150" s="38"/>
      <c r="Q1150" s="37" t="s">
        <v>2476</v>
      </c>
      <c r="R1150" s="37"/>
      <c r="S1150" s="37" t="s">
        <v>2354</v>
      </c>
      <c r="T1150" s="31"/>
    </row>
    <row r="1151" spans="1:20">
      <c r="A1151" s="31"/>
      <c r="B1151" s="32"/>
      <c r="C1151" s="33"/>
      <c r="D1151" s="32" t="s">
        <v>2477</v>
      </c>
      <c r="E1151" s="33" t="s">
        <v>116</v>
      </c>
      <c r="F1151" s="34">
        <v>1</v>
      </c>
      <c r="G1151" s="35">
        <v>0</v>
      </c>
      <c r="H1151" s="35">
        <v>0</v>
      </c>
      <c r="I1151" s="35">
        <f>Tabla1[[#This Row],[P.U. M.N.]]*Tabla1[[#This Row],[CANTIDADES DE REFERENCIA]]</f>
        <v>0</v>
      </c>
      <c r="J1151" s="35">
        <f>Tabla1[[#This Row],[P.U. USD]]*Tabla1[[#This Row],[CANTIDADES DE REFERENCIA]]</f>
        <v>0</v>
      </c>
      <c r="K1151" s="36"/>
      <c r="L1151" s="36"/>
      <c r="M1151" s="36"/>
      <c r="N1151" s="37"/>
      <c r="O1151" s="37"/>
      <c r="P1151" s="38"/>
      <c r="Q1151" s="37" t="s">
        <v>2478</v>
      </c>
      <c r="R1151" s="37"/>
      <c r="S1151" s="37" t="s">
        <v>2354</v>
      </c>
      <c r="T1151" s="31"/>
    </row>
    <row r="1152" spans="1:20">
      <c r="A1152" s="31"/>
      <c r="B1152" s="32"/>
      <c r="C1152" s="33"/>
      <c r="D1152" s="32" t="s">
        <v>2479</v>
      </c>
      <c r="E1152" s="33" t="s">
        <v>135</v>
      </c>
      <c r="F1152" s="34">
        <v>1</v>
      </c>
      <c r="G1152" s="35">
        <v>0</v>
      </c>
      <c r="H1152" s="35">
        <v>0</v>
      </c>
      <c r="I1152" s="35">
        <f>Tabla1[[#This Row],[P.U. M.N.]]*Tabla1[[#This Row],[CANTIDADES DE REFERENCIA]]</f>
        <v>0</v>
      </c>
      <c r="J1152" s="35">
        <f>Tabla1[[#This Row],[P.U. USD]]*Tabla1[[#This Row],[CANTIDADES DE REFERENCIA]]</f>
        <v>0</v>
      </c>
      <c r="K1152" s="36"/>
      <c r="L1152" s="36"/>
      <c r="M1152" s="36"/>
      <c r="N1152" s="37"/>
      <c r="O1152" s="37"/>
      <c r="P1152" s="38"/>
      <c r="Q1152" s="37" t="s">
        <v>2480</v>
      </c>
      <c r="R1152" s="37"/>
      <c r="S1152" s="37" t="s">
        <v>2354</v>
      </c>
      <c r="T1152" s="31"/>
    </row>
    <row r="1153" spans="1:20">
      <c r="A1153" s="31"/>
      <c r="B1153" s="32"/>
      <c r="C1153" s="33"/>
      <c r="D1153" s="32" t="s">
        <v>2481</v>
      </c>
      <c r="E1153" s="33" t="s">
        <v>135</v>
      </c>
      <c r="F1153" s="34">
        <v>1</v>
      </c>
      <c r="G1153" s="35">
        <v>0</v>
      </c>
      <c r="H1153" s="35">
        <v>0</v>
      </c>
      <c r="I1153" s="35">
        <f>Tabla1[[#This Row],[P.U. M.N.]]*Tabla1[[#This Row],[CANTIDADES DE REFERENCIA]]</f>
        <v>0</v>
      </c>
      <c r="J1153" s="35">
        <f>Tabla1[[#This Row],[P.U. USD]]*Tabla1[[#This Row],[CANTIDADES DE REFERENCIA]]</f>
        <v>0</v>
      </c>
      <c r="K1153" s="36"/>
      <c r="L1153" s="36"/>
      <c r="M1153" s="36"/>
      <c r="N1153" s="37"/>
      <c r="O1153" s="37"/>
      <c r="P1153" s="38"/>
      <c r="Q1153" s="37" t="s">
        <v>2482</v>
      </c>
      <c r="R1153" s="37"/>
      <c r="S1153" s="37" t="s">
        <v>2354</v>
      </c>
      <c r="T1153" s="31"/>
    </row>
    <row r="1154" spans="1:20">
      <c r="A1154" s="31"/>
      <c r="B1154" s="32"/>
      <c r="C1154" s="33"/>
      <c r="D1154" s="32" t="s">
        <v>2483</v>
      </c>
      <c r="E1154" s="33" t="s">
        <v>116</v>
      </c>
      <c r="F1154" s="34">
        <v>1</v>
      </c>
      <c r="G1154" s="35">
        <v>0</v>
      </c>
      <c r="H1154" s="35">
        <v>0</v>
      </c>
      <c r="I1154" s="35">
        <f>Tabla1[[#This Row],[P.U. M.N.]]*Tabla1[[#This Row],[CANTIDADES DE REFERENCIA]]</f>
        <v>0</v>
      </c>
      <c r="J1154" s="35">
        <f>Tabla1[[#This Row],[P.U. USD]]*Tabla1[[#This Row],[CANTIDADES DE REFERENCIA]]</f>
        <v>0</v>
      </c>
      <c r="K1154" s="36"/>
      <c r="L1154" s="36"/>
      <c r="M1154" s="36"/>
      <c r="N1154" s="37"/>
      <c r="O1154" s="37"/>
      <c r="P1154" s="38"/>
      <c r="Q1154" s="37" t="s">
        <v>2484</v>
      </c>
      <c r="R1154" s="37"/>
      <c r="S1154" s="37" t="s">
        <v>2354</v>
      </c>
      <c r="T1154" s="31"/>
    </row>
    <row r="1155" spans="1:20">
      <c r="A1155" s="31"/>
      <c r="B1155" s="32"/>
      <c r="C1155" s="33"/>
      <c r="D1155" s="32" t="s">
        <v>2485</v>
      </c>
      <c r="E1155" s="33" t="s">
        <v>116</v>
      </c>
      <c r="F1155" s="34">
        <v>1</v>
      </c>
      <c r="G1155" s="35">
        <v>0</v>
      </c>
      <c r="H1155" s="35">
        <v>0</v>
      </c>
      <c r="I1155" s="35">
        <f>Tabla1[[#This Row],[P.U. M.N.]]*Tabla1[[#This Row],[CANTIDADES DE REFERENCIA]]</f>
        <v>0</v>
      </c>
      <c r="J1155" s="35">
        <f>Tabla1[[#This Row],[P.U. USD]]*Tabla1[[#This Row],[CANTIDADES DE REFERENCIA]]</f>
        <v>0</v>
      </c>
      <c r="K1155" s="36"/>
      <c r="L1155" s="36"/>
      <c r="M1155" s="36"/>
      <c r="N1155" s="37"/>
      <c r="O1155" s="37"/>
      <c r="P1155" s="38"/>
      <c r="Q1155" s="37" t="s">
        <v>2486</v>
      </c>
      <c r="R1155" s="37"/>
      <c r="S1155" s="37" t="s">
        <v>2354</v>
      </c>
      <c r="T1155" s="31"/>
    </row>
    <row r="1156" spans="1:20">
      <c r="A1156" s="31"/>
      <c r="B1156" s="32"/>
      <c r="C1156" s="33"/>
      <c r="D1156" s="32" t="s">
        <v>2487</v>
      </c>
      <c r="E1156" s="33" t="s">
        <v>135</v>
      </c>
      <c r="F1156" s="34">
        <v>1</v>
      </c>
      <c r="G1156" s="35">
        <v>0</v>
      </c>
      <c r="H1156" s="35">
        <v>0</v>
      </c>
      <c r="I1156" s="35">
        <f>Tabla1[[#This Row],[P.U. M.N.]]*Tabla1[[#This Row],[CANTIDADES DE REFERENCIA]]</f>
        <v>0</v>
      </c>
      <c r="J1156" s="35">
        <f>Tabla1[[#This Row],[P.U. USD]]*Tabla1[[#This Row],[CANTIDADES DE REFERENCIA]]</f>
        <v>0</v>
      </c>
      <c r="K1156" s="36"/>
      <c r="L1156" s="36"/>
      <c r="M1156" s="36"/>
      <c r="N1156" s="37"/>
      <c r="O1156" s="37"/>
      <c r="P1156" s="38"/>
      <c r="Q1156" s="37" t="s">
        <v>2488</v>
      </c>
      <c r="R1156" s="37"/>
      <c r="S1156" s="37" t="s">
        <v>2354</v>
      </c>
      <c r="T1156" s="31"/>
    </row>
    <row r="1157" spans="1:20">
      <c r="A1157" s="31"/>
      <c r="B1157" s="32"/>
      <c r="C1157" s="33"/>
      <c r="D1157" s="32" t="s">
        <v>2489</v>
      </c>
      <c r="E1157" s="33" t="s">
        <v>116</v>
      </c>
      <c r="F1157" s="34">
        <v>1</v>
      </c>
      <c r="G1157" s="35">
        <v>0</v>
      </c>
      <c r="H1157" s="35">
        <v>0</v>
      </c>
      <c r="I1157" s="35">
        <f>Tabla1[[#This Row],[P.U. M.N.]]*Tabla1[[#This Row],[CANTIDADES DE REFERENCIA]]</f>
        <v>0</v>
      </c>
      <c r="J1157" s="35">
        <f>Tabla1[[#This Row],[P.U. USD]]*Tabla1[[#This Row],[CANTIDADES DE REFERENCIA]]</f>
        <v>0</v>
      </c>
      <c r="K1157" s="36"/>
      <c r="L1157" s="36"/>
      <c r="M1157" s="36"/>
      <c r="N1157" s="37"/>
      <c r="O1157" s="37"/>
      <c r="P1157" s="38"/>
      <c r="Q1157" s="37" t="s">
        <v>2490</v>
      </c>
      <c r="R1157" s="37"/>
      <c r="S1157" s="37" t="s">
        <v>2354</v>
      </c>
      <c r="T1157" s="31"/>
    </row>
    <row r="1158" spans="1:20">
      <c r="A1158" s="31"/>
      <c r="B1158" s="32"/>
      <c r="C1158" s="33"/>
      <c r="D1158" s="32" t="s">
        <v>2491</v>
      </c>
      <c r="E1158" s="33" t="s">
        <v>116</v>
      </c>
      <c r="F1158" s="34">
        <v>1</v>
      </c>
      <c r="G1158" s="35">
        <v>0</v>
      </c>
      <c r="H1158" s="35">
        <v>0</v>
      </c>
      <c r="I1158" s="35">
        <f>Tabla1[[#This Row],[P.U. M.N.]]*Tabla1[[#This Row],[CANTIDADES DE REFERENCIA]]</f>
        <v>0</v>
      </c>
      <c r="J1158" s="35">
        <f>Tabla1[[#This Row],[P.U. USD]]*Tabla1[[#This Row],[CANTIDADES DE REFERENCIA]]</f>
        <v>0</v>
      </c>
      <c r="K1158" s="36"/>
      <c r="L1158" s="36"/>
      <c r="M1158" s="36"/>
      <c r="N1158" s="37"/>
      <c r="O1158" s="37"/>
      <c r="P1158" s="38"/>
      <c r="Q1158" s="37" t="s">
        <v>2492</v>
      </c>
      <c r="R1158" s="37"/>
      <c r="S1158" s="37" t="s">
        <v>2354</v>
      </c>
      <c r="T1158" s="31"/>
    </row>
    <row r="1159" spans="1:20">
      <c r="A1159" s="31"/>
      <c r="B1159" s="32"/>
      <c r="C1159" s="33"/>
      <c r="D1159" s="32" t="s">
        <v>2493</v>
      </c>
      <c r="E1159" s="33" t="s">
        <v>116</v>
      </c>
      <c r="F1159" s="34">
        <v>1</v>
      </c>
      <c r="G1159" s="35">
        <v>0</v>
      </c>
      <c r="H1159" s="35">
        <v>0</v>
      </c>
      <c r="I1159" s="35">
        <f>Tabla1[[#This Row],[P.U. M.N.]]*Tabla1[[#This Row],[CANTIDADES DE REFERENCIA]]</f>
        <v>0</v>
      </c>
      <c r="J1159" s="35">
        <f>Tabla1[[#This Row],[P.U. USD]]*Tabla1[[#This Row],[CANTIDADES DE REFERENCIA]]</f>
        <v>0</v>
      </c>
      <c r="K1159" s="36"/>
      <c r="L1159" s="36"/>
      <c r="M1159" s="36"/>
      <c r="N1159" s="37"/>
      <c r="O1159" s="37"/>
      <c r="P1159" s="38"/>
      <c r="Q1159" s="37" t="s">
        <v>2494</v>
      </c>
      <c r="R1159" s="37"/>
      <c r="S1159" s="37" t="s">
        <v>2354</v>
      </c>
      <c r="T1159" s="31"/>
    </row>
    <row r="1160" spans="1:20">
      <c r="A1160" s="31"/>
      <c r="B1160" s="32"/>
      <c r="C1160" s="33"/>
      <c r="D1160" s="32" t="s">
        <v>2495</v>
      </c>
      <c r="E1160" s="33" t="s">
        <v>135</v>
      </c>
      <c r="F1160" s="34">
        <v>1</v>
      </c>
      <c r="G1160" s="35">
        <v>0</v>
      </c>
      <c r="H1160" s="35">
        <v>0</v>
      </c>
      <c r="I1160" s="35">
        <f>Tabla1[[#This Row],[P.U. M.N.]]*Tabla1[[#This Row],[CANTIDADES DE REFERENCIA]]</f>
        <v>0</v>
      </c>
      <c r="J1160" s="35">
        <f>Tabla1[[#This Row],[P.U. USD]]*Tabla1[[#This Row],[CANTIDADES DE REFERENCIA]]</f>
        <v>0</v>
      </c>
      <c r="K1160" s="36"/>
      <c r="L1160" s="36"/>
      <c r="M1160" s="36"/>
      <c r="N1160" s="37"/>
      <c r="O1160" s="37"/>
      <c r="P1160" s="38"/>
      <c r="Q1160" s="37" t="s">
        <v>2496</v>
      </c>
      <c r="R1160" s="37"/>
      <c r="S1160" s="37" t="s">
        <v>2354</v>
      </c>
      <c r="T1160" s="31"/>
    </row>
    <row r="1161" spans="1:20">
      <c r="A1161" s="31"/>
      <c r="B1161" s="32"/>
      <c r="C1161" s="33"/>
      <c r="D1161" s="32" t="s">
        <v>2497</v>
      </c>
      <c r="E1161" s="33" t="s">
        <v>116</v>
      </c>
      <c r="F1161" s="34">
        <v>1</v>
      </c>
      <c r="G1161" s="35">
        <v>0</v>
      </c>
      <c r="H1161" s="35">
        <v>0</v>
      </c>
      <c r="I1161" s="35">
        <f>Tabla1[[#This Row],[P.U. M.N.]]*Tabla1[[#This Row],[CANTIDADES DE REFERENCIA]]</f>
        <v>0</v>
      </c>
      <c r="J1161" s="35">
        <f>Tabla1[[#This Row],[P.U. USD]]*Tabla1[[#This Row],[CANTIDADES DE REFERENCIA]]</f>
        <v>0</v>
      </c>
      <c r="K1161" s="36"/>
      <c r="L1161" s="36"/>
      <c r="M1161" s="36"/>
      <c r="N1161" s="37" t="s">
        <v>62</v>
      </c>
      <c r="O1161" s="37" t="s">
        <v>63</v>
      </c>
      <c r="P1161" s="38"/>
      <c r="Q1161" s="37" t="s">
        <v>2498</v>
      </c>
      <c r="R1161" s="37" t="s">
        <v>58</v>
      </c>
      <c r="S1161" s="37" t="s">
        <v>65</v>
      </c>
      <c r="T1161" s="31"/>
    </row>
    <row r="1162" spans="1:20">
      <c r="A1162" s="31"/>
      <c r="B1162" s="32"/>
      <c r="C1162" s="33"/>
      <c r="D1162" s="32" t="s">
        <v>2499</v>
      </c>
      <c r="E1162" s="33" t="s">
        <v>116</v>
      </c>
      <c r="F1162" s="34">
        <v>1</v>
      </c>
      <c r="G1162" s="35">
        <v>0</v>
      </c>
      <c r="H1162" s="35">
        <v>0</v>
      </c>
      <c r="I1162" s="35">
        <f>Tabla1[[#This Row],[P.U. M.N.]]*Tabla1[[#This Row],[CANTIDADES DE REFERENCIA]]</f>
        <v>0</v>
      </c>
      <c r="J1162" s="35">
        <f>Tabla1[[#This Row],[P.U. USD]]*Tabla1[[#This Row],[CANTIDADES DE REFERENCIA]]</f>
        <v>0</v>
      </c>
      <c r="K1162" s="36"/>
      <c r="L1162" s="36"/>
      <c r="M1162" s="36"/>
      <c r="N1162" s="37" t="s">
        <v>62</v>
      </c>
      <c r="O1162" s="37" t="s">
        <v>63</v>
      </c>
      <c r="P1162" s="38"/>
      <c r="Q1162" s="37" t="s">
        <v>2500</v>
      </c>
      <c r="R1162" s="37" t="s">
        <v>58</v>
      </c>
      <c r="S1162" s="37" t="s">
        <v>65</v>
      </c>
      <c r="T1162" s="31"/>
    </row>
    <row r="1163" spans="1:20">
      <c r="A1163" s="31"/>
      <c r="B1163" s="32"/>
      <c r="C1163" s="33"/>
      <c r="D1163" s="32" t="s">
        <v>2501</v>
      </c>
      <c r="E1163" s="33" t="s">
        <v>116</v>
      </c>
      <c r="F1163" s="34">
        <v>1</v>
      </c>
      <c r="G1163" s="35">
        <v>0</v>
      </c>
      <c r="H1163" s="35">
        <v>0</v>
      </c>
      <c r="I1163" s="35">
        <f>Tabla1[[#This Row],[P.U. M.N.]]*Tabla1[[#This Row],[CANTIDADES DE REFERENCIA]]</f>
        <v>0</v>
      </c>
      <c r="J1163" s="35">
        <f>Tabla1[[#This Row],[P.U. USD]]*Tabla1[[#This Row],[CANTIDADES DE REFERENCIA]]</f>
        <v>0</v>
      </c>
      <c r="K1163" s="36"/>
      <c r="L1163" s="36"/>
      <c r="M1163" s="36"/>
      <c r="N1163" s="37" t="s">
        <v>62</v>
      </c>
      <c r="O1163" s="37" t="s">
        <v>63</v>
      </c>
      <c r="P1163" s="38"/>
      <c r="Q1163" s="37" t="s">
        <v>2502</v>
      </c>
      <c r="R1163" s="37" t="s">
        <v>58</v>
      </c>
      <c r="S1163" s="37" t="s">
        <v>65</v>
      </c>
      <c r="T1163" s="31"/>
    </row>
    <row r="1164" spans="1:20">
      <c r="A1164" s="31"/>
      <c r="B1164" s="32"/>
      <c r="C1164" s="33"/>
      <c r="D1164" s="32" t="s">
        <v>2503</v>
      </c>
      <c r="E1164" s="33" t="s">
        <v>116</v>
      </c>
      <c r="F1164" s="34">
        <v>1</v>
      </c>
      <c r="G1164" s="35">
        <v>0</v>
      </c>
      <c r="H1164" s="35">
        <v>0</v>
      </c>
      <c r="I1164" s="35">
        <f>Tabla1[[#This Row],[P.U. M.N.]]*Tabla1[[#This Row],[CANTIDADES DE REFERENCIA]]</f>
        <v>0</v>
      </c>
      <c r="J1164" s="35">
        <f>Tabla1[[#This Row],[P.U. USD]]*Tabla1[[#This Row],[CANTIDADES DE REFERENCIA]]</f>
        <v>0</v>
      </c>
      <c r="K1164" s="36"/>
      <c r="L1164" s="36"/>
      <c r="M1164" s="36"/>
      <c r="N1164" s="37" t="s">
        <v>62</v>
      </c>
      <c r="O1164" s="37" t="s">
        <v>63</v>
      </c>
      <c r="P1164" s="38"/>
      <c r="Q1164" s="37" t="s">
        <v>2504</v>
      </c>
      <c r="R1164" s="37" t="s">
        <v>58</v>
      </c>
      <c r="S1164" s="37" t="s">
        <v>65</v>
      </c>
      <c r="T1164" s="31"/>
    </row>
    <row r="1165" spans="1:20">
      <c r="A1165" s="31"/>
      <c r="B1165" s="32"/>
      <c r="C1165" s="33"/>
      <c r="D1165" s="32" t="s">
        <v>2505</v>
      </c>
      <c r="E1165" s="33" t="s">
        <v>116</v>
      </c>
      <c r="F1165" s="34">
        <v>1</v>
      </c>
      <c r="G1165" s="35">
        <v>0</v>
      </c>
      <c r="H1165" s="35">
        <v>0</v>
      </c>
      <c r="I1165" s="35">
        <f>Tabla1[[#This Row],[P.U. M.N.]]*Tabla1[[#This Row],[CANTIDADES DE REFERENCIA]]</f>
        <v>0</v>
      </c>
      <c r="J1165" s="35">
        <f>Tabla1[[#This Row],[P.U. USD]]*Tabla1[[#This Row],[CANTIDADES DE REFERENCIA]]</f>
        <v>0</v>
      </c>
      <c r="K1165" s="36"/>
      <c r="L1165" s="36"/>
      <c r="M1165" s="36"/>
      <c r="N1165" s="37" t="s">
        <v>62</v>
      </c>
      <c r="O1165" s="37" t="s">
        <v>63</v>
      </c>
      <c r="P1165" s="38"/>
      <c r="Q1165" s="37" t="s">
        <v>2506</v>
      </c>
      <c r="R1165" s="37" t="s">
        <v>58</v>
      </c>
      <c r="S1165" s="37" t="s">
        <v>65</v>
      </c>
      <c r="T1165" s="31"/>
    </row>
    <row r="1166" spans="1:20">
      <c r="A1166" s="31"/>
      <c r="B1166" s="32"/>
      <c r="C1166" s="33"/>
      <c r="D1166" s="32" t="s">
        <v>2507</v>
      </c>
      <c r="E1166" s="33" t="s">
        <v>42</v>
      </c>
      <c r="F1166" s="34">
        <v>1</v>
      </c>
      <c r="G1166" s="35">
        <v>0</v>
      </c>
      <c r="H1166" s="35">
        <v>0</v>
      </c>
      <c r="I1166" s="35">
        <f>Tabla1[[#This Row],[P.U. M.N.]]*Tabla1[[#This Row],[CANTIDADES DE REFERENCIA]]</f>
        <v>0</v>
      </c>
      <c r="J1166" s="35">
        <f>Tabla1[[#This Row],[P.U. USD]]*Tabla1[[#This Row],[CANTIDADES DE REFERENCIA]]</f>
        <v>0</v>
      </c>
      <c r="K1166" s="36"/>
      <c r="L1166" s="36"/>
      <c r="M1166" s="36"/>
      <c r="N1166" s="37"/>
      <c r="O1166" s="37"/>
      <c r="P1166" s="38"/>
      <c r="Q1166" s="37" t="s">
        <v>2508</v>
      </c>
      <c r="R1166" s="37"/>
      <c r="S1166" s="37" t="s">
        <v>2354</v>
      </c>
      <c r="T1166" s="31"/>
    </row>
    <row r="1167" spans="1:20">
      <c r="A1167" s="31"/>
      <c r="B1167" s="32"/>
      <c r="C1167" s="33"/>
      <c r="D1167" s="32" t="s">
        <v>2509</v>
      </c>
      <c r="E1167" s="33" t="s">
        <v>42</v>
      </c>
      <c r="F1167" s="34">
        <v>1</v>
      </c>
      <c r="G1167" s="35">
        <v>0</v>
      </c>
      <c r="H1167" s="35">
        <v>0</v>
      </c>
      <c r="I1167" s="35">
        <f>Tabla1[[#This Row],[P.U. M.N.]]*Tabla1[[#This Row],[CANTIDADES DE REFERENCIA]]</f>
        <v>0</v>
      </c>
      <c r="J1167" s="35">
        <f>Tabla1[[#This Row],[P.U. USD]]*Tabla1[[#This Row],[CANTIDADES DE REFERENCIA]]</f>
        <v>0</v>
      </c>
      <c r="K1167" s="36"/>
      <c r="L1167" s="36"/>
      <c r="M1167" s="36"/>
      <c r="N1167" s="37"/>
      <c r="O1167" s="37"/>
      <c r="P1167" s="38"/>
      <c r="Q1167" s="37" t="s">
        <v>2510</v>
      </c>
      <c r="R1167" s="37"/>
      <c r="S1167" s="37" t="s">
        <v>2354</v>
      </c>
      <c r="T1167" s="31"/>
    </row>
    <row r="1168" spans="1:20">
      <c r="A1168" s="31"/>
      <c r="B1168" s="32"/>
      <c r="C1168" s="33"/>
      <c r="D1168" s="32" t="s">
        <v>2511</v>
      </c>
      <c r="E1168" s="33" t="s">
        <v>42</v>
      </c>
      <c r="F1168" s="34">
        <v>1</v>
      </c>
      <c r="G1168" s="35">
        <v>0</v>
      </c>
      <c r="H1168" s="35">
        <v>0</v>
      </c>
      <c r="I1168" s="35">
        <f>Tabla1[[#This Row],[P.U. M.N.]]*Tabla1[[#This Row],[CANTIDADES DE REFERENCIA]]</f>
        <v>0</v>
      </c>
      <c r="J1168" s="35">
        <f>Tabla1[[#This Row],[P.U. USD]]*Tabla1[[#This Row],[CANTIDADES DE REFERENCIA]]</f>
        <v>0</v>
      </c>
      <c r="K1168" s="36"/>
      <c r="L1168" s="36"/>
      <c r="M1168" s="36"/>
      <c r="N1168" s="37"/>
      <c r="O1168" s="37"/>
      <c r="P1168" s="38"/>
      <c r="Q1168" s="37" t="s">
        <v>2512</v>
      </c>
      <c r="R1168" s="37"/>
      <c r="S1168" s="37" t="s">
        <v>2354</v>
      </c>
      <c r="T1168" s="31"/>
    </row>
    <row r="1169" spans="1:20">
      <c r="A1169" s="31"/>
      <c r="B1169" s="32"/>
      <c r="C1169" s="33"/>
      <c r="D1169" s="32" t="s">
        <v>2513</v>
      </c>
      <c r="E1169" s="33" t="s">
        <v>42</v>
      </c>
      <c r="F1169" s="34">
        <v>1</v>
      </c>
      <c r="G1169" s="35">
        <v>0</v>
      </c>
      <c r="H1169" s="35">
        <v>0</v>
      </c>
      <c r="I1169" s="35">
        <f>Tabla1[[#This Row],[P.U. M.N.]]*Tabla1[[#This Row],[CANTIDADES DE REFERENCIA]]</f>
        <v>0</v>
      </c>
      <c r="J1169" s="35">
        <f>Tabla1[[#This Row],[P.U. USD]]*Tabla1[[#This Row],[CANTIDADES DE REFERENCIA]]</f>
        <v>0</v>
      </c>
      <c r="K1169" s="36"/>
      <c r="L1169" s="36"/>
      <c r="M1169" s="36"/>
      <c r="N1169" s="37"/>
      <c r="O1169" s="37"/>
      <c r="P1169" s="38"/>
      <c r="Q1169" s="37" t="s">
        <v>2514</v>
      </c>
      <c r="R1169" s="37"/>
      <c r="S1169" s="37" t="s">
        <v>2354</v>
      </c>
      <c r="T1169" s="31"/>
    </row>
    <row r="1170" spans="1:20">
      <c r="A1170" s="31"/>
      <c r="B1170" s="32"/>
      <c r="C1170" s="33"/>
      <c r="D1170" s="32" t="s">
        <v>2515</v>
      </c>
      <c r="E1170" s="33" t="s">
        <v>42</v>
      </c>
      <c r="F1170" s="34">
        <v>1</v>
      </c>
      <c r="G1170" s="35">
        <v>0</v>
      </c>
      <c r="H1170" s="35">
        <v>0</v>
      </c>
      <c r="I1170" s="35">
        <f>Tabla1[[#This Row],[P.U. M.N.]]*Tabla1[[#This Row],[CANTIDADES DE REFERENCIA]]</f>
        <v>0</v>
      </c>
      <c r="J1170" s="35">
        <f>Tabla1[[#This Row],[P.U. USD]]*Tabla1[[#This Row],[CANTIDADES DE REFERENCIA]]</f>
        <v>0</v>
      </c>
      <c r="K1170" s="36"/>
      <c r="L1170" s="36"/>
      <c r="M1170" s="36"/>
      <c r="N1170" s="37"/>
      <c r="O1170" s="37"/>
      <c r="P1170" s="38"/>
      <c r="Q1170" s="37" t="s">
        <v>2516</v>
      </c>
      <c r="R1170" s="37"/>
      <c r="S1170" s="37" t="s">
        <v>2354</v>
      </c>
      <c r="T1170" s="31"/>
    </row>
    <row r="1171" spans="1:20">
      <c r="A1171" s="31"/>
      <c r="B1171" s="32"/>
      <c r="C1171" s="33"/>
      <c r="D1171" s="32" t="s">
        <v>2517</v>
      </c>
      <c r="E1171" s="33" t="s">
        <v>42</v>
      </c>
      <c r="F1171" s="34">
        <v>1</v>
      </c>
      <c r="G1171" s="35">
        <v>0</v>
      </c>
      <c r="H1171" s="35">
        <v>0</v>
      </c>
      <c r="I1171" s="35">
        <f>Tabla1[[#This Row],[P.U. M.N.]]*Tabla1[[#This Row],[CANTIDADES DE REFERENCIA]]</f>
        <v>0</v>
      </c>
      <c r="J1171" s="35">
        <f>Tabla1[[#This Row],[P.U. USD]]*Tabla1[[#This Row],[CANTIDADES DE REFERENCIA]]</f>
        <v>0</v>
      </c>
      <c r="K1171" s="36"/>
      <c r="L1171" s="36"/>
      <c r="M1171" s="36"/>
      <c r="N1171" s="37"/>
      <c r="O1171" s="37"/>
      <c r="P1171" s="38"/>
      <c r="Q1171" s="37" t="s">
        <v>2518</v>
      </c>
      <c r="R1171" s="37"/>
      <c r="S1171" s="37" t="s">
        <v>2354</v>
      </c>
      <c r="T1171" s="31"/>
    </row>
    <row r="1172" spans="1:20">
      <c r="A1172" s="31"/>
      <c r="B1172" s="32"/>
      <c r="C1172" s="33"/>
      <c r="D1172" s="32" t="s">
        <v>2519</v>
      </c>
      <c r="E1172" s="33" t="s">
        <v>42</v>
      </c>
      <c r="F1172" s="34">
        <v>1</v>
      </c>
      <c r="G1172" s="35">
        <v>0</v>
      </c>
      <c r="H1172" s="35">
        <v>0</v>
      </c>
      <c r="I1172" s="35">
        <f>Tabla1[[#This Row],[P.U. M.N.]]*Tabla1[[#This Row],[CANTIDADES DE REFERENCIA]]</f>
        <v>0</v>
      </c>
      <c r="J1172" s="35">
        <f>Tabla1[[#This Row],[P.U. USD]]*Tabla1[[#This Row],[CANTIDADES DE REFERENCIA]]</f>
        <v>0</v>
      </c>
      <c r="K1172" s="36"/>
      <c r="L1172" s="36"/>
      <c r="M1172" s="36"/>
      <c r="N1172" s="37"/>
      <c r="O1172" s="37"/>
      <c r="P1172" s="38"/>
      <c r="Q1172" s="37" t="s">
        <v>2520</v>
      </c>
      <c r="R1172" s="37"/>
      <c r="S1172" s="37" t="s">
        <v>2354</v>
      </c>
      <c r="T1172" s="31"/>
    </row>
    <row r="1173" spans="1:20">
      <c r="A1173" s="31"/>
      <c r="B1173" s="32"/>
      <c r="C1173" s="33"/>
      <c r="D1173" s="32" t="s">
        <v>2521</v>
      </c>
      <c r="E1173" s="33" t="s">
        <v>42</v>
      </c>
      <c r="F1173" s="34">
        <v>1</v>
      </c>
      <c r="G1173" s="35">
        <v>0</v>
      </c>
      <c r="H1173" s="35">
        <v>0</v>
      </c>
      <c r="I1173" s="35">
        <f>Tabla1[[#This Row],[P.U. M.N.]]*Tabla1[[#This Row],[CANTIDADES DE REFERENCIA]]</f>
        <v>0</v>
      </c>
      <c r="J1173" s="35">
        <f>Tabla1[[#This Row],[P.U. USD]]*Tabla1[[#This Row],[CANTIDADES DE REFERENCIA]]</f>
        <v>0</v>
      </c>
      <c r="K1173" s="36"/>
      <c r="L1173" s="36"/>
      <c r="M1173" s="36"/>
      <c r="N1173" s="37"/>
      <c r="O1173" s="37"/>
      <c r="P1173" s="38"/>
      <c r="Q1173" s="37" t="s">
        <v>2522</v>
      </c>
      <c r="R1173" s="37"/>
      <c r="S1173" s="37" t="s">
        <v>2354</v>
      </c>
      <c r="T1173" s="31"/>
    </row>
    <row r="1174" spans="1:20">
      <c r="A1174" s="31"/>
      <c r="B1174" s="32"/>
      <c r="C1174" s="33"/>
      <c r="D1174" s="32" t="s">
        <v>2523</v>
      </c>
      <c r="E1174" s="33" t="s">
        <v>42</v>
      </c>
      <c r="F1174" s="34">
        <v>1</v>
      </c>
      <c r="G1174" s="35">
        <v>0</v>
      </c>
      <c r="H1174" s="35">
        <v>0</v>
      </c>
      <c r="I1174" s="35">
        <f>Tabla1[[#This Row],[P.U. M.N.]]*Tabla1[[#This Row],[CANTIDADES DE REFERENCIA]]</f>
        <v>0</v>
      </c>
      <c r="J1174" s="35">
        <f>Tabla1[[#This Row],[P.U. USD]]*Tabla1[[#This Row],[CANTIDADES DE REFERENCIA]]</f>
        <v>0</v>
      </c>
      <c r="K1174" s="36"/>
      <c r="L1174" s="36"/>
      <c r="M1174" s="36"/>
      <c r="N1174" s="37"/>
      <c r="O1174" s="37"/>
      <c r="P1174" s="38"/>
      <c r="Q1174" s="37" t="s">
        <v>2524</v>
      </c>
      <c r="R1174" s="37"/>
      <c r="S1174" s="37" t="s">
        <v>2354</v>
      </c>
      <c r="T1174" s="31"/>
    </row>
    <row r="1175" spans="1:20">
      <c r="A1175" s="31"/>
      <c r="B1175" s="32"/>
      <c r="C1175" s="33"/>
      <c r="D1175" s="32" t="s">
        <v>2525</v>
      </c>
      <c r="E1175" s="33" t="s">
        <v>42</v>
      </c>
      <c r="F1175" s="34">
        <v>1</v>
      </c>
      <c r="G1175" s="35">
        <v>0</v>
      </c>
      <c r="H1175" s="35">
        <v>0</v>
      </c>
      <c r="I1175" s="35">
        <f>Tabla1[[#This Row],[P.U. M.N.]]*Tabla1[[#This Row],[CANTIDADES DE REFERENCIA]]</f>
        <v>0</v>
      </c>
      <c r="J1175" s="35">
        <f>Tabla1[[#This Row],[P.U. USD]]*Tabla1[[#This Row],[CANTIDADES DE REFERENCIA]]</f>
        <v>0</v>
      </c>
      <c r="K1175" s="36"/>
      <c r="L1175" s="36"/>
      <c r="M1175" s="36"/>
      <c r="N1175" s="37"/>
      <c r="O1175" s="37"/>
      <c r="P1175" s="38"/>
      <c r="Q1175" s="37" t="s">
        <v>2526</v>
      </c>
      <c r="R1175" s="37"/>
      <c r="S1175" s="37" t="s">
        <v>2354</v>
      </c>
      <c r="T1175" s="31"/>
    </row>
    <row r="1176" spans="1:20">
      <c r="A1176" s="31"/>
      <c r="B1176" s="32"/>
      <c r="C1176" s="33"/>
      <c r="D1176" s="32" t="s">
        <v>2527</v>
      </c>
      <c r="E1176" s="33" t="s">
        <v>116</v>
      </c>
      <c r="F1176" s="34">
        <v>1</v>
      </c>
      <c r="G1176" s="35">
        <v>0</v>
      </c>
      <c r="H1176" s="35">
        <v>0</v>
      </c>
      <c r="I1176" s="35">
        <f>Tabla1[[#This Row],[P.U. M.N.]]*Tabla1[[#This Row],[CANTIDADES DE REFERENCIA]]</f>
        <v>0</v>
      </c>
      <c r="J1176" s="35">
        <f>Tabla1[[#This Row],[P.U. USD]]*Tabla1[[#This Row],[CANTIDADES DE REFERENCIA]]</f>
        <v>0</v>
      </c>
      <c r="K1176" s="36"/>
      <c r="L1176" s="36"/>
      <c r="M1176" s="36"/>
      <c r="N1176" s="37"/>
      <c r="O1176" s="37"/>
      <c r="P1176" s="38"/>
      <c r="Q1176" s="37" t="s">
        <v>2528</v>
      </c>
      <c r="R1176" s="37"/>
      <c r="S1176" s="37" t="s">
        <v>2354</v>
      </c>
      <c r="T1176" s="31"/>
    </row>
    <row r="1177" spans="1:20">
      <c r="A1177" s="31"/>
      <c r="B1177" s="32"/>
      <c r="C1177" s="33"/>
      <c r="D1177" s="32" t="s">
        <v>2529</v>
      </c>
      <c r="E1177" s="33" t="s">
        <v>116</v>
      </c>
      <c r="F1177" s="34">
        <v>1</v>
      </c>
      <c r="G1177" s="35">
        <v>0</v>
      </c>
      <c r="H1177" s="35">
        <v>0</v>
      </c>
      <c r="I1177" s="35">
        <f>Tabla1[[#This Row],[P.U. M.N.]]*Tabla1[[#This Row],[CANTIDADES DE REFERENCIA]]</f>
        <v>0</v>
      </c>
      <c r="J1177" s="35">
        <f>Tabla1[[#This Row],[P.U. USD]]*Tabla1[[#This Row],[CANTIDADES DE REFERENCIA]]</f>
        <v>0</v>
      </c>
      <c r="K1177" s="36"/>
      <c r="L1177" s="36"/>
      <c r="M1177" s="36"/>
      <c r="N1177" s="37"/>
      <c r="O1177" s="37"/>
      <c r="P1177" s="38"/>
      <c r="Q1177" s="37" t="s">
        <v>2530</v>
      </c>
      <c r="R1177" s="37"/>
      <c r="S1177" s="37" t="s">
        <v>2354</v>
      </c>
      <c r="T1177" s="31"/>
    </row>
    <row r="1178" spans="1:20">
      <c r="A1178" s="31"/>
      <c r="B1178" s="32"/>
      <c r="C1178" s="33"/>
      <c r="D1178" s="32" t="s">
        <v>2531</v>
      </c>
      <c r="E1178" s="33" t="s">
        <v>116</v>
      </c>
      <c r="F1178" s="34">
        <v>1</v>
      </c>
      <c r="G1178" s="35">
        <v>0</v>
      </c>
      <c r="H1178" s="35">
        <v>0</v>
      </c>
      <c r="I1178" s="35">
        <f>Tabla1[[#This Row],[P.U. M.N.]]*Tabla1[[#This Row],[CANTIDADES DE REFERENCIA]]</f>
        <v>0</v>
      </c>
      <c r="J1178" s="35">
        <f>Tabla1[[#This Row],[P.U. USD]]*Tabla1[[#This Row],[CANTIDADES DE REFERENCIA]]</f>
        <v>0</v>
      </c>
      <c r="K1178" s="36"/>
      <c r="L1178" s="36"/>
      <c r="M1178" s="36"/>
      <c r="N1178" s="37"/>
      <c r="O1178" s="37"/>
      <c r="P1178" s="38"/>
      <c r="Q1178" s="37" t="s">
        <v>2532</v>
      </c>
      <c r="R1178" s="37"/>
      <c r="S1178" s="37" t="s">
        <v>2354</v>
      </c>
      <c r="T1178" s="31"/>
    </row>
    <row r="1179" spans="1:20">
      <c r="A1179" s="31"/>
      <c r="B1179" s="32"/>
      <c r="C1179" s="33"/>
      <c r="D1179" s="32" t="s">
        <v>2533</v>
      </c>
      <c r="E1179" s="33" t="s">
        <v>116</v>
      </c>
      <c r="F1179" s="34">
        <v>1</v>
      </c>
      <c r="G1179" s="35">
        <v>0</v>
      </c>
      <c r="H1179" s="35">
        <v>0</v>
      </c>
      <c r="I1179" s="35">
        <f>Tabla1[[#This Row],[P.U. M.N.]]*Tabla1[[#This Row],[CANTIDADES DE REFERENCIA]]</f>
        <v>0</v>
      </c>
      <c r="J1179" s="35">
        <f>Tabla1[[#This Row],[P.U. USD]]*Tabla1[[#This Row],[CANTIDADES DE REFERENCIA]]</f>
        <v>0</v>
      </c>
      <c r="K1179" s="36"/>
      <c r="L1179" s="36"/>
      <c r="M1179" s="36"/>
      <c r="N1179" s="37"/>
      <c r="O1179" s="37"/>
      <c r="P1179" s="38"/>
      <c r="Q1179" s="37" t="s">
        <v>2534</v>
      </c>
      <c r="R1179" s="37"/>
      <c r="S1179" s="37" t="s">
        <v>2354</v>
      </c>
      <c r="T1179" s="31"/>
    </row>
    <row r="1180" spans="1:20">
      <c r="A1180" s="31"/>
      <c r="B1180" s="32"/>
      <c r="C1180" s="33"/>
      <c r="D1180" s="32" t="s">
        <v>2535</v>
      </c>
      <c r="E1180" s="33" t="s">
        <v>116</v>
      </c>
      <c r="F1180" s="34">
        <v>1</v>
      </c>
      <c r="G1180" s="35">
        <v>0</v>
      </c>
      <c r="H1180" s="35">
        <v>0</v>
      </c>
      <c r="I1180" s="35">
        <f>Tabla1[[#This Row],[P.U. M.N.]]*Tabla1[[#This Row],[CANTIDADES DE REFERENCIA]]</f>
        <v>0</v>
      </c>
      <c r="J1180" s="35">
        <f>Tabla1[[#This Row],[P.U. USD]]*Tabla1[[#This Row],[CANTIDADES DE REFERENCIA]]</f>
        <v>0</v>
      </c>
      <c r="K1180" s="36"/>
      <c r="L1180" s="36"/>
      <c r="M1180" s="36"/>
      <c r="N1180" s="37" t="s">
        <v>89</v>
      </c>
      <c r="O1180" s="37" t="s">
        <v>90</v>
      </c>
      <c r="P1180" s="38"/>
      <c r="Q1180" s="37" t="s">
        <v>2536</v>
      </c>
      <c r="R1180" s="37" t="s">
        <v>58</v>
      </c>
      <c r="S1180" s="37" t="s">
        <v>92</v>
      </c>
      <c r="T1180" s="31"/>
    </row>
    <row r="1181" spans="1:20">
      <c r="A1181" s="31"/>
      <c r="B1181" s="32"/>
      <c r="C1181" s="33"/>
      <c r="D1181" s="32" t="s">
        <v>2537</v>
      </c>
      <c r="E1181" s="33" t="s">
        <v>116</v>
      </c>
      <c r="F1181" s="34">
        <v>1</v>
      </c>
      <c r="G1181" s="35">
        <v>0</v>
      </c>
      <c r="H1181" s="35">
        <v>0</v>
      </c>
      <c r="I1181" s="35">
        <f>Tabla1[[#This Row],[P.U. M.N.]]*Tabla1[[#This Row],[CANTIDADES DE REFERENCIA]]</f>
        <v>0</v>
      </c>
      <c r="J1181" s="35">
        <f>Tabla1[[#This Row],[P.U. USD]]*Tabla1[[#This Row],[CANTIDADES DE REFERENCIA]]</f>
        <v>0</v>
      </c>
      <c r="K1181" s="36"/>
      <c r="L1181" s="36"/>
      <c r="M1181" s="36"/>
      <c r="N1181" s="37" t="s">
        <v>89</v>
      </c>
      <c r="O1181" s="37" t="s">
        <v>90</v>
      </c>
      <c r="P1181" s="38"/>
      <c r="Q1181" s="37" t="s">
        <v>2538</v>
      </c>
      <c r="R1181" s="37" t="s">
        <v>58</v>
      </c>
      <c r="S1181" s="37" t="s">
        <v>92</v>
      </c>
      <c r="T1181" s="31"/>
    </row>
    <row r="1182" spans="1:20">
      <c r="A1182" s="31"/>
      <c r="B1182" s="32"/>
      <c r="C1182" s="33"/>
      <c r="D1182" s="32" t="s">
        <v>2539</v>
      </c>
      <c r="E1182" s="33" t="s">
        <v>116</v>
      </c>
      <c r="F1182" s="34">
        <v>1</v>
      </c>
      <c r="G1182" s="35">
        <v>0</v>
      </c>
      <c r="H1182" s="35">
        <v>0</v>
      </c>
      <c r="I1182" s="35">
        <f>Tabla1[[#This Row],[P.U. M.N.]]*Tabla1[[#This Row],[CANTIDADES DE REFERENCIA]]</f>
        <v>0</v>
      </c>
      <c r="J1182" s="35">
        <f>Tabla1[[#This Row],[P.U. USD]]*Tabla1[[#This Row],[CANTIDADES DE REFERENCIA]]</f>
        <v>0</v>
      </c>
      <c r="K1182" s="36"/>
      <c r="L1182" s="36"/>
      <c r="M1182" s="36"/>
      <c r="N1182" s="37" t="s">
        <v>89</v>
      </c>
      <c r="O1182" s="37" t="s">
        <v>90</v>
      </c>
      <c r="P1182" s="38"/>
      <c r="Q1182" s="37" t="s">
        <v>2540</v>
      </c>
      <c r="R1182" s="37" t="s">
        <v>58</v>
      </c>
      <c r="S1182" s="37" t="s">
        <v>92</v>
      </c>
      <c r="T1182" s="31"/>
    </row>
    <row r="1183" spans="1:20">
      <c r="A1183" s="31"/>
      <c r="B1183" s="32"/>
      <c r="C1183" s="33"/>
      <c r="D1183" s="32" t="s">
        <v>2541</v>
      </c>
      <c r="E1183" s="33" t="s">
        <v>54</v>
      </c>
      <c r="F1183" s="34">
        <v>1</v>
      </c>
      <c r="G1183" s="35">
        <v>0</v>
      </c>
      <c r="H1183" s="35">
        <v>0</v>
      </c>
      <c r="I1183" s="35">
        <f>Tabla1[[#This Row],[P.U. M.N.]]*Tabla1[[#This Row],[CANTIDADES DE REFERENCIA]]</f>
        <v>0</v>
      </c>
      <c r="J1183" s="35">
        <f>Tabla1[[#This Row],[P.U. USD]]*Tabla1[[#This Row],[CANTIDADES DE REFERENCIA]]</f>
        <v>0</v>
      </c>
      <c r="K1183" s="36"/>
      <c r="L1183" s="36"/>
      <c r="M1183" s="36"/>
      <c r="N1183" s="37" t="s">
        <v>89</v>
      </c>
      <c r="O1183" s="37" t="s">
        <v>90</v>
      </c>
      <c r="P1183" s="38"/>
      <c r="Q1183" s="37" t="s">
        <v>2542</v>
      </c>
      <c r="R1183" s="37" t="s">
        <v>58</v>
      </c>
      <c r="S1183" s="37" t="s">
        <v>92</v>
      </c>
      <c r="T1183" s="31"/>
    </row>
    <row r="1184" spans="1:20">
      <c r="A1184" s="31"/>
      <c r="B1184" s="32"/>
      <c r="C1184" s="33"/>
      <c r="D1184" s="32" t="s">
        <v>2543</v>
      </c>
      <c r="E1184" s="33" t="s">
        <v>116</v>
      </c>
      <c r="F1184" s="34">
        <v>1</v>
      </c>
      <c r="G1184" s="35">
        <v>0</v>
      </c>
      <c r="H1184" s="35">
        <v>0</v>
      </c>
      <c r="I1184" s="35">
        <f>Tabla1[[#This Row],[P.U. M.N.]]*Tabla1[[#This Row],[CANTIDADES DE REFERENCIA]]</f>
        <v>0</v>
      </c>
      <c r="J1184" s="35">
        <f>Tabla1[[#This Row],[P.U. USD]]*Tabla1[[#This Row],[CANTIDADES DE REFERENCIA]]</f>
        <v>0</v>
      </c>
      <c r="K1184" s="36"/>
      <c r="L1184" s="36"/>
      <c r="M1184" s="36"/>
      <c r="N1184" s="37" t="s">
        <v>89</v>
      </c>
      <c r="O1184" s="37" t="s">
        <v>90</v>
      </c>
      <c r="P1184" s="38"/>
      <c r="Q1184" s="37" t="s">
        <v>2544</v>
      </c>
      <c r="R1184" s="37" t="s">
        <v>58</v>
      </c>
      <c r="S1184" s="37" t="s">
        <v>92</v>
      </c>
      <c r="T1184" s="31"/>
    </row>
    <row r="1185" spans="1:20">
      <c r="A1185" s="31"/>
      <c r="B1185" s="32"/>
      <c r="C1185" s="33"/>
      <c r="D1185" s="32" t="s">
        <v>2545</v>
      </c>
      <c r="E1185" s="33" t="s">
        <v>135</v>
      </c>
      <c r="F1185" s="34">
        <v>1</v>
      </c>
      <c r="G1185" s="35">
        <v>0</v>
      </c>
      <c r="H1185" s="35">
        <v>0</v>
      </c>
      <c r="I1185" s="35">
        <f>Tabla1[[#This Row],[P.U. M.N.]]*Tabla1[[#This Row],[CANTIDADES DE REFERENCIA]]</f>
        <v>0</v>
      </c>
      <c r="J1185" s="35">
        <f>Tabla1[[#This Row],[P.U. USD]]*Tabla1[[#This Row],[CANTIDADES DE REFERENCIA]]</f>
        <v>0</v>
      </c>
      <c r="K1185" s="36"/>
      <c r="L1185" s="36"/>
      <c r="M1185" s="36"/>
      <c r="N1185" s="37" t="s">
        <v>89</v>
      </c>
      <c r="O1185" s="37" t="s">
        <v>90</v>
      </c>
      <c r="P1185" s="38"/>
      <c r="Q1185" s="37" t="s">
        <v>2546</v>
      </c>
      <c r="R1185" s="37" t="s">
        <v>58</v>
      </c>
      <c r="S1185" s="37" t="s">
        <v>92</v>
      </c>
      <c r="T1185" s="31"/>
    </row>
    <row r="1186" spans="1:20">
      <c r="A1186" s="31"/>
      <c r="B1186" s="32"/>
      <c r="C1186" s="33"/>
      <c r="D1186" s="32" t="s">
        <v>2547</v>
      </c>
      <c r="E1186" s="33" t="s">
        <v>135</v>
      </c>
      <c r="F1186" s="34">
        <v>1</v>
      </c>
      <c r="G1186" s="35">
        <v>0</v>
      </c>
      <c r="H1186" s="35">
        <v>0</v>
      </c>
      <c r="I1186" s="35">
        <f>Tabla1[[#This Row],[P.U. M.N.]]*Tabla1[[#This Row],[CANTIDADES DE REFERENCIA]]</f>
        <v>0</v>
      </c>
      <c r="J1186" s="35">
        <f>Tabla1[[#This Row],[P.U. USD]]*Tabla1[[#This Row],[CANTIDADES DE REFERENCIA]]</f>
        <v>0</v>
      </c>
      <c r="K1186" s="36"/>
      <c r="L1186" s="36"/>
      <c r="M1186" s="36"/>
      <c r="N1186" s="37" t="s">
        <v>89</v>
      </c>
      <c r="O1186" s="37" t="s">
        <v>90</v>
      </c>
      <c r="P1186" s="38"/>
      <c r="Q1186" s="37" t="s">
        <v>2548</v>
      </c>
      <c r="R1186" s="37" t="s">
        <v>58</v>
      </c>
      <c r="S1186" s="37" t="s">
        <v>92</v>
      </c>
      <c r="T1186" s="31"/>
    </row>
    <row r="1187" spans="1:20">
      <c r="A1187" s="31"/>
      <c r="B1187" s="32"/>
      <c r="C1187" s="33"/>
      <c r="D1187" s="32" t="s">
        <v>2549</v>
      </c>
      <c r="E1187" s="33" t="s">
        <v>135</v>
      </c>
      <c r="F1187" s="34">
        <v>1</v>
      </c>
      <c r="G1187" s="35">
        <v>0</v>
      </c>
      <c r="H1187" s="35">
        <v>0</v>
      </c>
      <c r="I1187" s="35">
        <f>Tabla1[[#This Row],[P.U. M.N.]]*Tabla1[[#This Row],[CANTIDADES DE REFERENCIA]]</f>
        <v>0</v>
      </c>
      <c r="J1187" s="35">
        <f>Tabla1[[#This Row],[P.U. USD]]*Tabla1[[#This Row],[CANTIDADES DE REFERENCIA]]</f>
        <v>0</v>
      </c>
      <c r="K1187" s="36"/>
      <c r="L1187" s="36"/>
      <c r="M1187" s="36"/>
      <c r="N1187" s="37" t="s">
        <v>89</v>
      </c>
      <c r="O1187" s="37" t="s">
        <v>90</v>
      </c>
      <c r="P1187" s="38"/>
      <c r="Q1187" s="37" t="s">
        <v>2550</v>
      </c>
      <c r="R1187" s="37" t="s">
        <v>58</v>
      </c>
      <c r="S1187" s="37" t="s">
        <v>92</v>
      </c>
      <c r="T1187" s="31"/>
    </row>
    <row r="1188" spans="1:20">
      <c r="A1188" s="31"/>
      <c r="B1188" s="32"/>
      <c r="C1188" s="33"/>
      <c r="D1188" s="32" t="s">
        <v>2551</v>
      </c>
      <c r="E1188" s="33" t="s">
        <v>135</v>
      </c>
      <c r="F1188" s="34">
        <v>1</v>
      </c>
      <c r="G1188" s="35">
        <v>0</v>
      </c>
      <c r="H1188" s="35">
        <v>0</v>
      </c>
      <c r="I1188" s="35">
        <f>Tabla1[[#This Row],[P.U. M.N.]]*Tabla1[[#This Row],[CANTIDADES DE REFERENCIA]]</f>
        <v>0</v>
      </c>
      <c r="J1188" s="35">
        <f>Tabla1[[#This Row],[P.U. USD]]*Tabla1[[#This Row],[CANTIDADES DE REFERENCIA]]</f>
        <v>0</v>
      </c>
      <c r="K1188" s="36"/>
      <c r="L1188" s="36"/>
      <c r="M1188" s="36"/>
      <c r="N1188" s="37" t="s">
        <v>89</v>
      </c>
      <c r="O1188" s="37" t="s">
        <v>90</v>
      </c>
      <c r="P1188" s="38"/>
      <c r="Q1188" s="37" t="s">
        <v>2552</v>
      </c>
      <c r="R1188" s="37" t="s">
        <v>58</v>
      </c>
      <c r="S1188" s="37" t="s">
        <v>92</v>
      </c>
      <c r="T1188" s="31"/>
    </row>
    <row r="1189" spans="1:20">
      <c r="A1189" s="31"/>
      <c r="B1189" s="32"/>
      <c r="C1189" s="33"/>
      <c r="D1189" s="32" t="s">
        <v>2553</v>
      </c>
      <c r="E1189" s="33" t="s">
        <v>135</v>
      </c>
      <c r="F1189" s="34">
        <v>1</v>
      </c>
      <c r="G1189" s="35">
        <v>0</v>
      </c>
      <c r="H1189" s="35">
        <v>0</v>
      </c>
      <c r="I1189" s="35">
        <f>Tabla1[[#This Row],[P.U. M.N.]]*Tabla1[[#This Row],[CANTIDADES DE REFERENCIA]]</f>
        <v>0</v>
      </c>
      <c r="J1189" s="35">
        <f>Tabla1[[#This Row],[P.U. USD]]*Tabla1[[#This Row],[CANTIDADES DE REFERENCIA]]</f>
        <v>0</v>
      </c>
      <c r="K1189" s="36"/>
      <c r="L1189" s="36"/>
      <c r="M1189" s="36"/>
      <c r="N1189" s="37" t="s">
        <v>89</v>
      </c>
      <c r="O1189" s="37" t="s">
        <v>90</v>
      </c>
      <c r="P1189" s="38"/>
      <c r="Q1189" s="37" t="s">
        <v>2554</v>
      </c>
      <c r="R1189" s="37" t="s">
        <v>58</v>
      </c>
      <c r="S1189" s="37" t="s">
        <v>92</v>
      </c>
      <c r="T1189" s="31"/>
    </row>
    <row r="1190" spans="1:20">
      <c r="A1190" s="31"/>
      <c r="B1190" s="32"/>
      <c r="C1190" s="33"/>
      <c r="D1190" s="32" t="s">
        <v>2555</v>
      </c>
      <c r="E1190" s="33" t="s">
        <v>116</v>
      </c>
      <c r="F1190" s="34">
        <v>1</v>
      </c>
      <c r="G1190" s="35">
        <v>0</v>
      </c>
      <c r="H1190" s="35">
        <v>0</v>
      </c>
      <c r="I1190" s="35">
        <f>Tabla1[[#This Row],[P.U. M.N.]]*Tabla1[[#This Row],[CANTIDADES DE REFERENCIA]]</f>
        <v>0</v>
      </c>
      <c r="J1190" s="35">
        <f>Tabla1[[#This Row],[P.U. USD]]*Tabla1[[#This Row],[CANTIDADES DE REFERENCIA]]</f>
        <v>0</v>
      </c>
      <c r="K1190" s="36"/>
      <c r="L1190" s="36"/>
      <c r="M1190" s="36"/>
      <c r="N1190" s="37" t="s">
        <v>89</v>
      </c>
      <c r="O1190" s="37" t="s">
        <v>90</v>
      </c>
      <c r="P1190" s="38"/>
      <c r="Q1190" s="37" t="s">
        <v>2556</v>
      </c>
      <c r="R1190" s="37" t="s">
        <v>58</v>
      </c>
      <c r="S1190" s="37" t="s">
        <v>92</v>
      </c>
      <c r="T1190" s="31"/>
    </row>
    <row r="1191" spans="1:20">
      <c r="A1191" s="31"/>
      <c r="B1191" s="32"/>
      <c r="C1191" s="33"/>
      <c r="D1191" s="32" t="s">
        <v>2557</v>
      </c>
      <c r="E1191" s="33" t="s">
        <v>116</v>
      </c>
      <c r="F1191" s="34">
        <v>1</v>
      </c>
      <c r="G1191" s="35">
        <v>0</v>
      </c>
      <c r="H1191" s="35">
        <v>0</v>
      </c>
      <c r="I1191" s="35">
        <f>Tabla1[[#This Row],[P.U. M.N.]]*Tabla1[[#This Row],[CANTIDADES DE REFERENCIA]]</f>
        <v>0</v>
      </c>
      <c r="J1191" s="35">
        <f>Tabla1[[#This Row],[P.U. USD]]*Tabla1[[#This Row],[CANTIDADES DE REFERENCIA]]</f>
        <v>0</v>
      </c>
      <c r="K1191" s="36"/>
      <c r="L1191" s="36"/>
      <c r="M1191" s="36"/>
      <c r="N1191" s="37" t="s">
        <v>89</v>
      </c>
      <c r="O1191" s="37" t="s">
        <v>90</v>
      </c>
      <c r="P1191" s="38"/>
      <c r="Q1191" s="37" t="s">
        <v>2558</v>
      </c>
      <c r="R1191" s="37" t="s">
        <v>58</v>
      </c>
      <c r="S1191" s="37" t="s">
        <v>92</v>
      </c>
      <c r="T1191" s="31"/>
    </row>
    <row r="1192" spans="1:20">
      <c r="A1192" s="31"/>
      <c r="B1192" s="32"/>
      <c r="C1192" s="33"/>
      <c r="D1192" s="32" t="s">
        <v>2559</v>
      </c>
      <c r="E1192" s="33" t="s">
        <v>116</v>
      </c>
      <c r="F1192" s="34">
        <v>1</v>
      </c>
      <c r="G1192" s="35">
        <v>0</v>
      </c>
      <c r="H1192" s="35">
        <v>0</v>
      </c>
      <c r="I1192" s="35">
        <f>Tabla1[[#This Row],[P.U. M.N.]]*Tabla1[[#This Row],[CANTIDADES DE REFERENCIA]]</f>
        <v>0</v>
      </c>
      <c r="J1192" s="35">
        <f>Tabla1[[#This Row],[P.U. USD]]*Tabla1[[#This Row],[CANTIDADES DE REFERENCIA]]</f>
        <v>0</v>
      </c>
      <c r="K1192" s="36"/>
      <c r="L1192" s="36"/>
      <c r="M1192" s="36"/>
      <c r="N1192" s="37" t="s">
        <v>89</v>
      </c>
      <c r="O1192" s="37" t="s">
        <v>90</v>
      </c>
      <c r="P1192" s="38"/>
      <c r="Q1192" s="37" t="s">
        <v>2560</v>
      </c>
      <c r="R1192" s="37" t="s">
        <v>58</v>
      </c>
      <c r="S1192" s="37" t="s">
        <v>92</v>
      </c>
      <c r="T1192" s="31"/>
    </row>
    <row r="1193" spans="1:20">
      <c r="A1193" s="31"/>
      <c r="B1193" s="32"/>
      <c r="C1193" s="33"/>
      <c r="D1193" s="32" t="s">
        <v>2561</v>
      </c>
      <c r="E1193" s="33" t="s">
        <v>116</v>
      </c>
      <c r="F1193" s="34">
        <v>1</v>
      </c>
      <c r="G1193" s="35">
        <v>0</v>
      </c>
      <c r="H1193" s="35">
        <v>0</v>
      </c>
      <c r="I1193" s="35">
        <f>Tabla1[[#This Row],[P.U. M.N.]]*Tabla1[[#This Row],[CANTIDADES DE REFERENCIA]]</f>
        <v>0</v>
      </c>
      <c r="J1193" s="35">
        <f>Tabla1[[#This Row],[P.U. USD]]*Tabla1[[#This Row],[CANTIDADES DE REFERENCIA]]</f>
        <v>0</v>
      </c>
      <c r="K1193" s="36"/>
      <c r="L1193" s="36"/>
      <c r="M1193" s="36"/>
      <c r="N1193" s="37" t="s">
        <v>89</v>
      </c>
      <c r="O1193" s="37" t="s">
        <v>90</v>
      </c>
      <c r="P1193" s="38"/>
      <c r="Q1193" s="37" t="s">
        <v>2562</v>
      </c>
      <c r="R1193" s="37" t="s">
        <v>58</v>
      </c>
      <c r="S1193" s="37" t="s">
        <v>92</v>
      </c>
      <c r="T1193" s="31"/>
    </row>
    <row r="1194" spans="1:20">
      <c r="A1194" s="31"/>
      <c r="B1194" s="32"/>
      <c r="C1194" s="33"/>
      <c r="D1194" s="32" t="s">
        <v>2563</v>
      </c>
      <c r="E1194" s="33" t="s">
        <v>116</v>
      </c>
      <c r="F1194" s="34">
        <v>1</v>
      </c>
      <c r="G1194" s="35">
        <v>0</v>
      </c>
      <c r="H1194" s="35">
        <v>0</v>
      </c>
      <c r="I1194" s="35">
        <f>Tabla1[[#This Row],[P.U. M.N.]]*Tabla1[[#This Row],[CANTIDADES DE REFERENCIA]]</f>
        <v>0</v>
      </c>
      <c r="J1194" s="35">
        <f>Tabla1[[#This Row],[P.U. USD]]*Tabla1[[#This Row],[CANTIDADES DE REFERENCIA]]</f>
        <v>0</v>
      </c>
      <c r="K1194" s="36"/>
      <c r="L1194" s="36"/>
      <c r="M1194" s="36"/>
      <c r="N1194" s="37" t="s">
        <v>89</v>
      </c>
      <c r="O1194" s="37" t="s">
        <v>90</v>
      </c>
      <c r="P1194" s="38"/>
      <c r="Q1194" s="37" t="s">
        <v>2564</v>
      </c>
      <c r="R1194" s="37" t="s">
        <v>58</v>
      </c>
      <c r="S1194" s="37" t="s">
        <v>92</v>
      </c>
      <c r="T1194" s="31"/>
    </row>
    <row r="1195" spans="1:20">
      <c r="A1195" s="31"/>
      <c r="B1195" s="32"/>
      <c r="C1195" s="33"/>
      <c r="D1195" s="32" t="s">
        <v>2565</v>
      </c>
      <c r="E1195" s="33" t="s">
        <v>116</v>
      </c>
      <c r="F1195" s="34">
        <v>1</v>
      </c>
      <c r="G1195" s="35">
        <v>0</v>
      </c>
      <c r="H1195" s="35">
        <v>0</v>
      </c>
      <c r="I1195" s="35">
        <f>Tabla1[[#This Row],[P.U. M.N.]]*Tabla1[[#This Row],[CANTIDADES DE REFERENCIA]]</f>
        <v>0</v>
      </c>
      <c r="J1195" s="35">
        <f>Tabla1[[#This Row],[P.U. USD]]*Tabla1[[#This Row],[CANTIDADES DE REFERENCIA]]</f>
        <v>0</v>
      </c>
      <c r="K1195" s="36"/>
      <c r="L1195" s="36"/>
      <c r="M1195" s="36"/>
      <c r="N1195" s="37" t="s">
        <v>89</v>
      </c>
      <c r="O1195" s="37" t="s">
        <v>90</v>
      </c>
      <c r="P1195" s="38"/>
      <c r="Q1195" s="37" t="s">
        <v>2566</v>
      </c>
      <c r="R1195" s="37" t="s">
        <v>58</v>
      </c>
      <c r="S1195" s="37" t="s">
        <v>92</v>
      </c>
      <c r="T1195" s="31"/>
    </row>
    <row r="1196" spans="1:20">
      <c r="A1196" s="31"/>
      <c r="B1196" s="32"/>
      <c r="C1196" s="33"/>
      <c r="D1196" s="32" t="s">
        <v>2567</v>
      </c>
      <c r="E1196" s="33" t="s">
        <v>116</v>
      </c>
      <c r="F1196" s="34">
        <v>1</v>
      </c>
      <c r="G1196" s="35">
        <v>0</v>
      </c>
      <c r="H1196" s="35">
        <v>0</v>
      </c>
      <c r="I1196" s="35">
        <f>Tabla1[[#This Row],[P.U. M.N.]]*Tabla1[[#This Row],[CANTIDADES DE REFERENCIA]]</f>
        <v>0</v>
      </c>
      <c r="J1196" s="35">
        <f>Tabla1[[#This Row],[P.U. USD]]*Tabla1[[#This Row],[CANTIDADES DE REFERENCIA]]</f>
        <v>0</v>
      </c>
      <c r="K1196" s="36"/>
      <c r="L1196" s="36"/>
      <c r="M1196" s="36"/>
      <c r="N1196" s="37" t="s">
        <v>89</v>
      </c>
      <c r="O1196" s="37" t="s">
        <v>90</v>
      </c>
      <c r="P1196" s="38"/>
      <c r="Q1196" s="37" t="s">
        <v>2568</v>
      </c>
      <c r="R1196" s="37" t="s">
        <v>58</v>
      </c>
      <c r="S1196" s="37" t="s">
        <v>92</v>
      </c>
      <c r="T1196" s="31"/>
    </row>
    <row r="1197" spans="1:20">
      <c r="A1197" s="31"/>
      <c r="B1197" s="32"/>
      <c r="C1197" s="33"/>
      <c r="D1197" s="32" t="s">
        <v>2569</v>
      </c>
      <c r="E1197" s="33" t="s">
        <v>116</v>
      </c>
      <c r="F1197" s="34">
        <v>1</v>
      </c>
      <c r="G1197" s="35">
        <v>0</v>
      </c>
      <c r="H1197" s="35">
        <v>0</v>
      </c>
      <c r="I1197" s="35">
        <f>Tabla1[[#This Row],[P.U. M.N.]]*Tabla1[[#This Row],[CANTIDADES DE REFERENCIA]]</f>
        <v>0</v>
      </c>
      <c r="J1197" s="35">
        <f>Tabla1[[#This Row],[P.U. USD]]*Tabla1[[#This Row],[CANTIDADES DE REFERENCIA]]</f>
        <v>0</v>
      </c>
      <c r="K1197" s="36"/>
      <c r="L1197" s="36"/>
      <c r="M1197" s="36"/>
      <c r="N1197" s="37" t="s">
        <v>89</v>
      </c>
      <c r="O1197" s="37" t="s">
        <v>90</v>
      </c>
      <c r="P1197" s="38"/>
      <c r="Q1197" s="37" t="s">
        <v>2570</v>
      </c>
      <c r="R1197" s="37" t="s">
        <v>58</v>
      </c>
      <c r="S1197" s="37" t="s">
        <v>92</v>
      </c>
      <c r="T1197" s="31"/>
    </row>
    <row r="1198" spans="1:20">
      <c r="A1198" s="31"/>
      <c r="B1198" s="32"/>
      <c r="C1198" s="33"/>
      <c r="D1198" s="32" t="s">
        <v>2571</v>
      </c>
      <c r="E1198" s="33" t="s">
        <v>116</v>
      </c>
      <c r="F1198" s="34">
        <v>1</v>
      </c>
      <c r="G1198" s="35">
        <v>0</v>
      </c>
      <c r="H1198" s="35">
        <v>0</v>
      </c>
      <c r="I1198" s="35">
        <f>Tabla1[[#This Row],[P.U. M.N.]]*Tabla1[[#This Row],[CANTIDADES DE REFERENCIA]]</f>
        <v>0</v>
      </c>
      <c r="J1198" s="35">
        <f>Tabla1[[#This Row],[P.U. USD]]*Tabla1[[#This Row],[CANTIDADES DE REFERENCIA]]</f>
        <v>0</v>
      </c>
      <c r="K1198" s="36"/>
      <c r="L1198" s="36"/>
      <c r="M1198" s="36"/>
      <c r="N1198" s="37" t="s">
        <v>89</v>
      </c>
      <c r="O1198" s="37" t="s">
        <v>90</v>
      </c>
      <c r="P1198" s="38"/>
      <c r="Q1198" s="37" t="s">
        <v>2572</v>
      </c>
      <c r="R1198" s="37" t="s">
        <v>58</v>
      </c>
      <c r="S1198" s="37" t="s">
        <v>92</v>
      </c>
      <c r="T1198" s="31"/>
    </row>
    <row r="1199" spans="1:20">
      <c r="A1199" s="31"/>
      <c r="B1199" s="32"/>
      <c r="C1199" s="33"/>
      <c r="D1199" s="32" t="s">
        <v>2573</v>
      </c>
      <c r="E1199" s="33" t="s">
        <v>116</v>
      </c>
      <c r="F1199" s="34">
        <v>1</v>
      </c>
      <c r="G1199" s="35">
        <v>0</v>
      </c>
      <c r="H1199" s="35">
        <v>0</v>
      </c>
      <c r="I1199" s="35">
        <f>Tabla1[[#This Row],[P.U. M.N.]]*Tabla1[[#This Row],[CANTIDADES DE REFERENCIA]]</f>
        <v>0</v>
      </c>
      <c r="J1199" s="35">
        <f>Tabla1[[#This Row],[P.U. USD]]*Tabla1[[#This Row],[CANTIDADES DE REFERENCIA]]</f>
        <v>0</v>
      </c>
      <c r="K1199" s="36"/>
      <c r="L1199" s="36"/>
      <c r="M1199" s="36"/>
      <c r="N1199" s="37" t="s">
        <v>89</v>
      </c>
      <c r="O1199" s="37" t="s">
        <v>90</v>
      </c>
      <c r="P1199" s="38"/>
      <c r="Q1199" s="37" t="s">
        <v>2574</v>
      </c>
      <c r="R1199" s="37" t="s">
        <v>58</v>
      </c>
      <c r="S1199" s="37" t="s">
        <v>92</v>
      </c>
      <c r="T1199" s="31"/>
    </row>
    <row r="1200" spans="1:20">
      <c r="A1200" s="31"/>
      <c r="B1200" s="32"/>
      <c r="C1200" s="33"/>
      <c r="D1200" s="32" t="s">
        <v>2575</v>
      </c>
      <c r="E1200" s="33" t="s">
        <v>135</v>
      </c>
      <c r="F1200" s="34">
        <v>1</v>
      </c>
      <c r="G1200" s="35">
        <v>0</v>
      </c>
      <c r="H1200" s="35">
        <v>0</v>
      </c>
      <c r="I1200" s="35">
        <f>Tabla1[[#This Row],[P.U. M.N.]]*Tabla1[[#This Row],[CANTIDADES DE REFERENCIA]]</f>
        <v>0</v>
      </c>
      <c r="J1200" s="35">
        <f>Tabla1[[#This Row],[P.U. USD]]*Tabla1[[#This Row],[CANTIDADES DE REFERENCIA]]</f>
        <v>0</v>
      </c>
      <c r="K1200" s="36"/>
      <c r="L1200" s="36"/>
      <c r="M1200" s="36"/>
      <c r="N1200" s="37" t="s">
        <v>89</v>
      </c>
      <c r="O1200" s="37" t="s">
        <v>90</v>
      </c>
      <c r="P1200" s="38"/>
      <c r="Q1200" s="37" t="s">
        <v>2576</v>
      </c>
      <c r="R1200" s="37" t="s">
        <v>58</v>
      </c>
      <c r="S1200" s="37" t="s">
        <v>92</v>
      </c>
      <c r="T1200" s="31"/>
    </row>
    <row r="1201" spans="1:20">
      <c r="A1201" s="31"/>
      <c r="B1201" s="32"/>
      <c r="C1201" s="33"/>
      <c r="D1201" s="32" t="s">
        <v>2577</v>
      </c>
      <c r="E1201" s="33" t="s">
        <v>135</v>
      </c>
      <c r="F1201" s="34">
        <v>1</v>
      </c>
      <c r="G1201" s="35">
        <v>0</v>
      </c>
      <c r="H1201" s="35">
        <v>0</v>
      </c>
      <c r="I1201" s="35">
        <f>Tabla1[[#This Row],[P.U. M.N.]]*Tabla1[[#This Row],[CANTIDADES DE REFERENCIA]]</f>
        <v>0</v>
      </c>
      <c r="J1201" s="35">
        <f>Tabla1[[#This Row],[P.U. USD]]*Tabla1[[#This Row],[CANTIDADES DE REFERENCIA]]</f>
        <v>0</v>
      </c>
      <c r="K1201" s="36"/>
      <c r="L1201" s="36"/>
      <c r="M1201" s="36"/>
      <c r="N1201" s="37" t="s">
        <v>89</v>
      </c>
      <c r="O1201" s="37" t="s">
        <v>90</v>
      </c>
      <c r="P1201" s="38"/>
      <c r="Q1201" s="37" t="s">
        <v>2578</v>
      </c>
      <c r="R1201" s="37" t="s">
        <v>58</v>
      </c>
      <c r="S1201" s="37" t="s">
        <v>92</v>
      </c>
      <c r="T1201" s="31"/>
    </row>
    <row r="1202" spans="1:20">
      <c r="A1202" s="31"/>
      <c r="B1202" s="32"/>
      <c r="C1202" s="33"/>
      <c r="D1202" s="32" t="s">
        <v>2579</v>
      </c>
      <c r="E1202" s="33" t="s">
        <v>116</v>
      </c>
      <c r="F1202" s="34">
        <v>1</v>
      </c>
      <c r="G1202" s="35">
        <v>0</v>
      </c>
      <c r="H1202" s="35">
        <v>0</v>
      </c>
      <c r="I1202" s="35">
        <f>Tabla1[[#This Row],[P.U. M.N.]]*Tabla1[[#This Row],[CANTIDADES DE REFERENCIA]]</f>
        <v>0</v>
      </c>
      <c r="J1202" s="35">
        <f>Tabla1[[#This Row],[P.U. USD]]*Tabla1[[#This Row],[CANTIDADES DE REFERENCIA]]</f>
        <v>0</v>
      </c>
      <c r="K1202" s="36"/>
      <c r="L1202" s="36"/>
      <c r="M1202" s="36"/>
      <c r="N1202" s="37" t="s">
        <v>89</v>
      </c>
      <c r="O1202" s="37" t="s">
        <v>90</v>
      </c>
      <c r="P1202" s="38"/>
      <c r="Q1202" s="37" t="s">
        <v>2580</v>
      </c>
      <c r="R1202" s="37" t="s">
        <v>58</v>
      </c>
      <c r="S1202" s="37" t="s">
        <v>92</v>
      </c>
      <c r="T1202" s="31"/>
    </row>
    <row r="1203" spans="1:20">
      <c r="A1203" s="31"/>
      <c r="B1203" s="32"/>
      <c r="C1203" s="33"/>
      <c r="D1203" s="32" t="s">
        <v>2581</v>
      </c>
      <c r="E1203" s="33" t="s">
        <v>116</v>
      </c>
      <c r="F1203" s="34">
        <v>1</v>
      </c>
      <c r="G1203" s="35">
        <v>0</v>
      </c>
      <c r="H1203" s="35">
        <v>0</v>
      </c>
      <c r="I1203" s="35">
        <f>Tabla1[[#This Row],[P.U. M.N.]]*Tabla1[[#This Row],[CANTIDADES DE REFERENCIA]]</f>
        <v>0</v>
      </c>
      <c r="J1203" s="35">
        <f>Tabla1[[#This Row],[P.U. USD]]*Tabla1[[#This Row],[CANTIDADES DE REFERENCIA]]</f>
        <v>0</v>
      </c>
      <c r="K1203" s="36"/>
      <c r="L1203" s="36"/>
      <c r="M1203" s="36"/>
      <c r="N1203" s="37" t="s">
        <v>89</v>
      </c>
      <c r="O1203" s="37" t="s">
        <v>90</v>
      </c>
      <c r="P1203" s="38"/>
      <c r="Q1203" s="37" t="s">
        <v>2582</v>
      </c>
      <c r="R1203" s="37" t="s">
        <v>58</v>
      </c>
      <c r="S1203" s="37" t="s">
        <v>92</v>
      </c>
      <c r="T1203" s="31"/>
    </row>
    <row r="1204" spans="1:20">
      <c r="A1204" s="31"/>
      <c r="B1204" s="32"/>
      <c r="C1204" s="33"/>
      <c r="D1204" s="32" t="s">
        <v>2583</v>
      </c>
      <c r="E1204" s="33" t="s">
        <v>116</v>
      </c>
      <c r="F1204" s="34">
        <v>1</v>
      </c>
      <c r="G1204" s="35">
        <v>0</v>
      </c>
      <c r="H1204" s="35">
        <v>0</v>
      </c>
      <c r="I1204" s="35">
        <f>Tabla1[[#This Row],[P.U. M.N.]]*Tabla1[[#This Row],[CANTIDADES DE REFERENCIA]]</f>
        <v>0</v>
      </c>
      <c r="J1204" s="35">
        <f>Tabla1[[#This Row],[P.U. USD]]*Tabla1[[#This Row],[CANTIDADES DE REFERENCIA]]</f>
        <v>0</v>
      </c>
      <c r="K1204" s="36"/>
      <c r="L1204" s="36"/>
      <c r="M1204" s="36"/>
      <c r="N1204" s="37" t="s">
        <v>89</v>
      </c>
      <c r="O1204" s="37" t="s">
        <v>90</v>
      </c>
      <c r="P1204" s="38"/>
      <c r="Q1204" s="37" t="s">
        <v>2584</v>
      </c>
      <c r="R1204" s="37" t="s">
        <v>58</v>
      </c>
      <c r="S1204" s="37" t="s">
        <v>92</v>
      </c>
      <c r="T1204" s="31"/>
    </row>
    <row r="1205" spans="1:20">
      <c r="A1205" s="31"/>
      <c r="B1205" s="32"/>
      <c r="C1205" s="33"/>
      <c r="D1205" s="32" t="s">
        <v>2585</v>
      </c>
      <c r="E1205" s="33" t="s">
        <v>116</v>
      </c>
      <c r="F1205" s="34">
        <v>1</v>
      </c>
      <c r="G1205" s="35">
        <v>0</v>
      </c>
      <c r="H1205" s="35">
        <v>0</v>
      </c>
      <c r="I1205" s="35">
        <f>Tabla1[[#This Row],[P.U. M.N.]]*Tabla1[[#This Row],[CANTIDADES DE REFERENCIA]]</f>
        <v>0</v>
      </c>
      <c r="J1205" s="35">
        <f>Tabla1[[#This Row],[P.U. USD]]*Tabla1[[#This Row],[CANTIDADES DE REFERENCIA]]</f>
        <v>0</v>
      </c>
      <c r="K1205" s="36"/>
      <c r="L1205" s="36"/>
      <c r="M1205" s="36"/>
      <c r="N1205" s="37" t="s">
        <v>89</v>
      </c>
      <c r="O1205" s="37" t="s">
        <v>90</v>
      </c>
      <c r="P1205" s="38"/>
      <c r="Q1205" s="37" t="s">
        <v>2586</v>
      </c>
      <c r="R1205" s="37" t="s">
        <v>58</v>
      </c>
      <c r="S1205" s="37" t="s">
        <v>92</v>
      </c>
      <c r="T1205" s="31"/>
    </row>
    <row r="1206" spans="1:20">
      <c r="A1206" s="31"/>
      <c r="B1206" s="32"/>
      <c r="C1206" s="33"/>
      <c r="D1206" s="32" t="s">
        <v>2587</v>
      </c>
      <c r="E1206" s="33" t="s">
        <v>116</v>
      </c>
      <c r="F1206" s="34">
        <v>1</v>
      </c>
      <c r="G1206" s="35">
        <v>0</v>
      </c>
      <c r="H1206" s="35">
        <v>0</v>
      </c>
      <c r="I1206" s="35">
        <f>Tabla1[[#This Row],[P.U. M.N.]]*Tabla1[[#This Row],[CANTIDADES DE REFERENCIA]]</f>
        <v>0</v>
      </c>
      <c r="J1206" s="35">
        <f>Tabla1[[#This Row],[P.U. USD]]*Tabla1[[#This Row],[CANTIDADES DE REFERENCIA]]</f>
        <v>0</v>
      </c>
      <c r="K1206" s="36"/>
      <c r="L1206" s="36"/>
      <c r="M1206" s="36"/>
      <c r="N1206" s="37" t="s">
        <v>89</v>
      </c>
      <c r="O1206" s="37" t="s">
        <v>90</v>
      </c>
      <c r="P1206" s="38"/>
      <c r="Q1206" s="37" t="s">
        <v>2588</v>
      </c>
      <c r="R1206" s="37" t="s">
        <v>58</v>
      </c>
      <c r="S1206" s="37" t="s">
        <v>92</v>
      </c>
      <c r="T1206" s="31"/>
    </row>
    <row r="1207" spans="1:20">
      <c r="A1207" s="31"/>
      <c r="B1207" s="32"/>
      <c r="C1207" s="33"/>
      <c r="D1207" s="32" t="s">
        <v>2589</v>
      </c>
      <c r="E1207" s="33" t="s">
        <v>116</v>
      </c>
      <c r="F1207" s="34">
        <v>1</v>
      </c>
      <c r="G1207" s="35">
        <v>0</v>
      </c>
      <c r="H1207" s="35">
        <v>0</v>
      </c>
      <c r="I1207" s="35">
        <f>Tabla1[[#This Row],[P.U. M.N.]]*Tabla1[[#This Row],[CANTIDADES DE REFERENCIA]]</f>
        <v>0</v>
      </c>
      <c r="J1207" s="35">
        <f>Tabla1[[#This Row],[P.U. USD]]*Tabla1[[#This Row],[CANTIDADES DE REFERENCIA]]</f>
        <v>0</v>
      </c>
      <c r="K1207" s="36"/>
      <c r="L1207" s="36"/>
      <c r="M1207" s="36"/>
      <c r="N1207" s="37" t="s">
        <v>89</v>
      </c>
      <c r="O1207" s="37" t="s">
        <v>90</v>
      </c>
      <c r="P1207" s="38"/>
      <c r="Q1207" s="37" t="s">
        <v>2590</v>
      </c>
      <c r="R1207" s="37" t="s">
        <v>58</v>
      </c>
      <c r="S1207" s="37" t="s">
        <v>92</v>
      </c>
      <c r="T1207" s="31"/>
    </row>
    <row r="1208" spans="1:20">
      <c r="A1208" s="31"/>
      <c r="B1208" s="32"/>
      <c r="C1208" s="33"/>
      <c r="D1208" s="32" t="s">
        <v>2591</v>
      </c>
      <c r="E1208" s="33" t="s">
        <v>116</v>
      </c>
      <c r="F1208" s="34">
        <v>1</v>
      </c>
      <c r="G1208" s="35">
        <v>0</v>
      </c>
      <c r="H1208" s="35">
        <v>0</v>
      </c>
      <c r="I1208" s="35">
        <f>Tabla1[[#This Row],[P.U. M.N.]]*Tabla1[[#This Row],[CANTIDADES DE REFERENCIA]]</f>
        <v>0</v>
      </c>
      <c r="J1208" s="35">
        <f>Tabla1[[#This Row],[P.U. USD]]*Tabla1[[#This Row],[CANTIDADES DE REFERENCIA]]</f>
        <v>0</v>
      </c>
      <c r="K1208" s="36"/>
      <c r="L1208" s="36"/>
      <c r="M1208" s="36"/>
      <c r="N1208" s="37" t="s">
        <v>89</v>
      </c>
      <c r="O1208" s="37" t="s">
        <v>90</v>
      </c>
      <c r="P1208" s="38"/>
      <c r="Q1208" s="37" t="s">
        <v>2592</v>
      </c>
      <c r="R1208" s="37" t="s">
        <v>58</v>
      </c>
      <c r="S1208" s="37" t="s">
        <v>92</v>
      </c>
      <c r="T1208" s="31"/>
    </row>
    <row r="1209" spans="1:20">
      <c r="A1209" s="31"/>
      <c r="B1209" s="32"/>
      <c r="C1209" s="33"/>
      <c r="D1209" s="32" t="s">
        <v>2593</v>
      </c>
      <c r="E1209" s="33" t="s">
        <v>116</v>
      </c>
      <c r="F1209" s="34">
        <v>1</v>
      </c>
      <c r="G1209" s="35">
        <v>0</v>
      </c>
      <c r="H1209" s="35">
        <v>0</v>
      </c>
      <c r="I1209" s="35">
        <f>Tabla1[[#This Row],[P.U. M.N.]]*Tabla1[[#This Row],[CANTIDADES DE REFERENCIA]]</f>
        <v>0</v>
      </c>
      <c r="J1209" s="35">
        <f>Tabla1[[#This Row],[P.U. USD]]*Tabla1[[#This Row],[CANTIDADES DE REFERENCIA]]</f>
        <v>0</v>
      </c>
      <c r="K1209" s="36"/>
      <c r="L1209" s="36"/>
      <c r="M1209" s="36"/>
      <c r="N1209" s="37" t="s">
        <v>89</v>
      </c>
      <c r="O1209" s="37" t="s">
        <v>90</v>
      </c>
      <c r="P1209" s="38"/>
      <c r="Q1209" s="37" t="s">
        <v>2594</v>
      </c>
      <c r="R1209" s="37" t="s">
        <v>58</v>
      </c>
      <c r="S1209" s="37" t="s">
        <v>92</v>
      </c>
      <c r="T1209" s="31"/>
    </row>
    <row r="1210" spans="1:20">
      <c r="A1210" s="31"/>
      <c r="B1210" s="32"/>
      <c r="C1210" s="33"/>
      <c r="D1210" s="32" t="s">
        <v>2595</v>
      </c>
      <c r="E1210" s="33" t="s">
        <v>116</v>
      </c>
      <c r="F1210" s="34">
        <v>1</v>
      </c>
      <c r="G1210" s="35">
        <v>0</v>
      </c>
      <c r="H1210" s="35">
        <v>0</v>
      </c>
      <c r="I1210" s="35">
        <f>Tabla1[[#This Row],[P.U. M.N.]]*Tabla1[[#This Row],[CANTIDADES DE REFERENCIA]]</f>
        <v>0</v>
      </c>
      <c r="J1210" s="35">
        <f>Tabla1[[#This Row],[P.U. USD]]*Tabla1[[#This Row],[CANTIDADES DE REFERENCIA]]</f>
        <v>0</v>
      </c>
      <c r="K1210" s="36"/>
      <c r="L1210" s="36"/>
      <c r="M1210" s="36"/>
      <c r="N1210" s="37" t="s">
        <v>89</v>
      </c>
      <c r="O1210" s="37" t="s">
        <v>90</v>
      </c>
      <c r="P1210" s="38"/>
      <c r="Q1210" s="37" t="s">
        <v>2596</v>
      </c>
      <c r="R1210" s="37" t="s">
        <v>58</v>
      </c>
      <c r="S1210" s="37" t="s">
        <v>92</v>
      </c>
      <c r="T1210" s="31"/>
    </row>
    <row r="1211" spans="1:20">
      <c r="A1211" s="31"/>
      <c r="B1211" s="32"/>
      <c r="C1211" s="33"/>
      <c r="D1211" s="32" t="s">
        <v>2597</v>
      </c>
      <c r="E1211" s="33" t="s">
        <v>116</v>
      </c>
      <c r="F1211" s="34">
        <v>1</v>
      </c>
      <c r="G1211" s="35">
        <v>0</v>
      </c>
      <c r="H1211" s="35">
        <v>0</v>
      </c>
      <c r="I1211" s="35">
        <f>Tabla1[[#This Row],[P.U. M.N.]]*Tabla1[[#This Row],[CANTIDADES DE REFERENCIA]]</f>
        <v>0</v>
      </c>
      <c r="J1211" s="35">
        <f>Tabla1[[#This Row],[P.U. USD]]*Tabla1[[#This Row],[CANTIDADES DE REFERENCIA]]</f>
        <v>0</v>
      </c>
      <c r="K1211" s="36"/>
      <c r="L1211" s="36"/>
      <c r="M1211" s="36"/>
      <c r="N1211" s="37" t="s">
        <v>89</v>
      </c>
      <c r="O1211" s="37" t="s">
        <v>90</v>
      </c>
      <c r="P1211" s="38"/>
      <c r="Q1211" s="37" t="s">
        <v>2598</v>
      </c>
      <c r="R1211" s="37" t="s">
        <v>58</v>
      </c>
      <c r="S1211" s="37" t="s">
        <v>92</v>
      </c>
      <c r="T1211" s="31"/>
    </row>
    <row r="1212" spans="1:20">
      <c r="A1212" s="31"/>
      <c r="B1212" s="32"/>
      <c r="C1212" s="33"/>
      <c r="D1212" s="32" t="s">
        <v>2599</v>
      </c>
      <c r="E1212" s="33" t="s">
        <v>116</v>
      </c>
      <c r="F1212" s="34">
        <v>1</v>
      </c>
      <c r="G1212" s="35">
        <v>0</v>
      </c>
      <c r="H1212" s="35">
        <v>0</v>
      </c>
      <c r="I1212" s="35">
        <f>Tabla1[[#This Row],[P.U. M.N.]]*Tabla1[[#This Row],[CANTIDADES DE REFERENCIA]]</f>
        <v>0</v>
      </c>
      <c r="J1212" s="35">
        <f>Tabla1[[#This Row],[P.U. USD]]*Tabla1[[#This Row],[CANTIDADES DE REFERENCIA]]</f>
        <v>0</v>
      </c>
      <c r="K1212" s="36"/>
      <c r="L1212" s="36"/>
      <c r="M1212" s="36"/>
      <c r="N1212" s="37" t="s">
        <v>89</v>
      </c>
      <c r="O1212" s="37" t="s">
        <v>90</v>
      </c>
      <c r="P1212" s="38"/>
      <c r="Q1212" s="37" t="s">
        <v>2600</v>
      </c>
      <c r="R1212" s="37" t="s">
        <v>58</v>
      </c>
      <c r="S1212" s="37" t="s">
        <v>92</v>
      </c>
      <c r="T1212" s="31"/>
    </row>
    <row r="1213" spans="1:20">
      <c r="A1213" s="31"/>
      <c r="B1213" s="32"/>
      <c r="C1213" s="33"/>
      <c r="D1213" s="32" t="s">
        <v>2601</v>
      </c>
      <c r="E1213" s="33" t="s">
        <v>116</v>
      </c>
      <c r="F1213" s="34">
        <v>1</v>
      </c>
      <c r="G1213" s="35">
        <v>0</v>
      </c>
      <c r="H1213" s="35">
        <v>0</v>
      </c>
      <c r="I1213" s="35">
        <f>Tabla1[[#This Row],[P.U. M.N.]]*Tabla1[[#This Row],[CANTIDADES DE REFERENCIA]]</f>
        <v>0</v>
      </c>
      <c r="J1213" s="35">
        <f>Tabla1[[#This Row],[P.U. USD]]*Tabla1[[#This Row],[CANTIDADES DE REFERENCIA]]</f>
        <v>0</v>
      </c>
      <c r="K1213" s="36"/>
      <c r="L1213" s="36"/>
      <c r="M1213" s="36"/>
      <c r="N1213" s="37" t="s">
        <v>89</v>
      </c>
      <c r="O1213" s="37" t="s">
        <v>90</v>
      </c>
      <c r="P1213" s="38"/>
      <c r="Q1213" s="37" t="s">
        <v>2602</v>
      </c>
      <c r="R1213" s="37" t="s">
        <v>58</v>
      </c>
      <c r="S1213" s="37" t="s">
        <v>92</v>
      </c>
      <c r="T1213" s="31"/>
    </row>
    <row r="1214" spans="1:20">
      <c r="A1214" s="31"/>
      <c r="B1214" s="32"/>
      <c r="C1214" s="33"/>
      <c r="D1214" s="32" t="s">
        <v>2603</v>
      </c>
      <c r="E1214" s="33" t="s">
        <v>42</v>
      </c>
      <c r="F1214" s="34">
        <v>1</v>
      </c>
      <c r="G1214" s="35">
        <v>0</v>
      </c>
      <c r="H1214" s="35">
        <v>0</v>
      </c>
      <c r="I1214" s="35">
        <f>Tabla1[[#This Row],[P.U. M.N.]]*Tabla1[[#This Row],[CANTIDADES DE REFERENCIA]]</f>
        <v>0</v>
      </c>
      <c r="J1214" s="35">
        <f>Tabla1[[#This Row],[P.U. USD]]*Tabla1[[#This Row],[CANTIDADES DE REFERENCIA]]</f>
        <v>0</v>
      </c>
      <c r="K1214" s="36"/>
      <c r="L1214" s="36"/>
      <c r="M1214" s="36"/>
      <c r="N1214" s="37" t="s">
        <v>89</v>
      </c>
      <c r="O1214" s="37" t="s">
        <v>90</v>
      </c>
      <c r="P1214" s="38"/>
      <c r="Q1214" s="37" t="s">
        <v>2604</v>
      </c>
      <c r="R1214" s="37" t="s">
        <v>58</v>
      </c>
      <c r="S1214" s="37" t="s">
        <v>92</v>
      </c>
      <c r="T1214" s="31"/>
    </row>
    <row r="1215" spans="1:20">
      <c r="A1215" s="31"/>
      <c r="B1215" s="32"/>
      <c r="C1215" s="33"/>
      <c r="D1215" s="32" t="s">
        <v>2605</v>
      </c>
      <c r="E1215" s="33" t="s">
        <v>2606</v>
      </c>
      <c r="F1215" s="34">
        <v>1</v>
      </c>
      <c r="G1215" s="35">
        <v>0</v>
      </c>
      <c r="H1215" s="35">
        <v>0</v>
      </c>
      <c r="I1215" s="35">
        <f>Tabla1[[#This Row],[P.U. M.N.]]*Tabla1[[#This Row],[CANTIDADES DE REFERENCIA]]</f>
        <v>0</v>
      </c>
      <c r="J1215" s="35">
        <f>Tabla1[[#This Row],[P.U. USD]]*Tabla1[[#This Row],[CANTIDADES DE REFERENCIA]]</f>
        <v>0</v>
      </c>
      <c r="K1215" s="36"/>
      <c r="L1215" s="36"/>
      <c r="M1215" s="36"/>
      <c r="N1215" s="37" t="s">
        <v>89</v>
      </c>
      <c r="O1215" s="37" t="s">
        <v>90</v>
      </c>
      <c r="P1215" s="38"/>
      <c r="Q1215" s="37" t="s">
        <v>2607</v>
      </c>
      <c r="R1215" s="37" t="s">
        <v>58</v>
      </c>
      <c r="S1215" s="37" t="s">
        <v>92</v>
      </c>
      <c r="T1215" s="31"/>
    </row>
    <row r="1216" spans="1:20">
      <c r="A1216" s="31"/>
      <c r="B1216" s="32"/>
      <c r="C1216" s="33"/>
      <c r="D1216" s="32" t="s">
        <v>2608</v>
      </c>
      <c r="E1216" s="33" t="s">
        <v>367</v>
      </c>
      <c r="F1216" s="34">
        <v>1</v>
      </c>
      <c r="G1216" s="35">
        <v>0</v>
      </c>
      <c r="H1216" s="35">
        <v>0</v>
      </c>
      <c r="I1216" s="35">
        <f>Tabla1[[#This Row],[P.U. M.N.]]*Tabla1[[#This Row],[CANTIDADES DE REFERENCIA]]</f>
        <v>0</v>
      </c>
      <c r="J1216" s="35">
        <f>Tabla1[[#This Row],[P.U. USD]]*Tabla1[[#This Row],[CANTIDADES DE REFERENCIA]]</f>
        <v>0</v>
      </c>
      <c r="K1216" s="36"/>
      <c r="L1216" s="36"/>
      <c r="M1216" s="36"/>
      <c r="N1216" s="37" t="s">
        <v>89</v>
      </c>
      <c r="O1216" s="37" t="s">
        <v>90</v>
      </c>
      <c r="P1216" s="38"/>
      <c r="Q1216" s="37" t="s">
        <v>2609</v>
      </c>
      <c r="R1216" s="37" t="s">
        <v>58</v>
      </c>
      <c r="S1216" s="37" t="s">
        <v>92</v>
      </c>
      <c r="T1216" s="31"/>
    </row>
    <row r="1217" spans="1:20">
      <c r="A1217" s="31"/>
      <c r="B1217" s="32"/>
      <c r="C1217" s="33"/>
      <c r="D1217" s="32" t="s">
        <v>2610</v>
      </c>
      <c r="E1217" s="33" t="s">
        <v>367</v>
      </c>
      <c r="F1217" s="34">
        <v>1</v>
      </c>
      <c r="G1217" s="35">
        <v>0</v>
      </c>
      <c r="H1217" s="35">
        <v>0</v>
      </c>
      <c r="I1217" s="35">
        <f>Tabla1[[#This Row],[P.U. M.N.]]*Tabla1[[#This Row],[CANTIDADES DE REFERENCIA]]</f>
        <v>0</v>
      </c>
      <c r="J1217" s="35">
        <f>Tabla1[[#This Row],[P.U. USD]]*Tabla1[[#This Row],[CANTIDADES DE REFERENCIA]]</f>
        <v>0</v>
      </c>
      <c r="K1217" s="36"/>
      <c r="L1217" s="36"/>
      <c r="M1217" s="36"/>
      <c r="N1217" s="37" t="s">
        <v>89</v>
      </c>
      <c r="O1217" s="37" t="s">
        <v>90</v>
      </c>
      <c r="P1217" s="38"/>
      <c r="Q1217" s="37" t="s">
        <v>2611</v>
      </c>
      <c r="R1217" s="37" t="s">
        <v>58</v>
      </c>
      <c r="S1217" s="37" t="s">
        <v>92</v>
      </c>
      <c r="T1217" s="31"/>
    </row>
    <row r="1218" spans="1:20">
      <c r="A1218" s="31"/>
      <c r="B1218" s="32"/>
      <c r="C1218" s="33"/>
      <c r="D1218" s="32" t="s">
        <v>2612</v>
      </c>
      <c r="E1218" s="33" t="s">
        <v>42</v>
      </c>
      <c r="F1218" s="34">
        <v>1</v>
      </c>
      <c r="G1218" s="35">
        <v>0</v>
      </c>
      <c r="H1218" s="35">
        <v>0</v>
      </c>
      <c r="I1218" s="35">
        <f>Tabla1[[#This Row],[P.U. M.N.]]*Tabla1[[#This Row],[CANTIDADES DE REFERENCIA]]</f>
        <v>0</v>
      </c>
      <c r="J1218" s="35">
        <f>Tabla1[[#This Row],[P.U. USD]]*Tabla1[[#This Row],[CANTIDADES DE REFERENCIA]]</f>
        <v>0</v>
      </c>
      <c r="K1218" s="36"/>
      <c r="L1218" s="36"/>
      <c r="M1218" s="36"/>
      <c r="N1218" s="37" t="s">
        <v>89</v>
      </c>
      <c r="O1218" s="37" t="s">
        <v>90</v>
      </c>
      <c r="P1218" s="38"/>
      <c r="Q1218" s="37" t="s">
        <v>2613</v>
      </c>
      <c r="R1218" s="37" t="s">
        <v>58</v>
      </c>
      <c r="S1218" s="37" t="s">
        <v>92</v>
      </c>
      <c r="T1218" s="31"/>
    </row>
    <row r="1219" spans="1:20">
      <c r="A1219" s="31"/>
      <c r="B1219" s="32"/>
      <c r="C1219" s="33"/>
      <c r="D1219" s="32" t="s">
        <v>2614</v>
      </c>
      <c r="E1219" s="33" t="s">
        <v>116</v>
      </c>
      <c r="F1219" s="34">
        <v>1</v>
      </c>
      <c r="G1219" s="35">
        <v>0</v>
      </c>
      <c r="H1219" s="35">
        <v>0</v>
      </c>
      <c r="I1219" s="35">
        <f>Tabla1[[#This Row],[P.U. M.N.]]*Tabla1[[#This Row],[CANTIDADES DE REFERENCIA]]</f>
        <v>0</v>
      </c>
      <c r="J1219" s="35">
        <f>Tabla1[[#This Row],[P.U. USD]]*Tabla1[[#This Row],[CANTIDADES DE REFERENCIA]]</f>
        <v>0</v>
      </c>
      <c r="K1219" s="36"/>
      <c r="L1219" s="36"/>
      <c r="M1219" s="36"/>
      <c r="N1219" s="37" t="s">
        <v>89</v>
      </c>
      <c r="O1219" s="37" t="s">
        <v>90</v>
      </c>
      <c r="P1219" s="38"/>
      <c r="Q1219" s="37" t="s">
        <v>2615</v>
      </c>
      <c r="R1219" s="37" t="s">
        <v>58</v>
      </c>
      <c r="S1219" s="37" t="s">
        <v>92</v>
      </c>
      <c r="T1219" s="31"/>
    </row>
    <row r="1220" spans="1:20">
      <c r="A1220" s="31"/>
      <c r="B1220" s="32"/>
      <c r="C1220" s="33"/>
      <c r="D1220" s="32" t="s">
        <v>2616</v>
      </c>
      <c r="E1220" s="33" t="s">
        <v>116</v>
      </c>
      <c r="F1220" s="34">
        <v>1</v>
      </c>
      <c r="G1220" s="35">
        <v>0</v>
      </c>
      <c r="H1220" s="35">
        <v>0</v>
      </c>
      <c r="I1220" s="35">
        <f>Tabla1[[#This Row],[P.U. M.N.]]*Tabla1[[#This Row],[CANTIDADES DE REFERENCIA]]</f>
        <v>0</v>
      </c>
      <c r="J1220" s="35">
        <f>Tabla1[[#This Row],[P.U. USD]]*Tabla1[[#This Row],[CANTIDADES DE REFERENCIA]]</f>
        <v>0</v>
      </c>
      <c r="K1220" s="36"/>
      <c r="L1220" s="36"/>
      <c r="M1220" s="36"/>
      <c r="N1220" s="37" t="s">
        <v>89</v>
      </c>
      <c r="O1220" s="37" t="s">
        <v>90</v>
      </c>
      <c r="P1220" s="38"/>
      <c r="Q1220" s="37" t="s">
        <v>2617</v>
      </c>
      <c r="R1220" s="37" t="s">
        <v>58</v>
      </c>
      <c r="S1220" s="37" t="s">
        <v>92</v>
      </c>
      <c r="T1220" s="31"/>
    </row>
    <row r="1221" spans="1:20">
      <c r="A1221" s="31"/>
      <c r="B1221" s="32"/>
      <c r="C1221" s="33"/>
      <c r="D1221" s="32" t="s">
        <v>2618</v>
      </c>
      <c r="E1221" s="33" t="s">
        <v>42</v>
      </c>
      <c r="F1221" s="34">
        <v>1</v>
      </c>
      <c r="G1221" s="35">
        <v>0</v>
      </c>
      <c r="H1221" s="35">
        <v>0</v>
      </c>
      <c r="I1221" s="35">
        <f>Tabla1[[#This Row],[P.U. M.N.]]*Tabla1[[#This Row],[CANTIDADES DE REFERENCIA]]</f>
        <v>0</v>
      </c>
      <c r="J1221" s="35">
        <f>Tabla1[[#This Row],[P.U. USD]]*Tabla1[[#This Row],[CANTIDADES DE REFERENCIA]]</f>
        <v>0</v>
      </c>
      <c r="K1221" s="36"/>
      <c r="L1221" s="36"/>
      <c r="M1221" s="36"/>
      <c r="N1221" s="37" t="s">
        <v>89</v>
      </c>
      <c r="O1221" s="37" t="s">
        <v>90</v>
      </c>
      <c r="P1221" s="38"/>
      <c r="Q1221" s="37" t="s">
        <v>2619</v>
      </c>
      <c r="R1221" s="37" t="s">
        <v>58</v>
      </c>
      <c r="S1221" s="37" t="s">
        <v>92</v>
      </c>
      <c r="T1221" s="31"/>
    </row>
    <row r="1222" spans="1:20">
      <c r="A1222" s="31"/>
      <c r="B1222" s="32"/>
      <c r="C1222" s="33"/>
      <c r="D1222" s="32" t="s">
        <v>2620</v>
      </c>
      <c r="E1222" s="33" t="s">
        <v>116</v>
      </c>
      <c r="F1222" s="34">
        <v>1</v>
      </c>
      <c r="G1222" s="35">
        <v>0</v>
      </c>
      <c r="H1222" s="35">
        <v>0</v>
      </c>
      <c r="I1222" s="35">
        <f>Tabla1[[#This Row],[P.U. M.N.]]*Tabla1[[#This Row],[CANTIDADES DE REFERENCIA]]</f>
        <v>0</v>
      </c>
      <c r="J1222" s="35">
        <f>Tabla1[[#This Row],[P.U. USD]]*Tabla1[[#This Row],[CANTIDADES DE REFERENCIA]]</f>
        <v>0</v>
      </c>
      <c r="K1222" s="36"/>
      <c r="L1222" s="36"/>
      <c r="M1222" s="36"/>
      <c r="N1222" s="37" t="s">
        <v>89</v>
      </c>
      <c r="O1222" s="37" t="s">
        <v>90</v>
      </c>
      <c r="P1222" s="38"/>
      <c r="Q1222" s="37" t="s">
        <v>2621</v>
      </c>
      <c r="R1222" s="37" t="s">
        <v>58</v>
      </c>
      <c r="S1222" s="37" t="s">
        <v>92</v>
      </c>
      <c r="T1222" s="31"/>
    </row>
    <row r="1223" spans="1:20">
      <c r="A1223" s="31"/>
      <c r="B1223" s="32"/>
      <c r="C1223" s="33"/>
      <c r="D1223" s="32" t="s">
        <v>2622</v>
      </c>
      <c r="E1223" s="33" t="s">
        <v>42</v>
      </c>
      <c r="F1223" s="34">
        <v>1</v>
      </c>
      <c r="G1223" s="35">
        <v>0</v>
      </c>
      <c r="H1223" s="35">
        <v>0</v>
      </c>
      <c r="I1223" s="35">
        <f>Tabla1[[#This Row],[P.U. M.N.]]*Tabla1[[#This Row],[CANTIDADES DE REFERENCIA]]</f>
        <v>0</v>
      </c>
      <c r="J1223" s="35">
        <f>Tabla1[[#This Row],[P.U. USD]]*Tabla1[[#This Row],[CANTIDADES DE REFERENCIA]]</f>
        <v>0</v>
      </c>
      <c r="K1223" s="36"/>
      <c r="L1223" s="36"/>
      <c r="M1223" s="36"/>
      <c r="N1223" s="37" t="s">
        <v>89</v>
      </c>
      <c r="O1223" s="37" t="s">
        <v>90</v>
      </c>
      <c r="P1223" s="38"/>
      <c r="Q1223" s="37" t="s">
        <v>2623</v>
      </c>
      <c r="R1223" s="37" t="s">
        <v>58</v>
      </c>
      <c r="S1223" s="37" t="s">
        <v>92</v>
      </c>
      <c r="T1223" s="31"/>
    </row>
    <row r="1224" spans="1:20">
      <c r="A1224" s="31"/>
      <c r="B1224" s="32"/>
      <c r="C1224" s="33"/>
      <c r="D1224" s="32" t="s">
        <v>2624</v>
      </c>
      <c r="E1224" s="33" t="s">
        <v>116</v>
      </c>
      <c r="F1224" s="34">
        <v>1</v>
      </c>
      <c r="G1224" s="35">
        <v>0</v>
      </c>
      <c r="H1224" s="35">
        <v>0</v>
      </c>
      <c r="I1224" s="35">
        <f>Tabla1[[#This Row],[P.U. M.N.]]*Tabla1[[#This Row],[CANTIDADES DE REFERENCIA]]</f>
        <v>0</v>
      </c>
      <c r="J1224" s="35">
        <f>Tabla1[[#This Row],[P.U. USD]]*Tabla1[[#This Row],[CANTIDADES DE REFERENCIA]]</f>
        <v>0</v>
      </c>
      <c r="K1224" s="36"/>
      <c r="L1224" s="36"/>
      <c r="M1224" s="36"/>
      <c r="N1224" s="37" t="s">
        <v>79</v>
      </c>
      <c r="O1224" s="37" t="s">
        <v>80</v>
      </c>
      <c r="P1224" s="38"/>
      <c r="Q1224" s="37" t="s">
        <v>2625</v>
      </c>
      <c r="R1224" s="37"/>
      <c r="S1224" s="37" t="s">
        <v>82</v>
      </c>
      <c r="T1224" s="31"/>
    </row>
    <row r="1225" spans="1:20">
      <c r="A1225" s="31" t="s">
        <v>39</v>
      </c>
      <c r="B1225" s="32" t="s">
        <v>2626</v>
      </c>
      <c r="C1225" s="33" t="str">
        <f>Tabla1[[#This Row],[PARTIDA]] &amp; "."</f>
        <v>7C-11.</v>
      </c>
      <c r="D1225" s="32" t="s">
        <v>2627</v>
      </c>
      <c r="E1225" s="33" t="s">
        <v>42</v>
      </c>
      <c r="F1225" s="34">
        <v>1</v>
      </c>
      <c r="G1225" s="35">
        <v>776435.92</v>
      </c>
      <c r="H1225" s="35">
        <v>578892.5</v>
      </c>
      <c r="I1225" s="35">
        <f>Tabla1[[#This Row],[P.U. M.N.]]*Tabla1[[#This Row],[CANTIDADES DE REFERENCIA]]</f>
        <v>776435.92</v>
      </c>
      <c r="J1225" s="35">
        <f>Tabla1[[#This Row],[P.U. USD]]*Tabla1[[#This Row],[CANTIDADES DE REFERENCIA]]</f>
        <v>578892.5</v>
      </c>
      <c r="K1225" s="36"/>
      <c r="L1225" s="36"/>
      <c r="M1225" s="36"/>
      <c r="N1225" s="37" t="s">
        <v>599</v>
      </c>
      <c r="O1225" s="37" t="s">
        <v>600</v>
      </c>
      <c r="P1225" s="38">
        <v>45814</v>
      </c>
      <c r="Q1225" s="37" t="s">
        <v>2628</v>
      </c>
      <c r="R1225" s="37"/>
      <c r="S1225" s="37" t="s">
        <v>602</v>
      </c>
      <c r="T1225" s="31"/>
    </row>
    <row r="1226" spans="1:20">
      <c r="A1226" s="31"/>
      <c r="B1226" s="32"/>
      <c r="C1226" s="33"/>
      <c r="D1226" s="32" t="s">
        <v>2629</v>
      </c>
      <c r="E1226" s="33" t="s">
        <v>116</v>
      </c>
      <c r="F1226" s="34">
        <v>1</v>
      </c>
      <c r="G1226" s="35">
        <v>0</v>
      </c>
      <c r="H1226" s="35">
        <v>0</v>
      </c>
      <c r="I1226" s="35">
        <f>Tabla1[[#This Row],[P.U. M.N.]]*Tabla1[[#This Row],[CANTIDADES DE REFERENCIA]]</f>
        <v>0</v>
      </c>
      <c r="J1226" s="35">
        <f>Tabla1[[#This Row],[P.U. USD]]*Tabla1[[#This Row],[CANTIDADES DE REFERENCIA]]</f>
        <v>0</v>
      </c>
      <c r="K1226" s="36"/>
      <c r="L1226" s="36"/>
      <c r="M1226" s="36"/>
      <c r="N1226" s="37" t="s">
        <v>79</v>
      </c>
      <c r="O1226" s="37" t="s">
        <v>80</v>
      </c>
      <c r="P1226" s="38"/>
      <c r="Q1226" s="37" t="s">
        <v>2630</v>
      </c>
      <c r="R1226" s="37"/>
      <c r="S1226" s="37" t="s">
        <v>82</v>
      </c>
      <c r="T1226" s="31"/>
    </row>
    <row r="1227" spans="1:20">
      <c r="A1227" s="31"/>
      <c r="B1227" s="32"/>
      <c r="C1227" s="33"/>
      <c r="D1227" s="32" t="s">
        <v>2631</v>
      </c>
      <c r="E1227" s="33" t="s">
        <v>116</v>
      </c>
      <c r="F1227" s="34">
        <v>1</v>
      </c>
      <c r="G1227" s="35">
        <v>0</v>
      </c>
      <c r="H1227" s="35">
        <v>0</v>
      </c>
      <c r="I1227" s="35">
        <f>Tabla1[[#This Row],[P.U. M.N.]]*Tabla1[[#This Row],[CANTIDADES DE REFERENCIA]]</f>
        <v>0</v>
      </c>
      <c r="J1227" s="35">
        <f>Tabla1[[#This Row],[P.U. USD]]*Tabla1[[#This Row],[CANTIDADES DE REFERENCIA]]</f>
        <v>0</v>
      </c>
      <c r="K1227" s="36"/>
      <c r="L1227" s="36"/>
      <c r="M1227" s="36"/>
      <c r="N1227" s="37" t="s">
        <v>79</v>
      </c>
      <c r="O1227" s="37" t="s">
        <v>80</v>
      </c>
      <c r="P1227" s="38"/>
      <c r="Q1227" s="37" t="s">
        <v>2632</v>
      </c>
      <c r="R1227" s="37"/>
      <c r="S1227" s="37" t="s">
        <v>82</v>
      </c>
      <c r="T1227" s="31"/>
    </row>
    <row r="1228" spans="1:20">
      <c r="A1228" s="31"/>
      <c r="B1228" s="32"/>
      <c r="C1228" s="33"/>
      <c r="D1228" s="32" t="s">
        <v>2633</v>
      </c>
      <c r="E1228" s="33" t="s">
        <v>116</v>
      </c>
      <c r="F1228" s="34">
        <v>1</v>
      </c>
      <c r="G1228" s="35">
        <v>0</v>
      </c>
      <c r="H1228" s="35">
        <v>0</v>
      </c>
      <c r="I1228" s="35">
        <f>Tabla1[[#This Row],[P.U. M.N.]]*Tabla1[[#This Row],[CANTIDADES DE REFERENCIA]]</f>
        <v>0</v>
      </c>
      <c r="J1228" s="35">
        <f>Tabla1[[#This Row],[P.U. USD]]*Tabla1[[#This Row],[CANTIDADES DE REFERENCIA]]</f>
        <v>0</v>
      </c>
      <c r="K1228" s="36"/>
      <c r="L1228" s="36"/>
      <c r="M1228" s="36"/>
      <c r="N1228" s="37" t="s">
        <v>79</v>
      </c>
      <c r="O1228" s="37" t="s">
        <v>80</v>
      </c>
      <c r="P1228" s="39"/>
      <c r="Q1228" s="37" t="s">
        <v>2634</v>
      </c>
      <c r="R1228" s="37"/>
      <c r="S1228" s="37" t="s">
        <v>82</v>
      </c>
      <c r="T1228" s="31"/>
    </row>
    <row r="1229" spans="1:20">
      <c r="A1229" s="31"/>
      <c r="B1229" s="32"/>
      <c r="C1229" s="33"/>
      <c r="D1229" s="32" t="s">
        <v>2635</v>
      </c>
      <c r="E1229" s="33" t="s">
        <v>116</v>
      </c>
      <c r="F1229" s="34">
        <v>1</v>
      </c>
      <c r="G1229" s="35">
        <v>0</v>
      </c>
      <c r="H1229" s="35">
        <v>0</v>
      </c>
      <c r="I1229" s="35">
        <f>Tabla1[[#This Row],[P.U. M.N.]]*Tabla1[[#This Row],[CANTIDADES DE REFERENCIA]]</f>
        <v>0</v>
      </c>
      <c r="J1229" s="35">
        <f>Tabla1[[#This Row],[P.U. USD]]*Tabla1[[#This Row],[CANTIDADES DE REFERENCIA]]</f>
        <v>0</v>
      </c>
      <c r="K1229" s="36"/>
      <c r="L1229" s="36"/>
      <c r="M1229" s="36"/>
      <c r="N1229" s="37" t="s">
        <v>79</v>
      </c>
      <c r="O1229" s="37" t="s">
        <v>80</v>
      </c>
      <c r="P1229" s="38"/>
      <c r="Q1229" s="37" t="s">
        <v>2636</v>
      </c>
      <c r="R1229" s="37" t="s">
        <v>58</v>
      </c>
      <c r="S1229" s="37" t="s">
        <v>82</v>
      </c>
      <c r="T1229" s="31"/>
    </row>
    <row r="1230" spans="1:20">
      <c r="A1230" s="31"/>
      <c r="B1230" s="32"/>
      <c r="C1230" s="33"/>
      <c r="D1230" s="32" t="s">
        <v>2637</v>
      </c>
      <c r="E1230" s="33" t="s">
        <v>116</v>
      </c>
      <c r="F1230" s="34">
        <v>1</v>
      </c>
      <c r="G1230" s="35">
        <v>0</v>
      </c>
      <c r="H1230" s="35">
        <v>0</v>
      </c>
      <c r="I1230" s="35">
        <f>Tabla1[[#This Row],[P.U. M.N.]]*Tabla1[[#This Row],[CANTIDADES DE REFERENCIA]]</f>
        <v>0</v>
      </c>
      <c r="J1230" s="35">
        <f>Tabla1[[#This Row],[P.U. USD]]*Tabla1[[#This Row],[CANTIDADES DE REFERENCIA]]</f>
        <v>0</v>
      </c>
      <c r="K1230" s="36"/>
      <c r="L1230" s="36"/>
      <c r="M1230" s="36"/>
      <c r="N1230" s="37" t="s">
        <v>79</v>
      </c>
      <c r="O1230" s="37" t="s">
        <v>80</v>
      </c>
      <c r="P1230" s="38"/>
      <c r="Q1230" s="37" t="s">
        <v>2638</v>
      </c>
      <c r="R1230" s="37" t="s">
        <v>58</v>
      </c>
      <c r="S1230" s="37" t="s">
        <v>82</v>
      </c>
      <c r="T1230" s="31"/>
    </row>
    <row r="1231" spans="1:20">
      <c r="A1231" s="31" t="s">
        <v>39</v>
      </c>
      <c r="B1231" s="32" t="s">
        <v>2639</v>
      </c>
      <c r="C1231" s="33" t="str">
        <f>Tabla1[[#This Row],[PARTIDA]] &amp; "."</f>
        <v>8C-11.</v>
      </c>
      <c r="D1231" s="32" t="s">
        <v>2640</v>
      </c>
      <c r="E1231" s="33" t="s">
        <v>23</v>
      </c>
      <c r="F1231" s="34">
        <v>1</v>
      </c>
      <c r="G1231" s="35">
        <v>1135.94</v>
      </c>
      <c r="H1231" s="35">
        <v>3086.3</v>
      </c>
      <c r="I1231" s="35">
        <f>Tabla1[[#This Row],[P.U. M.N.]]*Tabla1[[#This Row],[CANTIDADES DE REFERENCIA]]</f>
        <v>1135.94</v>
      </c>
      <c r="J1231" s="35">
        <f>Tabla1[[#This Row],[P.U. USD]]*Tabla1[[#This Row],[CANTIDADES DE REFERENCIA]]</f>
        <v>3086.3</v>
      </c>
      <c r="K1231" s="36"/>
      <c r="L1231" s="36"/>
      <c r="M1231" s="36"/>
      <c r="N1231" s="37" t="s">
        <v>2641</v>
      </c>
      <c r="O1231" s="37" t="s">
        <v>2642</v>
      </c>
      <c r="P1231" s="38">
        <v>45814</v>
      </c>
      <c r="Q1231" s="37" t="s">
        <v>2643</v>
      </c>
      <c r="R1231" s="37"/>
      <c r="S1231" s="37" t="s">
        <v>2644</v>
      </c>
      <c r="T1231" s="31"/>
    </row>
    <row r="1232" spans="1:20">
      <c r="A1232" s="31" t="s">
        <v>39</v>
      </c>
      <c r="B1232" s="32" t="s">
        <v>2645</v>
      </c>
      <c r="C1232" s="33" t="str">
        <f>Tabla1[[#This Row],[PARTIDA]] &amp; "."</f>
        <v>9C-11.</v>
      </c>
      <c r="D1232" s="32" t="s">
        <v>2646</v>
      </c>
      <c r="E1232" s="33" t="s">
        <v>42</v>
      </c>
      <c r="F1232" s="34">
        <v>1</v>
      </c>
      <c r="G1232" s="35">
        <v>1106047.93</v>
      </c>
      <c r="H1232" s="35">
        <v>141510.07999999999</v>
      </c>
      <c r="I1232" s="35">
        <f>Tabla1[[#This Row],[P.U. M.N.]]*Tabla1[[#This Row],[CANTIDADES DE REFERENCIA]]</f>
        <v>1106047.93</v>
      </c>
      <c r="J1232" s="35">
        <f>Tabla1[[#This Row],[P.U. USD]]*Tabla1[[#This Row],[CANTIDADES DE REFERENCIA]]</f>
        <v>141510.07999999999</v>
      </c>
      <c r="K1232" s="36"/>
      <c r="L1232" s="36"/>
      <c r="M1232" s="36"/>
      <c r="N1232" s="37" t="s">
        <v>2647</v>
      </c>
      <c r="O1232" s="37" t="s">
        <v>2648</v>
      </c>
      <c r="P1232" s="38">
        <v>45814</v>
      </c>
      <c r="Q1232" s="37" t="s">
        <v>2649</v>
      </c>
      <c r="R1232" s="37"/>
      <c r="S1232" s="37" t="s">
        <v>2650</v>
      </c>
      <c r="T1232" s="31"/>
    </row>
    <row r="1233" spans="1:20">
      <c r="A1233" s="31" t="s">
        <v>2651</v>
      </c>
      <c r="B1233" s="32" t="s">
        <v>2652</v>
      </c>
      <c r="C1233" s="33" t="str">
        <f>Tabla1[[#This Row],[PARTIDA]] &amp; "."</f>
        <v>10C-12.</v>
      </c>
      <c r="D1233" s="32" t="s">
        <v>2653</v>
      </c>
      <c r="E1233" s="33" t="s">
        <v>116</v>
      </c>
      <c r="F1233" s="34">
        <v>1</v>
      </c>
      <c r="G1233" s="35">
        <v>5.54</v>
      </c>
      <c r="H1233" s="35">
        <v>640.16</v>
      </c>
      <c r="I1233" s="35">
        <f>Tabla1[[#This Row],[P.U. M.N.]]*Tabla1[[#This Row],[CANTIDADES DE REFERENCIA]]</f>
        <v>5.54</v>
      </c>
      <c r="J1233" s="35">
        <f>Tabla1[[#This Row],[P.U. USD]]*Tabla1[[#This Row],[CANTIDADES DE REFERENCIA]]</f>
        <v>640.16</v>
      </c>
      <c r="K1233" s="36"/>
      <c r="L1233" s="36"/>
      <c r="M1233" s="36"/>
      <c r="N1233" s="37" t="s">
        <v>117</v>
      </c>
      <c r="O1233" s="37" t="s">
        <v>118</v>
      </c>
      <c r="P1233" s="38">
        <v>45883</v>
      </c>
      <c r="Q1233" s="37" t="s">
        <v>2654</v>
      </c>
      <c r="R1233" s="37"/>
      <c r="S1233" s="37" t="s">
        <v>120</v>
      </c>
      <c r="T1233" s="31"/>
    </row>
    <row r="1234" spans="1:20">
      <c r="A1234" s="31" t="s">
        <v>2651</v>
      </c>
      <c r="B1234" s="32" t="s">
        <v>2655</v>
      </c>
      <c r="C1234" s="33" t="str">
        <f>Tabla1[[#This Row],[PARTIDA]] &amp; "."</f>
        <v>11C-12.</v>
      </c>
      <c r="D1234" s="32" t="s">
        <v>2656</v>
      </c>
      <c r="E1234" s="33" t="s">
        <v>116</v>
      </c>
      <c r="F1234" s="34">
        <v>1</v>
      </c>
      <c r="G1234" s="35">
        <v>5.54</v>
      </c>
      <c r="H1234" s="35">
        <v>640.16</v>
      </c>
      <c r="I1234" s="35">
        <f>Tabla1[[#This Row],[P.U. M.N.]]*Tabla1[[#This Row],[CANTIDADES DE REFERENCIA]]</f>
        <v>5.54</v>
      </c>
      <c r="J1234" s="35">
        <f>Tabla1[[#This Row],[P.U. USD]]*Tabla1[[#This Row],[CANTIDADES DE REFERENCIA]]</f>
        <v>640.16</v>
      </c>
      <c r="K1234" s="36"/>
      <c r="L1234" s="36"/>
      <c r="M1234" s="36"/>
      <c r="N1234" s="37" t="s">
        <v>117</v>
      </c>
      <c r="O1234" s="37" t="s">
        <v>118</v>
      </c>
      <c r="P1234" s="38">
        <v>45883</v>
      </c>
      <c r="Q1234" s="37" t="s">
        <v>2657</v>
      </c>
      <c r="R1234" s="37"/>
      <c r="S1234" s="37" t="s">
        <v>120</v>
      </c>
      <c r="T1234" s="31"/>
    </row>
    <row r="1235" spans="1:20">
      <c r="A1235" s="31" t="s">
        <v>2651</v>
      </c>
      <c r="B1235" s="32" t="s">
        <v>2658</v>
      </c>
      <c r="C1235" s="33" t="str">
        <f>Tabla1[[#This Row],[PARTIDA]] &amp; "."</f>
        <v>12C-12.</v>
      </c>
      <c r="D1235" s="32" t="s">
        <v>2659</v>
      </c>
      <c r="E1235" s="33" t="s">
        <v>116</v>
      </c>
      <c r="F1235" s="34">
        <v>1</v>
      </c>
      <c r="G1235" s="35">
        <v>4563.8500000000004</v>
      </c>
      <c r="H1235" s="35">
        <v>0</v>
      </c>
      <c r="I1235" s="35">
        <f>Tabla1[[#This Row],[P.U. M.N.]]*Tabla1[[#This Row],[CANTIDADES DE REFERENCIA]]</f>
        <v>4563.8500000000004</v>
      </c>
      <c r="J1235" s="35">
        <f>Tabla1[[#This Row],[P.U. USD]]*Tabla1[[#This Row],[CANTIDADES DE REFERENCIA]]</f>
        <v>0</v>
      </c>
      <c r="K1235" s="36"/>
      <c r="L1235" s="36"/>
      <c r="M1235" s="36"/>
      <c r="N1235" s="37" t="s">
        <v>117</v>
      </c>
      <c r="O1235" s="37" t="s">
        <v>118</v>
      </c>
      <c r="P1235" s="38">
        <v>45883</v>
      </c>
      <c r="Q1235" s="37" t="s">
        <v>2660</v>
      </c>
      <c r="R1235" s="37"/>
      <c r="S1235" s="37" t="s">
        <v>120</v>
      </c>
      <c r="T1235" s="31"/>
    </row>
    <row r="1236" spans="1:20">
      <c r="A1236" s="31" t="s">
        <v>2651</v>
      </c>
      <c r="B1236" s="32" t="s">
        <v>2661</v>
      </c>
      <c r="C1236" s="33" t="str">
        <f>Tabla1[[#This Row],[PARTIDA]] &amp; "."</f>
        <v>13C-12.</v>
      </c>
      <c r="D1236" s="32" t="s">
        <v>2662</v>
      </c>
      <c r="E1236" s="33" t="s">
        <v>116</v>
      </c>
      <c r="F1236" s="34">
        <v>1</v>
      </c>
      <c r="G1236" s="35">
        <v>9022.2199999999993</v>
      </c>
      <c r="H1236" s="35">
        <v>0</v>
      </c>
      <c r="I1236" s="35">
        <f>Tabla1[[#This Row],[P.U. M.N.]]*Tabla1[[#This Row],[CANTIDADES DE REFERENCIA]]</f>
        <v>9022.2199999999993</v>
      </c>
      <c r="J1236" s="35">
        <f>Tabla1[[#This Row],[P.U. USD]]*Tabla1[[#This Row],[CANTIDADES DE REFERENCIA]]</f>
        <v>0</v>
      </c>
      <c r="K1236" s="36"/>
      <c r="L1236" s="36"/>
      <c r="M1236" s="36"/>
      <c r="N1236" s="37" t="s">
        <v>117</v>
      </c>
      <c r="O1236" s="37" t="s">
        <v>118</v>
      </c>
      <c r="P1236" s="38">
        <v>45883</v>
      </c>
      <c r="Q1236" s="37" t="s">
        <v>2663</v>
      </c>
      <c r="R1236" s="37"/>
      <c r="S1236" s="37" t="s">
        <v>120</v>
      </c>
      <c r="T1236" s="31"/>
    </row>
    <row r="1237" spans="1:20">
      <c r="A1237" s="31" t="s">
        <v>2651</v>
      </c>
      <c r="B1237" s="32" t="s">
        <v>2664</v>
      </c>
      <c r="C1237" s="33" t="str">
        <f>Tabla1[[#This Row],[PARTIDA]] &amp; "."</f>
        <v>14C-12.</v>
      </c>
      <c r="D1237" s="32" t="s">
        <v>2665</v>
      </c>
      <c r="E1237" s="33" t="s">
        <v>116</v>
      </c>
      <c r="F1237" s="34">
        <v>1</v>
      </c>
      <c r="G1237" s="35">
        <v>6346.43</v>
      </c>
      <c r="H1237" s="35">
        <v>10782.23</v>
      </c>
      <c r="I1237" s="35">
        <f>Tabla1[[#This Row],[P.U. M.N.]]*Tabla1[[#This Row],[CANTIDADES DE REFERENCIA]]</f>
        <v>6346.43</v>
      </c>
      <c r="J1237" s="35">
        <f>Tabla1[[#This Row],[P.U. USD]]*Tabla1[[#This Row],[CANTIDADES DE REFERENCIA]]</f>
        <v>10782.23</v>
      </c>
      <c r="K1237" s="36"/>
      <c r="L1237" s="36"/>
      <c r="M1237" s="36"/>
      <c r="N1237" s="37" t="s">
        <v>117</v>
      </c>
      <c r="O1237" s="37" t="s">
        <v>118</v>
      </c>
      <c r="P1237" s="38">
        <v>45883</v>
      </c>
      <c r="Q1237" s="37" t="s">
        <v>2666</v>
      </c>
      <c r="R1237" s="37"/>
      <c r="S1237" s="37" t="s">
        <v>120</v>
      </c>
      <c r="T1237" s="31"/>
    </row>
    <row r="1238" spans="1:20">
      <c r="A1238" s="31"/>
      <c r="B1238" s="32"/>
      <c r="C1238" s="33"/>
      <c r="D1238" s="32" t="s">
        <v>2667</v>
      </c>
      <c r="E1238" s="33" t="s">
        <v>116</v>
      </c>
      <c r="F1238" s="34">
        <v>1</v>
      </c>
      <c r="G1238" s="35">
        <v>0</v>
      </c>
      <c r="H1238" s="35">
        <v>0</v>
      </c>
      <c r="I1238" s="35">
        <f>Tabla1[[#This Row],[P.U. M.N.]]*Tabla1[[#This Row],[CANTIDADES DE REFERENCIA]]</f>
        <v>0</v>
      </c>
      <c r="J1238" s="35">
        <f>Tabla1[[#This Row],[P.U. USD]]*Tabla1[[#This Row],[CANTIDADES DE REFERENCIA]]</f>
        <v>0</v>
      </c>
      <c r="K1238" s="36"/>
      <c r="L1238" s="36"/>
      <c r="M1238" s="36"/>
      <c r="N1238" s="37" t="s">
        <v>79</v>
      </c>
      <c r="O1238" s="37" t="s">
        <v>80</v>
      </c>
      <c r="P1238" s="38"/>
      <c r="Q1238" s="37" t="s">
        <v>2668</v>
      </c>
      <c r="R1238" s="37"/>
      <c r="S1238" s="37" t="s">
        <v>82</v>
      </c>
      <c r="T1238" s="31"/>
    </row>
    <row r="1239" spans="1:20">
      <c r="A1239" s="31" t="s">
        <v>2651</v>
      </c>
      <c r="B1239" s="32" t="s">
        <v>2669</v>
      </c>
      <c r="C1239" s="33" t="str">
        <f>Tabla1[[#This Row],[PARTIDA]] &amp; "."</f>
        <v>15C-12.</v>
      </c>
      <c r="D1239" s="32" t="s">
        <v>2670</v>
      </c>
      <c r="E1239" s="33" t="s">
        <v>135</v>
      </c>
      <c r="F1239" s="34">
        <v>1</v>
      </c>
      <c r="G1239" s="35">
        <v>66.849999999999994</v>
      </c>
      <c r="H1239" s="35">
        <v>0</v>
      </c>
      <c r="I1239" s="35">
        <f>Tabla1[[#This Row],[P.U. M.N.]]*Tabla1[[#This Row],[CANTIDADES DE REFERENCIA]]</f>
        <v>66.849999999999994</v>
      </c>
      <c r="J1239" s="35">
        <f>Tabla1[[#This Row],[P.U. USD]]*Tabla1[[#This Row],[CANTIDADES DE REFERENCIA]]</f>
        <v>0</v>
      </c>
      <c r="K1239" s="36"/>
      <c r="L1239" s="36"/>
      <c r="M1239" s="36"/>
      <c r="N1239" s="37" t="s">
        <v>117</v>
      </c>
      <c r="O1239" s="37" t="s">
        <v>118</v>
      </c>
      <c r="P1239" s="38">
        <v>45883</v>
      </c>
      <c r="Q1239" s="37" t="s">
        <v>2671</v>
      </c>
      <c r="R1239" s="37"/>
      <c r="S1239" s="37" t="s">
        <v>120</v>
      </c>
      <c r="T1239" s="31"/>
    </row>
    <row r="1240" spans="1:20">
      <c r="A1240" s="31" t="s">
        <v>2651</v>
      </c>
      <c r="B1240" s="32" t="s">
        <v>2672</v>
      </c>
      <c r="C1240" s="33" t="str">
        <f>Tabla1[[#This Row],[PARTIDA]] &amp; "."</f>
        <v>16C-12.</v>
      </c>
      <c r="D1240" s="32" t="s">
        <v>2673</v>
      </c>
      <c r="E1240" s="33" t="s">
        <v>135</v>
      </c>
      <c r="F1240" s="34">
        <v>1</v>
      </c>
      <c r="G1240" s="35">
        <v>2.77</v>
      </c>
      <c r="H1240" s="35">
        <v>32.58</v>
      </c>
      <c r="I1240" s="35">
        <f>Tabla1[[#This Row],[P.U. M.N.]]*Tabla1[[#This Row],[CANTIDADES DE REFERENCIA]]</f>
        <v>2.77</v>
      </c>
      <c r="J1240" s="35">
        <f>Tabla1[[#This Row],[P.U. USD]]*Tabla1[[#This Row],[CANTIDADES DE REFERENCIA]]</f>
        <v>32.58</v>
      </c>
      <c r="K1240" s="36"/>
      <c r="L1240" s="36"/>
      <c r="M1240" s="36"/>
      <c r="N1240" s="37" t="s">
        <v>117</v>
      </c>
      <c r="O1240" s="37" t="s">
        <v>118</v>
      </c>
      <c r="P1240" s="38">
        <v>45883</v>
      </c>
      <c r="Q1240" s="37" t="s">
        <v>2674</v>
      </c>
      <c r="R1240" s="37"/>
      <c r="S1240" s="37" t="s">
        <v>120</v>
      </c>
      <c r="T1240" s="31"/>
    </row>
    <row r="1241" spans="1:20">
      <c r="A1241" s="31" t="s">
        <v>2651</v>
      </c>
      <c r="B1241" s="32" t="s">
        <v>2675</v>
      </c>
      <c r="C1241" s="33" t="str">
        <f>Tabla1[[#This Row],[PARTIDA]] &amp; "."</f>
        <v>17C-12.</v>
      </c>
      <c r="D1241" s="32" t="s">
        <v>2676</v>
      </c>
      <c r="E1241" s="33" t="s">
        <v>116</v>
      </c>
      <c r="F1241" s="34">
        <v>1</v>
      </c>
      <c r="G1241" s="35">
        <v>3171.22</v>
      </c>
      <c r="H1241" s="35">
        <v>0</v>
      </c>
      <c r="I1241" s="35">
        <f>Tabla1[[#This Row],[P.U. M.N.]]*Tabla1[[#This Row],[CANTIDADES DE REFERENCIA]]</f>
        <v>3171.22</v>
      </c>
      <c r="J1241" s="35">
        <f>Tabla1[[#This Row],[P.U. USD]]*Tabla1[[#This Row],[CANTIDADES DE REFERENCIA]]</f>
        <v>0</v>
      </c>
      <c r="K1241" s="36"/>
      <c r="L1241" s="36"/>
      <c r="M1241" s="36"/>
      <c r="N1241" s="37" t="s">
        <v>117</v>
      </c>
      <c r="O1241" s="37" t="s">
        <v>118</v>
      </c>
      <c r="P1241" s="38">
        <v>45883</v>
      </c>
      <c r="Q1241" s="37" t="s">
        <v>2677</v>
      </c>
      <c r="R1241" s="37"/>
      <c r="S1241" s="37" t="s">
        <v>120</v>
      </c>
      <c r="T1241" s="31"/>
    </row>
    <row r="1242" spans="1:20">
      <c r="A1242" s="31" t="s">
        <v>2651</v>
      </c>
      <c r="B1242" s="32" t="s">
        <v>2678</v>
      </c>
      <c r="C1242" s="33" t="str">
        <f>Tabla1[[#This Row],[PARTIDA]] &amp; "."</f>
        <v>18C-12.</v>
      </c>
      <c r="D1242" s="32" t="s">
        <v>2679</v>
      </c>
      <c r="E1242" s="33" t="s">
        <v>116</v>
      </c>
      <c r="F1242" s="34">
        <v>1</v>
      </c>
      <c r="G1242" s="35">
        <v>5204.84</v>
      </c>
      <c r="H1242" s="35">
        <v>0</v>
      </c>
      <c r="I1242" s="35">
        <f>Tabla1[[#This Row],[P.U. M.N.]]*Tabla1[[#This Row],[CANTIDADES DE REFERENCIA]]</f>
        <v>5204.84</v>
      </c>
      <c r="J1242" s="35">
        <f>Tabla1[[#This Row],[P.U. USD]]*Tabla1[[#This Row],[CANTIDADES DE REFERENCIA]]</f>
        <v>0</v>
      </c>
      <c r="K1242" s="36"/>
      <c r="L1242" s="36"/>
      <c r="M1242" s="36"/>
      <c r="N1242" s="37" t="s">
        <v>117</v>
      </c>
      <c r="O1242" s="37" t="s">
        <v>118</v>
      </c>
      <c r="P1242" s="38">
        <v>45883</v>
      </c>
      <c r="Q1242" s="37" t="s">
        <v>2680</v>
      </c>
      <c r="R1242" s="37"/>
      <c r="S1242" s="37" t="s">
        <v>120</v>
      </c>
      <c r="T1242" s="31"/>
    </row>
    <row r="1243" spans="1:20">
      <c r="A1243" s="31"/>
      <c r="B1243" s="32"/>
      <c r="C1243" s="33"/>
      <c r="D1243" s="32" t="s">
        <v>2681</v>
      </c>
      <c r="E1243" s="33" t="s">
        <v>116</v>
      </c>
      <c r="F1243" s="34">
        <v>1</v>
      </c>
      <c r="G1243" s="35">
        <v>0</v>
      </c>
      <c r="H1243" s="35">
        <v>0</v>
      </c>
      <c r="I1243" s="35">
        <f>Tabla1[[#This Row],[P.U. M.N.]]*Tabla1[[#This Row],[CANTIDADES DE REFERENCIA]]</f>
        <v>0</v>
      </c>
      <c r="J1243" s="35">
        <f>Tabla1[[#This Row],[P.U. USD]]*Tabla1[[#This Row],[CANTIDADES DE REFERENCIA]]</f>
        <v>0</v>
      </c>
      <c r="K1243" s="36"/>
      <c r="L1243" s="36"/>
      <c r="M1243" s="36"/>
      <c r="N1243" s="37" t="s">
        <v>79</v>
      </c>
      <c r="O1243" s="37" t="s">
        <v>80</v>
      </c>
      <c r="P1243" s="38"/>
      <c r="Q1243" s="37" t="s">
        <v>2682</v>
      </c>
      <c r="R1243" s="37"/>
      <c r="S1243" s="37" t="s">
        <v>82</v>
      </c>
      <c r="T1243" s="31"/>
    </row>
    <row r="1244" spans="1:20">
      <c r="A1244" s="31" t="s">
        <v>2651</v>
      </c>
      <c r="B1244" s="32" t="s">
        <v>2683</v>
      </c>
      <c r="C1244" s="33" t="str">
        <f>Tabla1[[#This Row],[PARTIDA]] &amp; "."</f>
        <v>19C-12.</v>
      </c>
      <c r="D1244" s="32" t="s">
        <v>2684</v>
      </c>
      <c r="E1244" s="33" t="s">
        <v>116</v>
      </c>
      <c r="F1244" s="34">
        <v>1</v>
      </c>
      <c r="G1244" s="35">
        <v>645.38</v>
      </c>
      <c r="H1244" s="35">
        <v>0</v>
      </c>
      <c r="I1244" s="35">
        <f>Tabla1[[#This Row],[P.U. M.N.]]*Tabla1[[#This Row],[CANTIDADES DE REFERENCIA]]</f>
        <v>645.38</v>
      </c>
      <c r="J1244" s="35">
        <f>Tabla1[[#This Row],[P.U. USD]]*Tabla1[[#This Row],[CANTIDADES DE REFERENCIA]]</f>
        <v>0</v>
      </c>
      <c r="K1244" s="36"/>
      <c r="L1244" s="36"/>
      <c r="M1244" s="36"/>
      <c r="N1244" s="37" t="s">
        <v>117</v>
      </c>
      <c r="O1244" s="37" t="s">
        <v>118</v>
      </c>
      <c r="P1244" s="38">
        <v>45883</v>
      </c>
      <c r="Q1244" s="37" t="s">
        <v>2685</v>
      </c>
      <c r="R1244" s="37"/>
      <c r="S1244" s="37" t="s">
        <v>120</v>
      </c>
      <c r="T1244" s="31"/>
    </row>
    <row r="1245" spans="1:20">
      <c r="A1245" s="31" t="s">
        <v>2651</v>
      </c>
      <c r="B1245" s="32" t="s">
        <v>2686</v>
      </c>
      <c r="C1245" s="33" t="str">
        <f>Tabla1[[#This Row],[PARTIDA]] &amp; "."</f>
        <v>1C-12.</v>
      </c>
      <c r="D1245" s="32" t="s">
        <v>2687</v>
      </c>
      <c r="E1245" s="33" t="s">
        <v>116</v>
      </c>
      <c r="F1245" s="34">
        <v>1</v>
      </c>
      <c r="G1245" s="35">
        <v>3936.64</v>
      </c>
      <c r="H1245" s="35">
        <v>0</v>
      </c>
      <c r="I1245" s="35">
        <f>Tabla1[[#This Row],[P.U. M.N.]]*Tabla1[[#This Row],[CANTIDADES DE REFERENCIA]]</f>
        <v>3936.64</v>
      </c>
      <c r="J1245" s="35">
        <f>Tabla1[[#This Row],[P.U. USD]]*Tabla1[[#This Row],[CANTIDADES DE REFERENCIA]]</f>
        <v>0</v>
      </c>
      <c r="K1245" s="36"/>
      <c r="L1245" s="36"/>
      <c r="M1245" s="36"/>
      <c r="N1245" s="37" t="s">
        <v>79</v>
      </c>
      <c r="O1245" s="37" t="s">
        <v>80</v>
      </c>
      <c r="P1245" s="38">
        <v>45883</v>
      </c>
      <c r="Q1245" s="37" t="s">
        <v>2688</v>
      </c>
      <c r="R1245" s="37"/>
      <c r="S1245" s="37" t="s">
        <v>82</v>
      </c>
      <c r="T1245" s="31"/>
    </row>
    <row r="1246" spans="1:20">
      <c r="A1246" s="31" t="s">
        <v>2651</v>
      </c>
      <c r="B1246" s="32" t="s">
        <v>2689</v>
      </c>
      <c r="C1246" s="33" t="str">
        <f>Tabla1[[#This Row],[PARTIDA]] &amp; "."</f>
        <v>20C-12.</v>
      </c>
      <c r="D1246" s="32" t="s">
        <v>2690</v>
      </c>
      <c r="E1246" s="33" t="s">
        <v>116</v>
      </c>
      <c r="F1246" s="34">
        <v>1</v>
      </c>
      <c r="G1246" s="35">
        <v>1066.54</v>
      </c>
      <c r="H1246" s="35">
        <v>0</v>
      </c>
      <c r="I1246" s="35">
        <f>Tabla1[[#This Row],[P.U. M.N.]]*Tabla1[[#This Row],[CANTIDADES DE REFERENCIA]]</f>
        <v>1066.54</v>
      </c>
      <c r="J1246" s="35">
        <f>Tabla1[[#This Row],[P.U. USD]]*Tabla1[[#This Row],[CANTIDADES DE REFERENCIA]]</f>
        <v>0</v>
      </c>
      <c r="K1246" s="36"/>
      <c r="L1246" s="36"/>
      <c r="M1246" s="36"/>
      <c r="N1246" s="37" t="s">
        <v>117</v>
      </c>
      <c r="O1246" s="37" t="s">
        <v>118</v>
      </c>
      <c r="P1246" s="38">
        <v>45883</v>
      </c>
      <c r="Q1246" s="37" t="s">
        <v>2691</v>
      </c>
      <c r="R1246" s="37"/>
      <c r="S1246" s="37" t="s">
        <v>120</v>
      </c>
      <c r="T1246" s="31"/>
    </row>
    <row r="1247" spans="1:20">
      <c r="A1247" s="31" t="s">
        <v>2651</v>
      </c>
      <c r="B1247" s="32" t="s">
        <v>2692</v>
      </c>
      <c r="C1247" s="33" t="str">
        <f>Tabla1[[#This Row],[PARTIDA]] &amp; "."</f>
        <v>21C-12.</v>
      </c>
      <c r="D1247" s="32" t="s">
        <v>2693</v>
      </c>
      <c r="E1247" s="33" t="s">
        <v>116</v>
      </c>
      <c r="F1247" s="34">
        <v>1</v>
      </c>
      <c r="G1247" s="35">
        <v>349.08</v>
      </c>
      <c r="H1247" s="35">
        <v>0</v>
      </c>
      <c r="I1247" s="35">
        <f>Tabla1[[#This Row],[P.U. M.N.]]*Tabla1[[#This Row],[CANTIDADES DE REFERENCIA]]</f>
        <v>349.08</v>
      </c>
      <c r="J1247" s="35">
        <f>Tabla1[[#This Row],[P.U. USD]]*Tabla1[[#This Row],[CANTIDADES DE REFERENCIA]]</f>
        <v>0</v>
      </c>
      <c r="K1247" s="36"/>
      <c r="L1247" s="36"/>
      <c r="M1247" s="36"/>
      <c r="N1247" s="37" t="s">
        <v>117</v>
      </c>
      <c r="O1247" s="37" t="s">
        <v>118</v>
      </c>
      <c r="P1247" s="38">
        <v>45883</v>
      </c>
      <c r="Q1247" s="37" t="s">
        <v>2694</v>
      </c>
      <c r="R1247" s="37"/>
      <c r="S1247" s="37" t="s">
        <v>120</v>
      </c>
      <c r="T1247" s="31"/>
    </row>
    <row r="1248" spans="1:20">
      <c r="A1248" s="31" t="s">
        <v>2651</v>
      </c>
      <c r="B1248" s="32" t="s">
        <v>2695</v>
      </c>
      <c r="C1248" s="33" t="str">
        <f>Tabla1[[#This Row],[PARTIDA]] &amp; "."</f>
        <v>22C-12.</v>
      </c>
      <c r="D1248" s="32" t="s">
        <v>2696</v>
      </c>
      <c r="E1248" s="33" t="s">
        <v>116</v>
      </c>
      <c r="F1248" s="34">
        <v>1</v>
      </c>
      <c r="G1248" s="35">
        <v>451.93</v>
      </c>
      <c r="H1248" s="35">
        <v>0</v>
      </c>
      <c r="I1248" s="35">
        <f>Tabla1[[#This Row],[P.U. M.N.]]*Tabla1[[#This Row],[CANTIDADES DE REFERENCIA]]</f>
        <v>451.93</v>
      </c>
      <c r="J1248" s="35">
        <f>Tabla1[[#This Row],[P.U. USD]]*Tabla1[[#This Row],[CANTIDADES DE REFERENCIA]]</f>
        <v>0</v>
      </c>
      <c r="K1248" s="36"/>
      <c r="L1248" s="36"/>
      <c r="M1248" s="36"/>
      <c r="N1248" s="37" t="s">
        <v>117</v>
      </c>
      <c r="O1248" s="37" t="s">
        <v>118</v>
      </c>
      <c r="P1248" s="38">
        <v>45883</v>
      </c>
      <c r="Q1248" s="37" t="s">
        <v>2697</v>
      </c>
      <c r="R1248" s="37"/>
      <c r="S1248" s="37" t="s">
        <v>120</v>
      </c>
      <c r="T1248" s="31"/>
    </row>
    <row r="1249" spans="1:20">
      <c r="A1249" s="31"/>
      <c r="B1249" s="32"/>
      <c r="C1249" s="33"/>
      <c r="D1249" s="32" t="s">
        <v>2698</v>
      </c>
      <c r="E1249" s="33" t="s">
        <v>2699</v>
      </c>
      <c r="F1249" s="34">
        <v>1</v>
      </c>
      <c r="G1249" s="35">
        <v>0</v>
      </c>
      <c r="H1249" s="35">
        <v>0</v>
      </c>
      <c r="I1249" s="35">
        <f>Tabla1[[#This Row],[P.U. M.N.]]*Tabla1[[#This Row],[CANTIDADES DE REFERENCIA]]</f>
        <v>0</v>
      </c>
      <c r="J1249" s="35">
        <f>Tabla1[[#This Row],[P.U. USD]]*Tabla1[[#This Row],[CANTIDADES DE REFERENCIA]]</f>
        <v>0</v>
      </c>
      <c r="K1249" s="36"/>
      <c r="L1249" s="36"/>
      <c r="M1249" s="36"/>
      <c r="N1249" s="37" t="s">
        <v>79</v>
      </c>
      <c r="O1249" s="37" t="s">
        <v>80</v>
      </c>
      <c r="P1249" s="38"/>
      <c r="Q1249" s="37" t="s">
        <v>2700</v>
      </c>
      <c r="R1249" s="37"/>
      <c r="S1249" s="37" t="s">
        <v>82</v>
      </c>
      <c r="T1249" s="31"/>
    </row>
    <row r="1250" spans="1:20">
      <c r="A1250" s="31"/>
      <c r="B1250" s="32"/>
      <c r="C1250" s="33"/>
      <c r="D1250" s="32" t="s">
        <v>2701</v>
      </c>
      <c r="E1250" s="33" t="s">
        <v>2699</v>
      </c>
      <c r="F1250" s="34">
        <v>1</v>
      </c>
      <c r="G1250" s="35">
        <v>0</v>
      </c>
      <c r="H1250" s="35">
        <v>0</v>
      </c>
      <c r="I1250" s="35">
        <f>Tabla1[[#This Row],[P.U. M.N.]]*Tabla1[[#This Row],[CANTIDADES DE REFERENCIA]]</f>
        <v>0</v>
      </c>
      <c r="J1250" s="35">
        <f>Tabla1[[#This Row],[P.U. USD]]*Tabla1[[#This Row],[CANTIDADES DE REFERENCIA]]</f>
        <v>0</v>
      </c>
      <c r="K1250" s="36"/>
      <c r="L1250" s="36"/>
      <c r="M1250" s="36"/>
      <c r="N1250" s="37" t="s">
        <v>79</v>
      </c>
      <c r="O1250" s="37" t="s">
        <v>80</v>
      </c>
      <c r="P1250" s="38"/>
      <c r="Q1250" s="37" t="s">
        <v>2702</v>
      </c>
      <c r="R1250" s="37"/>
      <c r="S1250" s="37" t="s">
        <v>82</v>
      </c>
      <c r="T1250" s="31"/>
    </row>
    <row r="1251" spans="1:20">
      <c r="A1251" s="31" t="s">
        <v>2651</v>
      </c>
      <c r="B1251" s="32" t="s">
        <v>2703</v>
      </c>
      <c r="C1251" s="33" t="str">
        <f>Tabla1[[#This Row],[PARTIDA]] &amp; "."</f>
        <v>23C-12.</v>
      </c>
      <c r="D1251" s="32" t="s">
        <v>2704</v>
      </c>
      <c r="E1251" s="33" t="s">
        <v>116</v>
      </c>
      <c r="F1251" s="34">
        <v>1</v>
      </c>
      <c r="G1251" s="35">
        <v>581.71</v>
      </c>
      <c r="H1251" s="35">
        <v>0</v>
      </c>
      <c r="I1251" s="35">
        <f>Tabla1[[#This Row],[P.U. M.N.]]*Tabla1[[#This Row],[CANTIDADES DE REFERENCIA]]</f>
        <v>581.71</v>
      </c>
      <c r="J1251" s="35">
        <f>Tabla1[[#This Row],[P.U. USD]]*Tabla1[[#This Row],[CANTIDADES DE REFERENCIA]]</f>
        <v>0</v>
      </c>
      <c r="K1251" s="36"/>
      <c r="L1251" s="36"/>
      <c r="M1251" s="36"/>
      <c r="N1251" s="37" t="s">
        <v>117</v>
      </c>
      <c r="O1251" s="37" t="s">
        <v>118</v>
      </c>
      <c r="P1251" s="38">
        <v>45883</v>
      </c>
      <c r="Q1251" s="37" t="s">
        <v>2705</v>
      </c>
      <c r="R1251" s="37"/>
      <c r="S1251" s="37" t="s">
        <v>120</v>
      </c>
      <c r="T1251" s="31"/>
    </row>
    <row r="1252" spans="1:20">
      <c r="A1252" s="31" t="s">
        <v>2651</v>
      </c>
      <c r="B1252" s="32" t="s">
        <v>2706</v>
      </c>
      <c r="C1252" s="33" t="str">
        <f>Tabla1[[#This Row],[PARTIDA]] &amp; "."</f>
        <v>24C-12.</v>
      </c>
      <c r="D1252" s="32" t="s">
        <v>2707</v>
      </c>
      <c r="E1252" s="33" t="s">
        <v>116</v>
      </c>
      <c r="F1252" s="34">
        <v>1</v>
      </c>
      <c r="G1252" s="35">
        <v>672.3</v>
      </c>
      <c r="H1252" s="35">
        <v>0</v>
      </c>
      <c r="I1252" s="35">
        <f>Tabla1[[#This Row],[P.U. M.N.]]*Tabla1[[#This Row],[CANTIDADES DE REFERENCIA]]</f>
        <v>672.3</v>
      </c>
      <c r="J1252" s="35">
        <f>Tabla1[[#This Row],[P.U. USD]]*Tabla1[[#This Row],[CANTIDADES DE REFERENCIA]]</f>
        <v>0</v>
      </c>
      <c r="K1252" s="36"/>
      <c r="L1252" s="36"/>
      <c r="M1252" s="36"/>
      <c r="N1252" s="37" t="s">
        <v>117</v>
      </c>
      <c r="O1252" s="37" t="s">
        <v>118</v>
      </c>
      <c r="P1252" s="38">
        <v>45883</v>
      </c>
      <c r="Q1252" s="37" t="s">
        <v>2708</v>
      </c>
      <c r="R1252" s="37"/>
      <c r="S1252" s="37" t="s">
        <v>120</v>
      </c>
      <c r="T1252" s="31"/>
    </row>
    <row r="1253" spans="1:20">
      <c r="A1253" s="31" t="s">
        <v>2651</v>
      </c>
      <c r="B1253" s="32" t="s">
        <v>2709</v>
      </c>
      <c r="C1253" s="33" t="str">
        <f>Tabla1[[#This Row],[PARTIDA]] &amp; "."</f>
        <v>25C-12.</v>
      </c>
      <c r="D1253" s="32" t="s">
        <v>2710</v>
      </c>
      <c r="E1253" s="33" t="s">
        <v>116</v>
      </c>
      <c r="F1253" s="34">
        <v>1</v>
      </c>
      <c r="G1253" s="35">
        <v>197.28</v>
      </c>
      <c r="H1253" s="35">
        <v>0</v>
      </c>
      <c r="I1253" s="35">
        <f>Tabla1[[#This Row],[P.U. M.N.]]*Tabla1[[#This Row],[CANTIDADES DE REFERENCIA]]</f>
        <v>197.28</v>
      </c>
      <c r="J1253" s="35">
        <f>Tabla1[[#This Row],[P.U. USD]]*Tabla1[[#This Row],[CANTIDADES DE REFERENCIA]]</f>
        <v>0</v>
      </c>
      <c r="K1253" s="36"/>
      <c r="L1253" s="36"/>
      <c r="M1253" s="36"/>
      <c r="N1253" s="37" t="s">
        <v>117</v>
      </c>
      <c r="O1253" s="37" t="s">
        <v>118</v>
      </c>
      <c r="P1253" s="38">
        <v>45883</v>
      </c>
      <c r="Q1253" s="37" t="s">
        <v>2711</v>
      </c>
      <c r="R1253" s="37"/>
      <c r="S1253" s="37" t="s">
        <v>120</v>
      </c>
      <c r="T1253" s="31"/>
    </row>
    <row r="1254" spans="1:20">
      <c r="A1254" s="31"/>
      <c r="B1254" s="32"/>
      <c r="C1254" s="33"/>
      <c r="D1254" s="32" t="s">
        <v>2712</v>
      </c>
      <c r="E1254" s="33" t="s">
        <v>116</v>
      </c>
      <c r="F1254" s="34">
        <v>1</v>
      </c>
      <c r="G1254" s="35">
        <v>0</v>
      </c>
      <c r="H1254" s="35">
        <v>0</v>
      </c>
      <c r="I1254" s="35">
        <f>Tabla1[[#This Row],[P.U. M.N.]]*Tabla1[[#This Row],[CANTIDADES DE REFERENCIA]]</f>
        <v>0</v>
      </c>
      <c r="J1254" s="35">
        <f>Tabla1[[#This Row],[P.U. USD]]*Tabla1[[#This Row],[CANTIDADES DE REFERENCIA]]</f>
        <v>0</v>
      </c>
      <c r="K1254" s="36"/>
      <c r="L1254" s="36"/>
      <c r="M1254" s="36"/>
      <c r="N1254" s="37" t="s">
        <v>117</v>
      </c>
      <c r="O1254" s="37" t="s">
        <v>118</v>
      </c>
      <c r="P1254" s="38"/>
      <c r="Q1254" s="37" t="s">
        <v>2713</v>
      </c>
      <c r="R1254" s="37"/>
      <c r="S1254" s="37" t="s">
        <v>120</v>
      </c>
      <c r="T1254" s="31"/>
    </row>
    <row r="1255" spans="1:20">
      <c r="A1255" s="31" t="s">
        <v>2651</v>
      </c>
      <c r="B1255" s="32" t="s">
        <v>2714</v>
      </c>
      <c r="C1255" s="33" t="str">
        <f>Tabla1[[#This Row],[PARTIDA]] &amp; "."</f>
        <v>26C-12.</v>
      </c>
      <c r="D1255" s="32" t="s">
        <v>2715</v>
      </c>
      <c r="E1255" s="33" t="s">
        <v>116</v>
      </c>
      <c r="F1255" s="34">
        <v>1</v>
      </c>
      <c r="G1255" s="35">
        <v>257</v>
      </c>
      <c r="H1255" s="35">
        <v>0</v>
      </c>
      <c r="I1255" s="35">
        <f>Tabla1[[#This Row],[P.U. M.N.]]*Tabla1[[#This Row],[CANTIDADES DE REFERENCIA]]</f>
        <v>257</v>
      </c>
      <c r="J1255" s="35">
        <f>Tabla1[[#This Row],[P.U. USD]]*Tabla1[[#This Row],[CANTIDADES DE REFERENCIA]]</f>
        <v>0</v>
      </c>
      <c r="K1255" s="36"/>
      <c r="L1255" s="36"/>
      <c r="M1255" s="36"/>
      <c r="N1255" s="37" t="s">
        <v>117</v>
      </c>
      <c r="O1255" s="37" t="s">
        <v>118</v>
      </c>
      <c r="P1255" s="38">
        <v>45883</v>
      </c>
      <c r="Q1255" s="37" t="s">
        <v>2716</v>
      </c>
      <c r="R1255" s="37"/>
      <c r="S1255" s="37" t="s">
        <v>120</v>
      </c>
      <c r="T1255" s="31"/>
    </row>
    <row r="1256" spans="1:20">
      <c r="A1256" s="31"/>
      <c r="B1256" s="32"/>
      <c r="C1256" s="33"/>
      <c r="D1256" s="32" t="s">
        <v>2717</v>
      </c>
      <c r="E1256" s="33" t="s">
        <v>116</v>
      </c>
      <c r="F1256" s="34">
        <v>1</v>
      </c>
      <c r="G1256" s="35">
        <v>0</v>
      </c>
      <c r="H1256" s="35">
        <v>0</v>
      </c>
      <c r="I1256" s="35">
        <f>Tabla1[[#This Row],[P.U. M.N.]]*Tabla1[[#This Row],[CANTIDADES DE REFERENCIA]]</f>
        <v>0</v>
      </c>
      <c r="J1256" s="35">
        <f>Tabla1[[#This Row],[P.U. USD]]*Tabla1[[#This Row],[CANTIDADES DE REFERENCIA]]</f>
        <v>0</v>
      </c>
      <c r="K1256" s="36"/>
      <c r="L1256" s="36"/>
      <c r="M1256" s="36"/>
      <c r="N1256" s="37" t="s">
        <v>117</v>
      </c>
      <c r="O1256" s="37" t="s">
        <v>118</v>
      </c>
      <c r="P1256" s="38"/>
      <c r="Q1256" s="37" t="s">
        <v>2718</v>
      </c>
      <c r="R1256" s="37"/>
      <c r="S1256" s="37" t="s">
        <v>120</v>
      </c>
      <c r="T1256" s="31"/>
    </row>
    <row r="1257" spans="1:20">
      <c r="A1257" s="31"/>
      <c r="B1257" s="32"/>
      <c r="C1257" s="33"/>
      <c r="D1257" s="32" t="s">
        <v>2719</v>
      </c>
      <c r="E1257" s="33" t="s">
        <v>116</v>
      </c>
      <c r="F1257" s="34">
        <v>1</v>
      </c>
      <c r="G1257" s="35">
        <v>0</v>
      </c>
      <c r="H1257" s="35">
        <v>0</v>
      </c>
      <c r="I1257" s="35">
        <f>Tabla1[[#This Row],[P.U. M.N.]]*Tabla1[[#This Row],[CANTIDADES DE REFERENCIA]]</f>
        <v>0</v>
      </c>
      <c r="J1257" s="35">
        <f>Tabla1[[#This Row],[P.U. USD]]*Tabla1[[#This Row],[CANTIDADES DE REFERENCIA]]</f>
        <v>0</v>
      </c>
      <c r="K1257" s="36"/>
      <c r="L1257" s="36"/>
      <c r="M1257" s="36"/>
      <c r="N1257" s="37" t="s">
        <v>117</v>
      </c>
      <c r="O1257" s="37" t="s">
        <v>118</v>
      </c>
      <c r="P1257" s="38"/>
      <c r="Q1257" s="37" t="s">
        <v>2720</v>
      </c>
      <c r="R1257" s="37"/>
      <c r="S1257" s="37" t="s">
        <v>120</v>
      </c>
      <c r="T1257" s="31"/>
    </row>
    <row r="1258" spans="1:20">
      <c r="A1258" s="31"/>
      <c r="B1258" s="32"/>
      <c r="C1258" s="33"/>
      <c r="D1258" s="32" t="s">
        <v>2721</v>
      </c>
      <c r="E1258" s="33" t="s">
        <v>116</v>
      </c>
      <c r="F1258" s="34">
        <v>1</v>
      </c>
      <c r="G1258" s="35">
        <v>0</v>
      </c>
      <c r="H1258" s="35">
        <v>0</v>
      </c>
      <c r="I1258" s="35">
        <f>Tabla1[[#This Row],[P.U. M.N.]]*Tabla1[[#This Row],[CANTIDADES DE REFERENCIA]]</f>
        <v>0</v>
      </c>
      <c r="J1258" s="35">
        <f>Tabla1[[#This Row],[P.U. USD]]*Tabla1[[#This Row],[CANTIDADES DE REFERENCIA]]</f>
        <v>0</v>
      </c>
      <c r="K1258" s="36"/>
      <c r="L1258" s="36"/>
      <c r="M1258" s="36"/>
      <c r="N1258" s="37" t="s">
        <v>117</v>
      </c>
      <c r="O1258" s="37" t="s">
        <v>118</v>
      </c>
      <c r="P1258" s="38"/>
      <c r="Q1258" s="37" t="s">
        <v>2722</v>
      </c>
      <c r="R1258" s="37"/>
      <c r="S1258" s="37" t="s">
        <v>120</v>
      </c>
      <c r="T1258" s="31"/>
    </row>
    <row r="1259" spans="1:20">
      <c r="A1259" s="31"/>
      <c r="B1259" s="32"/>
      <c r="C1259" s="33"/>
      <c r="D1259" s="32" t="s">
        <v>2723</v>
      </c>
      <c r="E1259" s="33" t="s">
        <v>116</v>
      </c>
      <c r="F1259" s="34">
        <v>1</v>
      </c>
      <c r="G1259" s="35">
        <v>0</v>
      </c>
      <c r="H1259" s="35">
        <v>0</v>
      </c>
      <c r="I1259" s="35">
        <f>Tabla1[[#This Row],[P.U. M.N.]]*Tabla1[[#This Row],[CANTIDADES DE REFERENCIA]]</f>
        <v>0</v>
      </c>
      <c r="J1259" s="35">
        <f>Tabla1[[#This Row],[P.U. USD]]*Tabla1[[#This Row],[CANTIDADES DE REFERENCIA]]</f>
        <v>0</v>
      </c>
      <c r="K1259" s="36"/>
      <c r="L1259" s="36"/>
      <c r="M1259" s="36"/>
      <c r="N1259" s="37" t="s">
        <v>117</v>
      </c>
      <c r="O1259" s="37" t="s">
        <v>118</v>
      </c>
      <c r="P1259" s="38"/>
      <c r="Q1259" s="37" t="s">
        <v>2724</v>
      </c>
      <c r="R1259" s="37" t="s">
        <v>58</v>
      </c>
      <c r="S1259" s="37" t="s">
        <v>120</v>
      </c>
      <c r="T1259" s="31"/>
    </row>
    <row r="1260" spans="1:20">
      <c r="A1260" s="31"/>
      <c r="B1260" s="32"/>
      <c r="C1260" s="33"/>
      <c r="D1260" s="32" t="s">
        <v>2725</v>
      </c>
      <c r="E1260" s="33" t="s">
        <v>116</v>
      </c>
      <c r="F1260" s="34">
        <v>1</v>
      </c>
      <c r="G1260" s="35">
        <v>0</v>
      </c>
      <c r="H1260" s="35">
        <v>0</v>
      </c>
      <c r="I1260" s="35">
        <f>Tabla1[[#This Row],[P.U. M.N.]]*Tabla1[[#This Row],[CANTIDADES DE REFERENCIA]]</f>
        <v>0</v>
      </c>
      <c r="J1260" s="35">
        <f>Tabla1[[#This Row],[P.U. USD]]*Tabla1[[#This Row],[CANTIDADES DE REFERENCIA]]</f>
        <v>0</v>
      </c>
      <c r="K1260" s="36"/>
      <c r="L1260" s="36"/>
      <c r="M1260" s="36"/>
      <c r="N1260" s="37" t="s">
        <v>117</v>
      </c>
      <c r="O1260" s="37" t="s">
        <v>118</v>
      </c>
      <c r="P1260" s="38"/>
      <c r="Q1260" s="37" t="s">
        <v>2726</v>
      </c>
      <c r="R1260" s="37"/>
      <c r="S1260" s="37" t="s">
        <v>120</v>
      </c>
      <c r="T1260" s="31"/>
    </row>
    <row r="1261" spans="1:20">
      <c r="A1261" s="31" t="s">
        <v>2651</v>
      </c>
      <c r="B1261" s="32" t="s">
        <v>2727</v>
      </c>
      <c r="C1261" s="33" t="str">
        <f>Tabla1[[#This Row],[PARTIDA]] &amp; "."</f>
        <v>27C-12.</v>
      </c>
      <c r="D1261" s="32" t="s">
        <v>2728</v>
      </c>
      <c r="E1261" s="33" t="s">
        <v>116</v>
      </c>
      <c r="F1261" s="34">
        <v>1</v>
      </c>
      <c r="G1261" s="35">
        <v>249.83</v>
      </c>
      <c r="H1261" s="35">
        <v>0</v>
      </c>
      <c r="I1261" s="35">
        <f>Tabla1[[#This Row],[P.U. M.N.]]*Tabla1[[#This Row],[CANTIDADES DE REFERENCIA]]</f>
        <v>249.83</v>
      </c>
      <c r="J1261" s="35">
        <f>Tabla1[[#This Row],[P.U. USD]]*Tabla1[[#This Row],[CANTIDADES DE REFERENCIA]]</f>
        <v>0</v>
      </c>
      <c r="K1261" s="36"/>
      <c r="L1261" s="36"/>
      <c r="M1261" s="36"/>
      <c r="N1261" s="37" t="s">
        <v>117</v>
      </c>
      <c r="O1261" s="37" t="s">
        <v>118</v>
      </c>
      <c r="P1261" s="38">
        <v>45883</v>
      </c>
      <c r="Q1261" s="37" t="s">
        <v>2729</v>
      </c>
      <c r="R1261" s="37"/>
      <c r="S1261" s="37" t="s">
        <v>120</v>
      </c>
      <c r="T1261" s="31"/>
    </row>
    <row r="1262" spans="1:20">
      <c r="A1262" s="31" t="s">
        <v>2651</v>
      </c>
      <c r="B1262" s="32" t="s">
        <v>2730</v>
      </c>
      <c r="C1262" s="33" t="str">
        <f>Tabla1[[#This Row],[PARTIDA]] &amp; "."</f>
        <v>28C-12.</v>
      </c>
      <c r="D1262" s="32" t="s">
        <v>2731</v>
      </c>
      <c r="E1262" s="33" t="s">
        <v>116</v>
      </c>
      <c r="F1262" s="34">
        <v>1</v>
      </c>
      <c r="G1262" s="35">
        <v>253.41</v>
      </c>
      <c r="H1262" s="35">
        <v>0</v>
      </c>
      <c r="I1262" s="35">
        <f>Tabla1[[#This Row],[P.U. M.N.]]*Tabla1[[#This Row],[CANTIDADES DE REFERENCIA]]</f>
        <v>253.41</v>
      </c>
      <c r="J1262" s="35">
        <f>Tabla1[[#This Row],[P.U. USD]]*Tabla1[[#This Row],[CANTIDADES DE REFERENCIA]]</f>
        <v>0</v>
      </c>
      <c r="K1262" s="36"/>
      <c r="L1262" s="36"/>
      <c r="M1262" s="36"/>
      <c r="N1262" s="37" t="s">
        <v>117</v>
      </c>
      <c r="O1262" s="37" t="s">
        <v>118</v>
      </c>
      <c r="P1262" s="38">
        <v>45883</v>
      </c>
      <c r="Q1262" s="37" t="s">
        <v>2732</v>
      </c>
      <c r="R1262" s="37"/>
      <c r="S1262" s="37" t="s">
        <v>120</v>
      </c>
      <c r="T1262" s="31"/>
    </row>
    <row r="1263" spans="1:20">
      <c r="A1263" s="31"/>
      <c r="B1263" s="32"/>
      <c r="C1263" s="33"/>
      <c r="D1263" s="32" t="s">
        <v>2733</v>
      </c>
      <c r="E1263" s="33" t="s">
        <v>116</v>
      </c>
      <c r="F1263" s="34">
        <v>1</v>
      </c>
      <c r="G1263" s="35">
        <v>0</v>
      </c>
      <c r="H1263" s="35">
        <v>0</v>
      </c>
      <c r="I1263" s="35">
        <f>Tabla1[[#This Row],[P.U. M.N.]]*Tabla1[[#This Row],[CANTIDADES DE REFERENCIA]]</f>
        <v>0</v>
      </c>
      <c r="J1263" s="35">
        <f>Tabla1[[#This Row],[P.U. USD]]*Tabla1[[#This Row],[CANTIDADES DE REFERENCIA]]</f>
        <v>0</v>
      </c>
      <c r="K1263" s="36"/>
      <c r="L1263" s="36"/>
      <c r="M1263" s="36"/>
      <c r="N1263" s="37" t="s">
        <v>117</v>
      </c>
      <c r="O1263" s="37" t="s">
        <v>118</v>
      </c>
      <c r="P1263" s="38"/>
      <c r="Q1263" s="37" t="s">
        <v>2734</v>
      </c>
      <c r="R1263" s="37"/>
      <c r="S1263" s="37" t="s">
        <v>120</v>
      </c>
      <c r="T1263" s="31"/>
    </row>
    <row r="1264" spans="1:20">
      <c r="A1264" s="31" t="s">
        <v>2651</v>
      </c>
      <c r="B1264" s="32" t="s">
        <v>2735</v>
      </c>
      <c r="C1264" s="33" t="str">
        <f>Tabla1[[#This Row],[PARTIDA]] &amp; "."</f>
        <v>29C-12.</v>
      </c>
      <c r="D1264" s="32" t="s">
        <v>2736</v>
      </c>
      <c r="E1264" s="33" t="s">
        <v>61</v>
      </c>
      <c r="F1264" s="34">
        <v>1</v>
      </c>
      <c r="G1264" s="35">
        <v>11902.36</v>
      </c>
      <c r="H1264" s="35">
        <v>0</v>
      </c>
      <c r="I1264" s="35">
        <f>Tabla1[[#This Row],[P.U. M.N.]]*Tabla1[[#This Row],[CANTIDADES DE REFERENCIA]]</f>
        <v>11902.36</v>
      </c>
      <c r="J1264" s="35">
        <f>Tabla1[[#This Row],[P.U. USD]]*Tabla1[[#This Row],[CANTIDADES DE REFERENCIA]]</f>
        <v>0</v>
      </c>
      <c r="K1264" s="36"/>
      <c r="L1264" s="36"/>
      <c r="M1264" s="36"/>
      <c r="N1264" s="37" t="s">
        <v>117</v>
      </c>
      <c r="O1264" s="37" t="s">
        <v>118</v>
      </c>
      <c r="P1264" s="38">
        <v>45883</v>
      </c>
      <c r="Q1264" s="37" t="s">
        <v>2737</v>
      </c>
      <c r="R1264" s="37"/>
      <c r="S1264" s="37" t="s">
        <v>120</v>
      </c>
      <c r="T1264" s="31"/>
    </row>
    <row r="1265" spans="1:20">
      <c r="A1265" s="31" t="s">
        <v>2651</v>
      </c>
      <c r="B1265" s="32" t="s">
        <v>2738</v>
      </c>
      <c r="C1265" s="33" t="str">
        <f>Tabla1[[#This Row],[PARTIDA]] &amp; "."</f>
        <v>2C-12.</v>
      </c>
      <c r="D1265" s="32" t="s">
        <v>2739</v>
      </c>
      <c r="E1265" s="33" t="s">
        <v>116</v>
      </c>
      <c r="F1265" s="34">
        <v>1</v>
      </c>
      <c r="G1265" s="35">
        <v>3897.18</v>
      </c>
      <c r="H1265" s="35">
        <v>325.81</v>
      </c>
      <c r="I1265" s="35">
        <f>Tabla1[[#This Row],[P.U. M.N.]]*Tabla1[[#This Row],[CANTIDADES DE REFERENCIA]]</f>
        <v>3897.18</v>
      </c>
      <c r="J1265" s="35">
        <f>Tabla1[[#This Row],[P.U. USD]]*Tabla1[[#This Row],[CANTIDADES DE REFERENCIA]]</f>
        <v>325.81</v>
      </c>
      <c r="K1265" s="36"/>
      <c r="L1265" s="36"/>
      <c r="M1265" s="36"/>
      <c r="N1265" s="37" t="s">
        <v>79</v>
      </c>
      <c r="O1265" s="37" t="s">
        <v>80</v>
      </c>
      <c r="P1265" s="38">
        <v>45883</v>
      </c>
      <c r="Q1265" s="37" t="s">
        <v>2740</v>
      </c>
      <c r="R1265" s="37"/>
      <c r="S1265" s="37" t="s">
        <v>82</v>
      </c>
      <c r="T1265" s="31"/>
    </row>
    <row r="1266" spans="1:20">
      <c r="A1266" s="31"/>
      <c r="B1266" s="32"/>
      <c r="C1266" s="33"/>
      <c r="D1266" s="32" t="s">
        <v>2741</v>
      </c>
      <c r="E1266" s="33" t="s">
        <v>116</v>
      </c>
      <c r="F1266" s="34">
        <v>1</v>
      </c>
      <c r="G1266" s="35">
        <v>0</v>
      </c>
      <c r="H1266" s="35">
        <v>0</v>
      </c>
      <c r="I1266" s="35">
        <f>Tabla1[[#This Row],[P.U. M.N.]]*Tabla1[[#This Row],[CANTIDADES DE REFERENCIA]]</f>
        <v>0</v>
      </c>
      <c r="J1266" s="35">
        <f>Tabla1[[#This Row],[P.U. USD]]*Tabla1[[#This Row],[CANTIDADES DE REFERENCIA]]</f>
        <v>0</v>
      </c>
      <c r="K1266" s="36"/>
      <c r="L1266" s="36"/>
      <c r="M1266" s="36"/>
      <c r="N1266" s="37" t="s">
        <v>117</v>
      </c>
      <c r="O1266" s="37" t="s">
        <v>118</v>
      </c>
      <c r="P1266" s="38"/>
      <c r="Q1266" s="37" t="s">
        <v>2742</v>
      </c>
      <c r="R1266" s="37" t="s">
        <v>58</v>
      </c>
      <c r="S1266" s="37" t="s">
        <v>120</v>
      </c>
      <c r="T1266" s="31"/>
    </row>
    <row r="1267" spans="1:20">
      <c r="A1267" s="31" t="s">
        <v>2651</v>
      </c>
      <c r="B1267" s="32" t="s">
        <v>2743</v>
      </c>
      <c r="C1267" s="33" t="str">
        <f>Tabla1[[#This Row],[PARTIDA]] &amp; "."</f>
        <v>30C-12.</v>
      </c>
      <c r="D1267" s="32" t="s">
        <v>2744</v>
      </c>
      <c r="E1267" s="33" t="s">
        <v>116</v>
      </c>
      <c r="F1267" s="34">
        <v>1</v>
      </c>
      <c r="G1267" s="35">
        <v>673.31</v>
      </c>
      <c r="H1267" s="35">
        <v>0</v>
      </c>
      <c r="I1267" s="35">
        <f>Tabla1[[#This Row],[P.U. M.N.]]*Tabla1[[#This Row],[CANTIDADES DE REFERENCIA]]</f>
        <v>673.31</v>
      </c>
      <c r="J1267" s="35">
        <f>Tabla1[[#This Row],[P.U. USD]]*Tabla1[[#This Row],[CANTIDADES DE REFERENCIA]]</f>
        <v>0</v>
      </c>
      <c r="K1267" s="36"/>
      <c r="L1267" s="36"/>
      <c r="M1267" s="36"/>
      <c r="N1267" s="37" t="s">
        <v>117</v>
      </c>
      <c r="O1267" s="37" t="s">
        <v>118</v>
      </c>
      <c r="P1267" s="38">
        <v>45883</v>
      </c>
      <c r="Q1267" s="37" t="s">
        <v>2745</v>
      </c>
      <c r="R1267" s="37"/>
      <c r="S1267" s="37" t="s">
        <v>120</v>
      </c>
      <c r="T1267" s="31"/>
    </row>
    <row r="1268" spans="1:20">
      <c r="A1268" s="31" t="s">
        <v>2651</v>
      </c>
      <c r="B1268" s="32" t="s">
        <v>2746</v>
      </c>
      <c r="C1268" s="33" t="str">
        <f>Tabla1[[#This Row],[PARTIDA]] &amp; "."</f>
        <v>31C-12.</v>
      </c>
      <c r="D1268" s="32" t="s">
        <v>2747</v>
      </c>
      <c r="E1268" s="33" t="s">
        <v>116</v>
      </c>
      <c r="F1268" s="34">
        <v>1</v>
      </c>
      <c r="G1268" s="35">
        <v>1033.8399999999999</v>
      </c>
      <c r="H1268" s="35">
        <v>0</v>
      </c>
      <c r="I1268" s="35">
        <f>Tabla1[[#This Row],[P.U. M.N.]]*Tabla1[[#This Row],[CANTIDADES DE REFERENCIA]]</f>
        <v>1033.8399999999999</v>
      </c>
      <c r="J1268" s="35">
        <f>Tabla1[[#This Row],[P.U. USD]]*Tabla1[[#This Row],[CANTIDADES DE REFERENCIA]]</f>
        <v>0</v>
      </c>
      <c r="K1268" s="36"/>
      <c r="L1268" s="36"/>
      <c r="M1268" s="36"/>
      <c r="N1268" s="37" t="s">
        <v>117</v>
      </c>
      <c r="O1268" s="37" t="s">
        <v>118</v>
      </c>
      <c r="P1268" s="38">
        <v>45883</v>
      </c>
      <c r="Q1268" s="37" t="s">
        <v>2748</v>
      </c>
      <c r="R1268" s="37"/>
      <c r="S1268" s="37" t="s">
        <v>120</v>
      </c>
      <c r="T1268" s="31"/>
    </row>
    <row r="1269" spans="1:20">
      <c r="A1269" s="31" t="s">
        <v>2651</v>
      </c>
      <c r="B1269" s="32" t="s">
        <v>2749</v>
      </c>
      <c r="C1269" s="33" t="str">
        <f>Tabla1[[#This Row],[PARTIDA]] &amp; "."</f>
        <v>32C-12.</v>
      </c>
      <c r="D1269" s="32" t="s">
        <v>2750</v>
      </c>
      <c r="E1269" s="33" t="s">
        <v>116</v>
      </c>
      <c r="F1269" s="34">
        <v>1</v>
      </c>
      <c r="G1269" s="35">
        <v>3244.83</v>
      </c>
      <c r="H1269" s="35">
        <v>0</v>
      </c>
      <c r="I1269" s="35">
        <f>Tabla1[[#This Row],[P.U. M.N.]]*Tabla1[[#This Row],[CANTIDADES DE REFERENCIA]]</f>
        <v>3244.83</v>
      </c>
      <c r="J1269" s="35">
        <f>Tabla1[[#This Row],[P.U. USD]]*Tabla1[[#This Row],[CANTIDADES DE REFERENCIA]]</f>
        <v>0</v>
      </c>
      <c r="K1269" s="36"/>
      <c r="L1269" s="36"/>
      <c r="M1269" s="36"/>
      <c r="N1269" s="37" t="s">
        <v>117</v>
      </c>
      <c r="O1269" s="37" t="s">
        <v>118</v>
      </c>
      <c r="P1269" s="38">
        <v>45883</v>
      </c>
      <c r="Q1269" s="37" t="s">
        <v>2751</v>
      </c>
      <c r="R1269" s="37"/>
      <c r="S1269" s="37" t="s">
        <v>120</v>
      </c>
      <c r="T1269" s="31"/>
    </row>
    <row r="1270" spans="1:20">
      <c r="A1270" s="31"/>
      <c r="B1270" s="32"/>
      <c r="C1270" s="33"/>
      <c r="D1270" s="32" t="s">
        <v>2752</v>
      </c>
      <c r="E1270" s="33" t="s">
        <v>116</v>
      </c>
      <c r="F1270" s="34">
        <v>1</v>
      </c>
      <c r="G1270" s="35">
        <v>0</v>
      </c>
      <c r="H1270" s="35">
        <v>0</v>
      </c>
      <c r="I1270" s="35">
        <f>Tabla1[[#This Row],[P.U. M.N.]]*Tabla1[[#This Row],[CANTIDADES DE REFERENCIA]]</f>
        <v>0</v>
      </c>
      <c r="J1270" s="35">
        <f>Tabla1[[#This Row],[P.U. USD]]*Tabla1[[#This Row],[CANTIDADES DE REFERENCIA]]</f>
        <v>0</v>
      </c>
      <c r="K1270" s="36"/>
      <c r="L1270" s="36"/>
      <c r="M1270" s="36"/>
      <c r="N1270" s="37" t="s">
        <v>117</v>
      </c>
      <c r="O1270" s="37" t="s">
        <v>118</v>
      </c>
      <c r="P1270" s="38"/>
      <c r="Q1270" s="37" t="s">
        <v>2753</v>
      </c>
      <c r="R1270" s="37"/>
      <c r="S1270" s="37" t="s">
        <v>120</v>
      </c>
      <c r="T1270" s="31"/>
    </row>
    <row r="1271" spans="1:20">
      <c r="A1271" s="31" t="s">
        <v>2651</v>
      </c>
      <c r="B1271" s="32" t="s">
        <v>2754</v>
      </c>
      <c r="C1271" s="33" t="str">
        <f>Tabla1[[#This Row],[PARTIDA]] &amp; "."</f>
        <v>3C-12.</v>
      </c>
      <c r="D1271" s="32" t="s">
        <v>2755</v>
      </c>
      <c r="E1271" s="33" t="s">
        <v>116</v>
      </c>
      <c r="F1271" s="34">
        <v>1</v>
      </c>
      <c r="G1271" s="35">
        <v>306.54000000000002</v>
      </c>
      <c r="H1271" s="35">
        <v>0</v>
      </c>
      <c r="I1271" s="35">
        <f>Tabla1[[#This Row],[P.U. M.N.]]*Tabla1[[#This Row],[CANTIDADES DE REFERENCIA]]</f>
        <v>306.54000000000002</v>
      </c>
      <c r="J1271" s="35">
        <f>Tabla1[[#This Row],[P.U. USD]]*Tabla1[[#This Row],[CANTIDADES DE REFERENCIA]]</f>
        <v>0</v>
      </c>
      <c r="K1271" s="36"/>
      <c r="L1271" s="36"/>
      <c r="M1271" s="36"/>
      <c r="N1271" s="37" t="s">
        <v>79</v>
      </c>
      <c r="O1271" s="37" t="s">
        <v>80</v>
      </c>
      <c r="P1271" s="38">
        <v>45883</v>
      </c>
      <c r="Q1271" s="37" t="s">
        <v>2756</v>
      </c>
      <c r="R1271" s="37"/>
      <c r="S1271" s="37" t="s">
        <v>82</v>
      </c>
      <c r="T1271" s="31"/>
    </row>
    <row r="1272" spans="1:20">
      <c r="A1272" s="31" t="s">
        <v>2651</v>
      </c>
      <c r="B1272" s="32" t="s">
        <v>2757</v>
      </c>
      <c r="C1272" s="33" t="str">
        <f>Tabla1[[#This Row],[PARTIDA]] &amp; "."</f>
        <v>4C-12.</v>
      </c>
      <c r="D1272" s="32" t="s">
        <v>2758</v>
      </c>
      <c r="E1272" s="33" t="s">
        <v>116</v>
      </c>
      <c r="F1272" s="34">
        <v>1</v>
      </c>
      <c r="G1272" s="35">
        <v>306.54000000000002</v>
      </c>
      <c r="H1272" s="35">
        <v>0</v>
      </c>
      <c r="I1272" s="35">
        <f>Tabla1[[#This Row],[P.U. M.N.]]*Tabla1[[#This Row],[CANTIDADES DE REFERENCIA]]</f>
        <v>306.54000000000002</v>
      </c>
      <c r="J1272" s="35">
        <f>Tabla1[[#This Row],[P.U. USD]]*Tabla1[[#This Row],[CANTIDADES DE REFERENCIA]]</f>
        <v>0</v>
      </c>
      <c r="K1272" s="36"/>
      <c r="L1272" s="36"/>
      <c r="M1272" s="36"/>
      <c r="N1272" s="37" t="s">
        <v>79</v>
      </c>
      <c r="O1272" s="37" t="s">
        <v>80</v>
      </c>
      <c r="P1272" s="38">
        <v>45883</v>
      </c>
      <c r="Q1272" s="37" t="s">
        <v>2759</v>
      </c>
      <c r="R1272" s="37"/>
      <c r="S1272" s="37" t="s">
        <v>82</v>
      </c>
      <c r="T1272" s="31"/>
    </row>
    <row r="1273" spans="1:20">
      <c r="A1273" s="31" t="s">
        <v>2651</v>
      </c>
      <c r="B1273" s="32" t="s">
        <v>2760</v>
      </c>
      <c r="C1273" s="33" t="str">
        <f>Tabla1[[#This Row],[PARTIDA]] &amp; "."</f>
        <v>5C-12.</v>
      </c>
      <c r="D1273" s="32" t="s">
        <v>2761</v>
      </c>
      <c r="E1273" s="33" t="s">
        <v>116</v>
      </c>
      <c r="F1273" s="34">
        <v>1</v>
      </c>
      <c r="G1273" s="35">
        <v>306.54000000000002</v>
      </c>
      <c r="H1273" s="35">
        <v>0</v>
      </c>
      <c r="I1273" s="35">
        <f>Tabla1[[#This Row],[P.U. M.N.]]*Tabla1[[#This Row],[CANTIDADES DE REFERENCIA]]</f>
        <v>306.54000000000002</v>
      </c>
      <c r="J1273" s="35">
        <f>Tabla1[[#This Row],[P.U. USD]]*Tabla1[[#This Row],[CANTIDADES DE REFERENCIA]]</f>
        <v>0</v>
      </c>
      <c r="K1273" s="36"/>
      <c r="L1273" s="36"/>
      <c r="M1273" s="36"/>
      <c r="N1273" s="37" t="s">
        <v>79</v>
      </c>
      <c r="O1273" s="37" t="s">
        <v>80</v>
      </c>
      <c r="P1273" s="38">
        <v>45883</v>
      </c>
      <c r="Q1273" s="37" t="s">
        <v>2762</v>
      </c>
      <c r="R1273" s="37"/>
      <c r="S1273" s="37" t="s">
        <v>82</v>
      </c>
      <c r="T1273" s="31"/>
    </row>
    <row r="1274" spans="1:20">
      <c r="A1274" s="31" t="s">
        <v>2651</v>
      </c>
      <c r="B1274" s="32" t="s">
        <v>2763</v>
      </c>
      <c r="C1274" s="33" t="str">
        <f>Tabla1[[#This Row],[PARTIDA]] &amp; "."</f>
        <v>6C-12.</v>
      </c>
      <c r="D1274" s="32" t="s">
        <v>2764</v>
      </c>
      <c r="E1274" s="33" t="s">
        <v>116</v>
      </c>
      <c r="F1274" s="34">
        <v>1</v>
      </c>
      <c r="G1274" s="35">
        <v>306.54000000000002</v>
      </c>
      <c r="H1274" s="35">
        <v>0</v>
      </c>
      <c r="I1274" s="35">
        <f>Tabla1[[#This Row],[P.U. M.N.]]*Tabla1[[#This Row],[CANTIDADES DE REFERENCIA]]</f>
        <v>306.54000000000002</v>
      </c>
      <c r="J1274" s="35">
        <f>Tabla1[[#This Row],[P.U. USD]]*Tabla1[[#This Row],[CANTIDADES DE REFERENCIA]]</f>
        <v>0</v>
      </c>
      <c r="K1274" s="36"/>
      <c r="L1274" s="36"/>
      <c r="M1274" s="36"/>
      <c r="N1274" s="37" t="s">
        <v>79</v>
      </c>
      <c r="O1274" s="37" t="s">
        <v>80</v>
      </c>
      <c r="P1274" s="38">
        <v>45883</v>
      </c>
      <c r="Q1274" s="37" t="s">
        <v>2765</v>
      </c>
      <c r="R1274" s="37"/>
      <c r="S1274" s="37" t="s">
        <v>82</v>
      </c>
      <c r="T1274" s="31"/>
    </row>
    <row r="1275" spans="1:20">
      <c r="A1275" s="31" t="s">
        <v>2651</v>
      </c>
      <c r="B1275" s="32" t="s">
        <v>2766</v>
      </c>
      <c r="C1275" s="33" t="str">
        <f>Tabla1[[#This Row],[PARTIDA]] &amp; "."</f>
        <v>7C-12.</v>
      </c>
      <c r="D1275" s="32" t="s">
        <v>2767</v>
      </c>
      <c r="E1275" s="33" t="s">
        <v>116</v>
      </c>
      <c r="F1275" s="34">
        <v>1</v>
      </c>
      <c r="G1275" s="35">
        <v>3010.78</v>
      </c>
      <c r="H1275" s="35">
        <v>0</v>
      </c>
      <c r="I1275" s="35">
        <f>Tabla1[[#This Row],[P.U. M.N.]]*Tabla1[[#This Row],[CANTIDADES DE REFERENCIA]]</f>
        <v>3010.78</v>
      </c>
      <c r="J1275" s="35">
        <f>Tabla1[[#This Row],[P.U. USD]]*Tabla1[[#This Row],[CANTIDADES DE REFERENCIA]]</f>
        <v>0</v>
      </c>
      <c r="K1275" s="36"/>
      <c r="L1275" s="36"/>
      <c r="M1275" s="36"/>
      <c r="N1275" s="37" t="s">
        <v>79</v>
      </c>
      <c r="O1275" s="37" t="s">
        <v>80</v>
      </c>
      <c r="P1275" s="38">
        <v>45883</v>
      </c>
      <c r="Q1275" s="37" t="s">
        <v>2768</v>
      </c>
      <c r="R1275" s="37"/>
      <c r="S1275" s="37" t="s">
        <v>82</v>
      </c>
      <c r="T1275" s="31"/>
    </row>
    <row r="1276" spans="1:20">
      <c r="A1276" s="31"/>
      <c r="B1276" s="32"/>
      <c r="C1276" s="33"/>
      <c r="D1276" s="32" t="s">
        <v>2769</v>
      </c>
      <c r="E1276" s="33" t="s">
        <v>116</v>
      </c>
      <c r="F1276" s="34">
        <v>1</v>
      </c>
      <c r="G1276" s="35">
        <v>0</v>
      </c>
      <c r="H1276" s="35">
        <v>0</v>
      </c>
      <c r="I1276" s="35">
        <f>Tabla1[[#This Row],[P.U. M.N.]]*Tabla1[[#This Row],[CANTIDADES DE REFERENCIA]]</f>
        <v>0</v>
      </c>
      <c r="J1276" s="35">
        <f>Tabla1[[#This Row],[P.U. USD]]*Tabla1[[#This Row],[CANTIDADES DE REFERENCIA]]</f>
        <v>0</v>
      </c>
      <c r="K1276" s="36"/>
      <c r="L1276" s="36"/>
      <c r="M1276" s="36"/>
      <c r="N1276" s="37" t="s">
        <v>117</v>
      </c>
      <c r="O1276" s="37" t="s">
        <v>118</v>
      </c>
      <c r="P1276" s="38"/>
      <c r="Q1276" s="37" t="s">
        <v>2770</v>
      </c>
      <c r="R1276" s="37"/>
      <c r="S1276" s="37" t="s">
        <v>120</v>
      </c>
      <c r="T1276" s="31"/>
    </row>
    <row r="1277" spans="1:20">
      <c r="A1277" s="31" t="s">
        <v>2651</v>
      </c>
      <c r="B1277" s="32" t="s">
        <v>2771</v>
      </c>
      <c r="C1277" s="33" t="str">
        <f>Tabla1[[#This Row],[PARTIDA]] &amp; "."</f>
        <v>8C-12.</v>
      </c>
      <c r="D1277" s="32" t="s">
        <v>2772</v>
      </c>
      <c r="E1277" s="33" t="s">
        <v>116</v>
      </c>
      <c r="F1277" s="34">
        <v>1</v>
      </c>
      <c r="G1277" s="35">
        <v>5.54</v>
      </c>
      <c r="H1277" s="35">
        <v>728.12</v>
      </c>
      <c r="I1277" s="35">
        <f>Tabla1[[#This Row],[P.U. M.N.]]*Tabla1[[#This Row],[CANTIDADES DE REFERENCIA]]</f>
        <v>5.54</v>
      </c>
      <c r="J1277" s="35">
        <f>Tabla1[[#This Row],[P.U. USD]]*Tabla1[[#This Row],[CANTIDADES DE REFERENCIA]]</f>
        <v>728.12</v>
      </c>
      <c r="K1277" s="36"/>
      <c r="L1277" s="36"/>
      <c r="M1277" s="36"/>
      <c r="N1277" s="37" t="s">
        <v>117</v>
      </c>
      <c r="O1277" s="37" t="s">
        <v>118</v>
      </c>
      <c r="P1277" s="38">
        <v>45883</v>
      </c>
      <c r="Q1277" s="37" t="s">
        <v>2773</v>
      </c>
      <c r="R1277" s="37"/>
      <c r="S1277" s="37" t="s">
        <v>120</v>
      </c>
      <c r="T1277" s="31"/>
    </row>
    <row r="1278" spans="1:20">
      <c r="A1278" s="31"/>
      <c r="B1278" s="32"/>
      <c r="C1278" s="33"/>
      <c r="D1278" s="32" t="s">
        <v>2774</v>
      </c>
      <c r="E1278" s="33" t="s">
        <v>116</v>
      </c>
      <c r="F1278" s="34">
        <v>1</v>
      </c>
      <c r="G1278" s="35">
        <v>0</v>
      </c>
      <c r="H1278" s="35">
        <v>0</v>
      </c>
      <c r="I1278" s="35">
        <f>Tabla1[[#This Row],[P.U. M.N.]]*Tabla1[[#This Row],[CANTIDADES DE REFERENCIA]]</f>
        <v>0</v>
      </c>
      <c r="J1278" s="35">
        <f>Tabla1[[#This Row],[P.U. USD]]*Tabla1[[#This Row],[CANTIDADES DE REFERENCIA]]</f>
        <v>0</v>
      </c>
      <c r="K1278" s="36"/>
      <c r="L1278" s="36"/>
      <c r="M1278" s="36"/>
      <c r="N1278" s="37" t="s">
        <v>117</v>
      </c>
      <c r="O1278" s="37" t="s">
        <v>118</v>
      </c>
      <c r="P1278" s="38"/>
      <c r="Q1278" s="37" t="s">
        <v>2775</v>
      </c>
      <c r="R1278" s="37"/>
      <c r="S1278" s="37" t="s">
        <v>120</v>
      </c>
      <c r="T1278" s="31"/>
    </row>
    <row r="1279" spans="1:20">
      <c r="A1279" s="31" t="s">
        <v>2651</v>
      </c>
      <c r="B1279" s="32" t="s">
        <v>2776</v>
      </c>
      <c r="C1279" s="33" t="str">
        <f>Tabla1[[#This Row],[PARTIDA]] &amp; "."</f>
        <v>9C-12.</v>
      </c>
      <c r="D1279" s="32" t="s">
        <v>2777</v>
      </c>
      <c r="E1279" s="33" t="s">
        <v>116</v>
      </c>
      <c r="F1279" s="34">
        <v>1</v>
      </c>
      <c r="G1279" s="35">
        <v>5.54</v>
      </c>
      <c r="H1279" s="35">
        <v>669.48</v>
      </c>
      <c r="I1279" s="35">
        <f>Tabla1[[#This Row],[P.U. M.N.]]*Tabla1[[#This Row],[CANTIDADES DE REFERENCIA]]</f>
        <v>5.54</v>
      </c>
      <c r="J1279" s="35">
        <f>Tabla1[[#This Row],[P.U. USD]]*Tabla1[[#This Row],[CANTIDADES DE REFERENCIA]]</f>
        <v>669.48</v>
      </c>
      <c r="K1279" s="36"/>
      <c r="L1279" s="36"/>
      <c r="M1279" s="36"/>
      <c r="N1279" s="37" t="s">
        <v>117</v>
      </c>
      <c r="O1279" s="37" t="s">
        <v>118</v>
      </c>
      <c r="P1279" s="38">
        <v>45883</v>
      </c>
      <c r="Q1279" s="37" t="s">
        <v>2778</v>
      </c>
      <c r="R1279" s="37"/>
      <c r="S1279" s="37" t="s">
        <v>120</v>
      </c>
      <c r="T1279" s="31"/>
    </row>
    <row r="1280" spans="1:20">
      <c r="A1280" s="31" t="s">
        <v>2779</v>
      </c>
      <c r="B1280" s="32" t="s">
        <v>2780</v>
      </c>
      <c r="C1280" s="33" t="str">
        <f>Tabla1[[#This Row],[PARTIDA]] &amp; "."</f>
        <v>10C-13.</v>
      </c>
      <c r="D1280" s="32" t="s">
        <v>2781</v>
      </c>
      <c r="E1280" s="33" t="s">
        <v>116</v>
      </c>
      <c r="F1280" s="34">
        <v>1</v>
      </c>
      <c r="G1280" s="35">
        <v>216.59</v>
      </c>
      <c r="H1280" s="35">
        <v>0</v>
      </c>
      <c r="I1280" s="35">
        <f>Tabla1[[#This Row],[P.U. M.N.]]*Tabla1[[#This Row],[CANTIDADES DE REFERENCIA]]</f>
        <v>216.59</v>
      </c>
      <c r="J1280" s="35">
        <f>Tabla1[[#This Row],[P.U. USD]]*Tabla1[[#This Row],[CANTIDADES DE REFERENCIA]]</f>
        <v>0</v>
      </c>
      <c r="K1280" s="36"/>
      <c r="L1280" s="36"/>
      <c r="M1280" s="36"/>
      <c r="N1280" s="37" t="s">
        <v>392</v>
      </c>
      <c r="O1280" s="37" t="s">
        <v>393</v>
      </c>
      <c r="P1280" s="38">
        <v>45884</v>
      </c>
      <c r="Q1280" s="37" t="s">
        <v>2782</v>
      </c>
      <c r="R1280" s="37"/>
      <c r="S1280" s="37" t="s">
        <v>395</v>
      </c>
      <c r="T1280" s="31"/>
    </row>
    <row r="1281" spans="1:20">
      <c r="A1281" s="31" t="s">
        <v>2779</v>
      </c>
      <c r="B1281" s="32" t="s">
        <v>2783</v>
      </c>
      <c r="C1281" s="33" t="str">
        <f>Tabla1[[#This Row],[PARTIDA]] &amp; "."</f>
        <v>11C-13.</v>
      </c>
      <c r="D1281" s="32" t="s">
        <v>2784</v>
      </c>
      <c r="E1281" s="33" t="s">
        <v>116</v>
      </c>
      <c r="F1281" s="34">
        <v>1</v>
      </c>
      <c r="G1281" s="35">
        <v>241.31</v>
      </c>
      <c r="H1281" s="35">
        <v>0</v>
      </c>
      <c r="I1281" s="35">
        <f>Tabla1[[#This Row],[P.U. M.N.]]*Tabla1[[#This Row],[CANTIDADES DE REFERENCIA]]</f>
        <v>241.31</v>
      </c>
      <c r="J1281" s="35">
        <f>Tabla1[[#This Row],[P.U. USD]]*Tabla1[[#This Row],[CANTIDADES DE REFERENCIA]]</f>
        <v>0</v>
      </c>
      <c r="K1281" s="36"/>
      <c r="L1281" s="36"/>
      <c r="M1281" s="36"/>
      <c r="N1281" s="37" t="s">
        <v>392</v>
      </c>
      <c r="O1281" s="37" t="s">
        <v>393</v>
      </c>
      <c r="P1281" s="38">
        <v>45884</v>
      </c>
      <c r="Q1281" s="37" t="s">
        <v>2785</v>
      </c>
      <c r="R1281" s="37"/>
      <c r="S1281" s="37" t="s">
        <v>395</v>
      </c>
      <c r="T1281" s="31"/>
    </row>
    <row r="1282" spans="1:20">
      <c r="A1282" s="31"/>
      <c r="B1282" s="32"/>
      <c r="C1282" s="33"/>
      <c r="D1282" s="32" t="s">
        <v>2786</v>
      </c>
      <c r="E1282" s="33" t="s">
        <v>116</v>
      </c>
      <c r="F1282" s="34">
        <v>1</v>
      </c>
      <c r="G1282" s="35">
        <v>0</v>
      </c>
      <c r="H1282" s="35">
        <v>0</v>
      </c>
      <c r="I1282" s="35">
        <f>Tabla1[[#This Row],[P.U. M.N.]]*Tabla1[[#This Row],[CANTIDADES DE REFERENCIA]]</f>
        <v>0</v>
      </c>
      <c r="J1282" s="35">
        <f>Tabla1[[#This Row],[P.U. USD]]*Tabla1[[#This Row],[CANTIDADES DE REFERENCIA]]</f>
        <v>0</v>
      </c>
      <c r="K1282" s="36"/>
      <c r="L1282" s="36"/>
      <c r="M1282" s="36"/>
      <c r="N1282" s="37" t="s">
        <v>117</v>
      </c>
      <c r="O1282" s="37" t="s">
        <v>118</v>
      </c>
      <c r="P1282" s="38"/>
      <c r="Q1282" s="37" t="s">
        <v>2787</v>
      </c>
      <c r="R1282" s="37"/>
      <c r="S1282" s="37" t="s">
        <v>120</v>
      </c>
      <c r="T1282" s="31"/>
    </row>
    <row r="1283" spans="1:20">
      <c r="A1283" s="31" t="s">
        <v>2779</v>
      </c>
      <c r="B1283" s="32" t="s">
        <v>2788</v>
      </c>
      <c r="C1283" s="33" t="str">
        <f>Tabla1[[#This Row],[PARTIDA]] &amp; "."</f>
        <v>12C-13.</v>
      </c>
      <c r="D1283" s="32" t="s">
        <v>2789</v>
      </c>
      <c r="E1283" s="33" t="s">
        <v>116</v>
      </c>
      <c r="F1283" s="34">
        <v>1</v>
      </c>
      <c r="G1283" s="35">
        <v>199.57</v>
      </c>
      <c r="H1283" s="35">
        <v>0</v>
      </c>
      <c r="I1283" s="35">
        <f>Tabla1[[#This Row],[P.U. M.N.]]*Tabla1[[#This Row],[CANTIDADES DE REFERENCIA]]</f>
        <v>199.57</v>
      </c>
      <c r="J1283" s="35">
        <f>Tabla1[[#This Row],[P.U. USD]]*Tabla1[[#This Row],[CANTIDADES DE REFERENCIA]]</f>
        <v>0</v>
      </c>
      <c r="K1283" s="36"/>
      <c r="L1283" s="36"/>
      <c r="M1283" s="36"/>
      <c r="N1283" s="37" t="s">
        <v>392</v>
      </c>
      <c r="O1283" s="37" t="s">
        <v>393</v>
      </c>
      <c r="P1283" s="38">
        <v>45884</v>
      </c>
      <c r="Q1283" s="37" t="s">
        <v>2790</v>
      </c>
      <c r="R1283" s="37"/>
      <c r="S1283" s="37" t="s">
        <v>395</v>
      </c>
      <c r="T1283" s="31"/>
    </row>
    <row r="1284" spans="1:20">
      <c r="A1284" s="31" t="s">
        <v>2779</v>
      </c>
      <c r="B1284" s="32" t="s">
        <v>2791</v>
      </c>
      <c r="C1284" s="33" t="str">
        <f>Tabla1[[#This Row],[PARTIDA]] &amp; "."</f>
        <v>13C-13.</v>
      </c>
      <c r="D1284" s="32" t="s">
        <v>2792</v>
      </c>
      <c r="E1284" s="33" t="s">
        <v>116</v>
      </c>
      <c r="F1284" s="34">
        <v>1</v>
      </c>
      <c r="G1284" s="35">
        <v>208.45</v>
      </c>
      <c r="H1284" s="35">
        <v>0</v>
      </c>
      <c r="I1284" s="35">
        <f>Tabla1[[#This Row],[P.U. M.N.]]*Tabla1[[#This Row],[CANTIDADES DE REFERENCIA]]</f>
        <v>208.45</v>
      </c>
      <c r="J1284" s="35">
        <f>Tabla1[[#This Row],[P.U. USD]]*Tabla1[[#This Row],[CANTIDADES DE REFERENCIA]]</f>
        <v>0</v>
      </c>
      <c r="K1284" s="36"/>
      <c r="L1284" s="36"/>
      <c r="M1284" s="36"/>
      <c r="N1284" s="37" t="s">
        <v>392</v>
      </c>
      <c r="O1284" s="37" t="s">
        <v>393</v>
      </c>
      <c r="P1284" s="38">
        <v>45884</v>
      </c>
      <c r="Q1284" s="37" t="s">
        <v>2793</v>
      </c>
      <c r="R1284" s="37"/>
      <c r="S1284" s="37" t="s">
        <v>395</v>
      </c>
      <c r="T1284" s="31"/>
    </row>
    <row r="1285" spans="1:20">
      <c r="A1285" s="31"/>
      <c r="B1285" s="32"/>
      <c r="C1285" s="33"/>
      <c r="D1285" s="32" t="s">
        <v>2794</v>
      </c>
      <c r="E1285" s="33" t="s">
        <v>116</v>
      </c>
      <c r="F1285" s="34">
        <v>1</v>
      </c>
      <c r="G1285" s="35">
        <v>0</v>
      </c>
      <c r="H1285" s="35">
        <v>0</v>
      </c>
      <c r="I1285" s="35">
        <f>Tabla1[[#This Row],[P.U. M.N.]]*Tabla1[[#This Row],[CANTIDADES DE REFERENCIA]]</f>
        <v>0</v>
      </c>
      <c r="J1285" s="35">
        <f>Tabla1[[#This Row],[P.U. USD]]*Tabla1[[#This Row],[CANTIDADES DE REFERENCIA]]</f>
        <v>0</v>
      </c>
      <c r="K1285" s="36"/>
      <c r="L1285" s="36"/>
      <c r="M1285" s="36"/>
      <c r="N1285" s="37" t="s">
        <v>117</v>
      </c>
      <c r="O1285" s="37" t="s">
        <v>118</v>
      </c>
      <c r="P1285" s="38"/>
      <c r="Q1285" s="37" t="s">
        <v>2795</v>
      </c>
      <c r="R1285" s="37"/>
      <c r="S1285" s="37" t="s">
        <v>120</v>
      </c>
      <c r="T1285" s="31"/>
    </row>
    <row r="1286" spans="1:20">
      <c r="A1286" s="31"/>
      <c r="B1286" s="32"/>
      <c r="C1286" s="33"/>
      <c r="D1286" s="32" t="s">
        <v>2796</v>
      </c>
      <c r="E1286" s="33" t="s">
        <v>116</v>
      </c>
      <c r="F1286" s="34">
        <v>1</v>
      </c>
      <c r="G1286" s="35">
        <v>0</v>
      </c>
      <c r="H1286" s="35">
        <v>0</v>
      </c>
      <c r="I1286" s="35">
        <f>Tabla1[[#This Row],[P.U. M.N.]]*Tabla1[[#This Row],[CANTIDADES DE REFERENCIA]]</f>
        <v>0</v>
      </c>
      <c r="J1286" s="35">
        <f>Tabla1[[#This Row],[P.U. USD]]*Tabla1[[#This Row],[CANTIDADES DE REFERENCIA]]</f>
        <v>0</v>
      </c>
      <c r="K1286" s="36"/>
      <c r="L1286" s="36"/>
      <c r="M1286" s="36"/>
      <c r="N1286" s="37" t="s">
        <v>117</v>
      </c>
      <c r="O1286" s="37" t="s">
        <v>118</v>
      </c>
      <c r="P1286" s="38"/>
      <c r="Q1286" s="37" t="s">
        <v>2797</v>
      </c>
      <c r="R1286" s="37"/>
      <c r="S1286" s="37" t="s">
        <v>120</v>
      </c>
      <c r="T1286" s="31"/>
    </row>
    <row r="1287" spans="1:20">
      <c r="A1287" s="31" t="s">
        <v>2779</v>
      </c>
      <c r="B1287" s="32" t="s">
        <v>2798</v>
      </c>
      <c r="C1287" s="33" t="str">
        <f>Tabla1[[#This Row],[PARTIDA]] &amp; "."</f>
        <v>14C-13.</v>
      </c>
      <c r="D1287" s="32" t="s">
        <v>2799</v>
      </c>
      <c r="E1287" s="33" t="s">
        <v>116</v>
      </c>
      <c r="F1287" s="34">
        <v>1</v>
      </c>
      <c r="G1287" s="35">
        <v>1259.98</v>
      </c>
      <c r="H1287" s="35">
        <v>0</v>
      </c>
      <c r="I1287" s="35">
        <f>Tabla1[[#This Row],[P.U. M.N.]]*Tabla1[[#This Row],[CANTIDADES DE REFERENCIA]]</f>
        <v>1259.98</v>
      </c>
      <c r="J1287" s="35">
        <f>Tabla1[[#This Row],[P.U. USD]]*Tabla1[[#This Row],[CANTIDADES DE REFERENCIA]]</f>
        <v>0</v>
      </c>
      <c r="K1287" s="36"/>
      <c r="L1287" s="36"/>
      <c r="M1287" s="36"/>
      <c r="N1287" s="37" t="s">
        <v>392</v>
      </c>
      <c r="O1287" s="37" t="s">
        <v>393</v>
      </c>
      <c r="P1287" s="38">
        <v>45884</v>
      </c>
      <c r="Q1287" s="37" t="s">
        <v>2800</v>
      </c>
      <c r="R1287" s="37"/>
      <c r="S1287" s="37" t="s">
        <v>395</v>
      </c>
      <c r="T1287" s="31"/>
    </row>
    <row r="1288" spans="1:20">
      <c r="A1288" s="31" t="s">
        <v>2779</v>
      </c>
      <c r="B1288" s="32" t="s">
        <v>2801</v>
      </c>
      <c r="C1288" s="33" t="str">
        <f>Tabla1[[#This Row],[PARTIDA]] &amp; "."</f>
        <v>15C-13.</v>
      </c>
      <c r="D1288" s="32" t="s">
        <v>2802</v>
      </c>
      <c r="E1288" s="33" t="s">
        <v>116</v>
      </c>
      <c r="F1288" s="34">
        <v>1</v>
      </c>
      <c r="G1288" s="35">
        <v>740.68</v>
      </c>
      <c r="H1288" s="35">
        <v>0</v>
      </c>
      <c r="I1288" s="35">
        <f>Tabla1[[#This Row],[P.U. M.N.]]*Tabla1[[#This Row],[CANTIDADES DE REFERENCIA]]</f>
        <v>740.68</v>
      </c>
      <c r="J1288" s="35">
        <f>Tabla1[[#This Row],[P.U. USD]]*Tabla1[[#This Row],[CANTIDADES DE REFERENCIA]]</f>
        <v>0</v>
      </c>
      <c r="K1288" s="36"/>
      <c r="L1288" s="36"/>
      <c r="M1288" s="36"/>
      <c r="N1288" s="37" t="s">
        <v>392</v>
      </c>
      <c r="O1288" s="37" t="s">
        <v>393</v>
      </c>
      <c r="P1288" s="38">
        <v>45884</v>
      </c>
      <c r="Q1288" s="37" t="s">
        <v>2803</v>
      </c>
      <c r="R1288" s="37"/>
      <c r="S1288" s="37" t="s">
        <v>395</v>
      </c>
      <c r="T1288" s="31"/>
    </row>
    <row r="1289" spans="1:20">
      <c r="A1289" s="31" t="s">
        <v>2779</v>
      </c>
      <c r="B1289" s="32" t="s">
        <v>2804</v>
      </c>
      <c r="C1289" s="33" t="str">
        <f>Tabla1[[#This Row],[PARTIDA]] &amp; "."</f>
        <v>16C-13.</v>
      </c>
      <c r="D1289" s="32" t="s">
        <v>2805</v>
      </c>
      <c r="E1289" s="33" t="s">
        <v>116</v>
      </c>
      <c r="F1289" s="34">
        <v>1</v>
      </c>
      <c r="G1289" s="35">
        <v>1107.73</v>
      </c>
      <c r="H1289" s="35">
        <v>0</v>
      </c>
      <c r="I1289" s="35">
        <f>Tabla1[[#This Row],[P.U. M.N.]]*Tabla1[[#This Row],[CANTIDADES DE REFERENCIA]]</f>
        <v>1107.73</v>
      </c>
      <c r="J1289" s="35">
        <f>Tabla1[[#This Row],[P.U. USD]]*Tabla1[[#This Row],[CANTIDADES DE REFERENCIA]]</f>
        <v>0</v>
      </c>
      <c r="K1289" s="36"/>
      <c r="L1289" s="36"/>
      <c r="M1289" s="36"/>
      <c r="N1289" s="37" t="s">
        <v>392</v>
      </c>
      <c r="O1289" s="37" t="s">
        <v>393</v>
      </c>
      <c r="P1289" s="38">
        <v>45884</v>
      </c>
      <c r="Q1289" s="37" t="s">
        <v>2806</v>
      </c>
      <c r="R1289" s="37"/>
      <c r="S1289" s="37" t="s">
        <v>395</v>
      </c>
      <c r="T1289" s="31"/>
    </row>
    <row r="1290" spans="1:20">
      <c r="A1290" s="31" t="s">
        <v>2779</v>
      </c>
      <c r="B1290" s="32" t="s">
        <v>2807</v>
      </c>
      <c r="C1290" s="33" t="str">
        <f>Tabla1[[#This Row],[PARTIDA]] &amp; "."</f>
        <v>17C-13.</v>
      </c>
      <c r="D1290" s="32" t="s">
        <v>2808</v>
      </c>
      <c r="E1290" s="33" t="s">
        <v>135</v>
      </c>
      <c r="F1290" s="34">
        <v>1</v>
      </c>
      <c r="G1290" s="35">
        <v>675.3</v>
      </c>
      <c r="H1290" s="35">
        <v>0</v>
      </c>
      <c r="I1290" s="35">
        <f>Tabla1[[#This Row],[P.U. M.N.]]*Tabla1[[#This Row],[CANTIDADES DE REFERENCIA]]</f>
        <v>675.3</v>
      </c>
      <c r="J1290" s="35">
        <f>Tabla1[[#This Row],[P.U. USD]]*Tabla1[[#This Row],[CANTIDADES DE REFERENCIA]]</f>
        <v>0</v>
      </c>
      <c r="K1290" s="36"/>
      <c r="L1290" s="36"/>
      <c r="M1290" s="36"/>
      <c r="N1290" s="37" t="s">
        <v>117</v>
      </c>
      <c r="O1290" s="37" t="s">
        <v>118</v>
      </c>
      <c r="P1290" s="38">
        <v>45884</v>
      </c>
      <c r="Q1290" s="37" t="s">
        <v>2809</v>
      </c>
      <c r="R1290" s="37"/>
      <c r="S1290" s="37" t="s">
        <v>120</v>
      </c>
      <c r="T1290" s="31"/>
    </row>
    <row r="1291" spans="1:20">
      <c r="A1291" s="31" t="s">
        <v>2779</v>
      </c>
      <c r="B1291" s="32" t="s">
        <v>2810</v>
      </c>
      <c r="C1291" s="33" t="str">
        <f>Tabla1[[#This Row],[PARTIDA]] &amp; "."</f>
        <v>18C-13.</v>
      </c>
      <c r="D1291" s="32" t="s">
        <v>2811</v>
      </c>
      <c r="E1291" s="33" t="s">
        <v>116</v>
      </c>
      <c r="F1291" s="34">
        <v>1</v>
      </c>
      <c r="G1291" s="35">
        <v>16.170000000000002</v>
      </c>
      <c r="H1291" s="35">
        <v>0</v>
      </c>
      <c r="I1291" s="35">
        <f>Tabla1[[#This Row],[P.U. M.N.]]*Tabla1[[#This Row],[CANTIDADES DE REFERENCIA]]</f>
        <v>16.170000000000002</v>
      </c>
      <c r="J1291" s="35">
        <f>Tabla1[[#This Row],[P.U. USD]]*Tabla1[[#This Row],[CANTIDADES DE REFERENCIA]]</f>
        <v>0</v>
      </c>
      <c r="K1291" s="36"/>
      <c r="L1291" s="36"/>
      <c r="M1291" s="36"/>
      <c r="N1291" s="37" t="s">
        <v>117</v>
      </c>
      <c r="O1291" s="37" t="s">
        <v>118</v>
      </c>
      <c r="P1291" s="38">
        <v>45884</v>
      </c>
      <c r="Q1291" s="37" t="s">
        <v>2812</v>
      </c>
      <c r="R1291" s="37"/>
      <c r="S1291" s="37" t="s">
        <v>120</v>
      </c>
      <c r="T1291" s="31"/>
    </row>
    <row r="1292" spans="1:20">
      <c r="A1292" s="31" t="s">
        <v>2779</v>
      </c>
      <c r="B1292" s="32" t="s">
        <v>2813</v>
      </c>
      <c r="C1292" s="33" t="str">
        <f>Tabla1[[#This Row],[PARTIDA]] &amp; "."</f>
        <v>19C-13.</v>
      </c>
      <c r="D1292" s="32" t="s">
        <v>2814</v>
      </c>
      <c r="E1292" s="33" t="s">
        <v>116</v>
      </c>
      <c r="F1292" s="34">
        <v>1</v>
      </c>
      <c r="G1292" s="35">
        <v>150.85</v>
      </c>
      <c r="H1292" s="35">
        <v>0</v>
      </c>
      <c r="I1292" s="35">
        <f>Tabla1[[#This Row],[P.U. M.N.]]*Tabla1[[#This Row],[CANTIDADES DE REFERENCIA]]</f>
        <v>150.85</v>
      </c>
      <c r="J1292" s="35">
        <f>Tabla1[[#This Row],[P.U. USD]]*Tabla1[[#This Row],[CANTIDADES DE REFERENCIA]]</f>
        <v>0</v>
      </c>
      <c r="K1292" s="36"/>
      <c r="L1292" s="36"/>
      <c r="M1292" s="36"/>
      <c r="N1292" s="37" t="s">
        <v>117</v>
      </c>
      <c r="O1292" s="37" t="s">
        <v>118</v>
      </c>
      <c r="P1292" s="38">
        <v>45884</v>
      </c>
      <c r="Q1292" s="37" t="s">
        <v>2815</v>
      </c>
      <c r="R1292" s="37"/>
      <c r="S1292" s="37" t="s">
        <v>120</v>
      </c>
      <c r="T1292" s="31"/>
    </row>
    <row r="1293" spans="1:20">
      <c r="A1293" s="31" t="s">
        <v>2779</v>
      </c>
      <c r="B1293" s="32" t="s">
        <v>2816</v>
      </c>
      <c r="C1293" s="33" t="str">
        <f>Tabla1[[#This Row],[PARTIDA]] &amp; "."</f>
        <v>1C-13.</v>
      </c>
      <c r="D1293" s="32" t="s">
        <v>2817</v>
      </c>
      <c r="E1293" s="33" t="s">
        <v>116</v>
      </c>
      <c r="F1293" s="34">
        <v>1</v>
      </c>
      <c r="G1293" s="35">
        <v>219.47</v>
      </c>
      <c r="H1293" s="35">
        <v>0</v>
      </c>
      <c r="I1293" s="35">
        <f>Tabla1[[#This Row],[P.U. M.N.]]*Tabla1[[#This Row],[CANTIDADES DE REFERENCIA]]</f>
        <v>219.47</v>
      </c>
      <c r="J1293" s="35">
        <f>Tabla1[[#This Row],[P.U. USD]]*Tabla1[[#This Row],[CANTIDADES DE REFERENCIA]]</f>
        <v>0</v>
      </c>
      <c r="K1293" s="36"/>
      <c r="L1293" s="36"/>
      <c r="M1293" s="36"/>
      <c r="N1293" s="37" t="s">
        <v>79</v>
      </c>
      <c r="O1293" s="37" t="s">
        <v>80</v>
      </c>
      <c r="P1293" s="38">
        <v>45884</v>
      </c>
      <c r="Q1293" s="37" t="s">
        <v>2818</v>
      </c>
      <c r="R1293" s="37"/>
      <c r="S1293" s="37" t="s">
        <v>82</v>
      </c>
      <c r="T1293" s="31"/>
    </row>
    <row r="1294" spans="1:20">
      <c r="A1294" s="31" t="s">
        <v>2779</v>
      </c>
      <c r="B1294" s="32" t="s">
        <v>2819</v>
      </c>
      <c r="C1294" s="33" t="str">
        <f>Tabla1[[#This Row],[PARTIDA]] &amp; "."</f>
        <v>20C-13.</v>
      </c>
      <c r="D1294" s="32" t="s">
        <v>2820</v>
      </c>
      <c r="E1294" s="33" t="s">
        <v>116</v>
      </c>
      <c r="F1294" s="34">
        <v>1</v>
      </c>
      <c r="G1294" s="35">
        <v>216.62</v>
      </c>
      <c r="H1294" s="35">
        <v>0</v>
      </c>
      <c r="I1294" s="35">
        <f>Tabla1[[#This Row],[P.U. M.N.]]*Tabla1[[#This Row],[CANTIDADES DE REFERENCIA]]</f>
        <v>216.62</v>
      </c>
      <c r="J1294" s="35">
        <f>Tabla1[[#This Row],[P.U. USD]]*Tabla1[[#This Row],[CANTIDADES DE REFERENCIA]]</f>
        <v>0</v>
      </c>
      <c r="K1294" s="36"/>
      <c r="L1294" s="36"/>
      <c r="M1294" s="36"/>
      <c r="N1294" s="37" t="s">
        <v>117</v>
      </c>
      <c r="O1294" s="37" t="s">
        <v>118</v>
      </c>
      <c r="P1294" s="38">
        <v>45884</v>
      </c>
      <c r="Q1294" s="37" t="s">
        <v>2821</v>
      </c>
      <c r="R1294" s="37"/>
      <c r="S1294" s="37" t="s">
        <v>120</v>
      </c>
      <c r="T1294" s="31"/>
    </row>
    <row r="1295" spans="1:20">
      <c r="A1295" s="31" t="s">
        <v>2779</v>
      </c>
      <c r="B1295" s="32" t="s">
        <v>2822</v>
      </c>
      <c r="C1295" s="33" t="str">
        <f>Tabla1[[#This Row],[PARTIDA]] &amp; "."</f>
        <v>21C-13.</v>
      </c>
      <c r="D1295" s="32" t="s">
        <v>2823</v>
      </c>
      <c r="E1295" s="33" t="s">
        <v>135</v>
      </c>
      <c r="F1295" s="34">
        <v>1</v>
      </c>
      <c r="G1295" s="35">
        <v>66.849999999999994</v>
      </c>
      <c r="H1295" s="35">
        <v>0</v>
      </c>
      <c r="I1295" s="35">
        <f>Tabla1[[#This Row],[P.U. M.N.]]*Tabla1[[#This Row],[CANTIDADES DE REFERENCIA]]</f>
        <v>66.849999999999994</v>
      </c>
      <c r="J1295" s="35">
        <f>Tabla1[[#This Row],[P.U. USD]]*Tabla1[[#This Row],[CANTIDADES DE REFERENCIA]]</f>
        <v>0</v>
      </c>
      <c r="K1295" s="36"/>
      <c r="L1295" s="36"/>
      <c r="M1295" s="36"/>
      <c r="N1295" s="37" t="s">
        <v>117</v>
      </c>
      <c r="O1295" s="37" t="s">
        <v>118</v>
      </c>
      <c r="P1295" s="38">
        <v>45884</v>
      </c>
      <c r="Q1295" s="37" t="s">
        <v>2824</v>
      </c>
      <c r="R1295" s="37"/>
      <c r="S1295" s="37" t="s">
        <v>120</v>
      </c>
      <c r="T1295" s="31"/>
    </row>
    <row r="1296" spans="1:20">
      <c r="A1296" s="31" t="s">
        <v>2779</v>
      </c>
      <c r="B1296" s="32" t="s">
        <v>2825</v>
      </c>
      <c r="C1296" s="33" t="str">
        <f>Tabla1[[#This Row],[PARTIDA]] &amp; "."</f>
        <v>2C-13.</v>
      </c>
      <c r="D1296" s="32" t="s">
        <v>2826</v>
      </c>
      <c r="E1296" s="33" t="s">
        <v>116</v>
      </c>
      <c r="F1296" s="34">
        <v>1</v>
      </c>
      <c r="G1296" s="35">
        <v>342.87</v>
      </c>
      <c r="H1296" s="35">
        <v>0</v>
      </c>
      <c r="I1296" s="35">
        <f>Tabla1[[#This Row],[P.U. M.N.]]*Tabla1[[#This Row],[CANTIDADES DE REFERENCIA]]</f>
        <v>342.87</v>
      </c>
      <c r="J1296" s="35">
        <f>Tabla1[[#This Row],[P.U. USD]]*Tabla1[[#This Row],[CANTIDADES DE REFERENCIA]]</f>
        <v>0</v>
      </c>
      <c r="K1296" s="36"/>
      <c r="L1296" s="36"/>
      <c r="M1296" s="36"/>
      <c r="N1296" s="37" t="s">
        <v>79</v>
      </c>
      <c r="O1296" s="37" t="s">
        <v>80</v>
      </c>
      <c r="P1296" s="38">
        <v>45884</v>
      </c>
      <c r="Q1296" s="37" t="s">
        <v>2827</v>
      </c>
      <c r="R1296" s="37"/>
      <c r="S1296" s="37" t="s">
        <v>82</v>
      </c>
      <c r="T1296" s="31"/>
    </row>
    <row r="1297" spans="1:20">
      <c r="A1297" s="31" t="s">
        <v>2779</v>
      </c>
      <c r="B1297" s="32" t="s">
        <v>2828</v>
      </c>
      <c r="C1297" s="33" t="str">
        <f>Tabla1[[#This Row],[PARTIDA]] &amp; "."</f>
        <v>3C-13.</v>
      </c>
      <c r="D1297" s="32" t="s">
        <v>2829</v>
      </c>
      <c r="E1297" s="33" t="s">
        <v>116</v>
      </c>
      <c r="F1297" s="34">
        <v>1</v>
      </c>
      <c r="G1297" s="35">
        <v>383.48</v>
      </c>
      <c r="H1297" s="35">
        <v>0</v>
      </c>
      <c r="I1297" s="35">
        <f>Tabla1[[#This Row],[P.U. M.N.]]*Tabla1[[#This Row],[CANTIDADES DE REFERENCIA]]</f>
        <v>383.48</v>
      </c>
      <c r="J1297" s="35">
        <f>Tabla1[[#This Row],[P.U. USD]]*Tabla1[[#This Row],[CANTIDADES DE REFERENCIA]]</f>
        <v>0</v>
      </c>
      <c r="K1297" s="36"/>
      <c r="L1297" s="36"/>
      <c r="M1297" s="36"/>
      <c r="N1297" s="37" t="s">
        <v>79</v>
      </c>
      <c r="O1297" s="37" t="s">
        <v>80</v>
      </c>
      <c r="P1297" s="38">
        <v>45884</v>
      </c>
      <c r="Q1297" s="37" t="s">
        <v>2830</v>
      </c>
      <c r="R1297" s="37"/>
      <c r="S1297" s="37" t="s">
        <v>82</v>
      </c>
      <c r="T1297" s="31"/>
    </row>
    <row r="1298" spans="1:20">
      <c r="A1298" s="31"/>
      <c r="B1298" s="32"/>
      <c r="C1298" s="33"/>
      <c r="D1298" s="32" t="s">
        <v>2831</v>
      </c>
      <c r="E1298" s="33" t="s">
        <v>116</v>
      </c>
      <c r="F1298" s="34">
        <v>1</v>
      </c>
      <c r="G1298" s="35">
        <v>0</v>
      </c>
      <c r="H1298" s="35">
        <v>0</v>
      </c>
      <c r="I1298" s="35">
        <f>Tabla1[[#This Row],[P.U. M.N.]]*Tabla1[[#This Row],[CANTIDADES DE REFERENCIA]]</f>
        <v>0</v>
      </c>
      <c r="J1298" s="35">
        <f>Tabla1[[#This Row],[P.U. USD]]*Tabla1[[#This Row],[CANTIDADES DE REFERENCIA]]</f>
        <v>0</v>
      </c>
      <c r="K1298" s="36"/>
      <c r="L1298" s="36"/>
      <c r="M1298" s="36"/>
      <c r="N1298" s="37" t="s">
        <v>117</v>
      </c>
      <c r="O1298" s="37" t="s">
        <v>118</v>
      </c>
      <c r="P1298" s="38"/>
      <c r="Q1298" s="37" t="s">
        <v>2832</v>
      </c>
      <c r="R1298" s="37"/>
      <c r="S1298" s="37" t="s">
        <v>120</v>
      </c>
      <c r="T1298" s="31"/>
    </row>
    <row r="1299" spans="1:20">
      <c r="A1299" s="31"/>
      <c r="B1299" s="32"/>
      <c r="C1299" s="33"/>
      <c r="D1299" s="32" t="s">
        <v>2833</v>
      </c>
      <c r="E1299" s="33" t="s">
        <v>116</v>
      </c>
      <c r="F1299" s="34">
        <v>1</v>
      </c>
      <c r="G1299" s="35">
        <v>0</v>
      </c>
      <c r="H1299" s="35">
        <v>0</v>
      </c>
      <c r="I1299" s="35">
        <f>Tabla1[[#This Row],[P.U. M.N.]]*Tabla1[[#This Row],[CANTIDADES DE REFERENCIA]]</f>
        <v>0</v>
      </c>
      <c r="J1299" s="35">
        <f>Tabla1[[#This Row],[P.U. USD]]*Tabla1[[#This Row],[CANTIDADES DE REFERENCIA]]</f>
        <v>0</v>
      </c>
      <c r="K1299" s="36"/>
      <c r="L1299" s="36"/>
      <c r="M1299" s="36"/>
      <c r="N1299" s="37" t="s">
        <v>117</v>
      </c>
      <c r="O1299" s="37" t="s">
        <v>118</v>
      </c>
      <c r="P1299" s="38"/>
      <c r="Q1299" s="37" t="s">
        <v>2834</v>
      </c>
      <c r="R1299" s="37"/>
      <c r="S1299" s="37" t="s">
        <v>120</v>
      </c>
      <c r="T1299" s="31"/>
    </row>
    <row r="1300" spans="1:20">
      <c r="A1300" s="31" t="s">
        <v>2779</v>
      </c>
      <c r="B1300" s="32" t="s">
        <v>2835</v>
      </c>
      <c r="C1300" s="33" t="str">
        <f>Tabla1[[#This Row],[PARTIDA]] &amp; "."</f>
        <v>4C-13.</v>
      </c>
      <c r="D1300" s="32" t="s">
        <v>2836</v>
      </c>
      <c r="E1300" s="33" t="s">
        <v>116</v>
      </c>
      <c r="F1300" s="34">
        <v>1</v>
      </c>
      <c r="G1300" s="35">
        <v>397.52</v>
      </c>
      <c r="H1300" s="35">
        <v>0</v>
      </c>
      <c r="I1300" s="35">
        <f>Tabla1[[#This Row],[P.U. M.N.]]*Tabla1[[#This Row],[CANTIDADES DE REFERENCIA]]</f>
        <v>397.52</v>
      </c>
      <c r="J1300" s="35">
        <f>Tabla1[[#This Row],[P.U. USD]]*Tabla1[[#This Row],[CANTIDADES DE REFERENCIA]]</f>
        <v>0</v>
      </c>
      <c r="K1300" s="36"/>
      <c r="L1300" s="36"/>
      <c r="M1300" s="36"/>
      <c r="N1300" s="37" t="s">
        <v>79</v>
      </c>
      <c r="O1300" s="37" t="s">
        <v>80</v>
      </c>
      <c r="P1300" s="38">
        <v>45884</v>
      </c>
      <c r="Q1300" s="37" t="s">
        <v>2837</v>
      </c>
      <c r="R1300" s="37"/>
      <c r="S1300" s="37" t="s">
        <v>82</v>
      </c>
      <c r="T1300" s="31"/>
    </row>
    <row r="1301" spans="1:20">
      <c r="A1301" s="31" t="s">
        <v>2779</v>
      </c>
      <c r="B1301" s="32" t="s">
        <v>2838</v>
      </c>
      <c r="C1301" s="33" t="str">
        <f>Tabla1[[#This Row],[PARTIDA]] &amp; "."</f>
        <v>5C-13.</v>
      </c>
      <c r="D1301" s="32" t="s">
        <v>2839</v>
      </c>
      <c r="E1301" s="33" t="s">
        <v>116</v>
      </c>
      <c r="F1301" s="34">
        <v>1</v>
      </c>
      <c r="G1301" s="35">
        <v>555.33000000000004</v>
      </c>
      <c r="H1301" s="35">
        <v>0</v>
      </c>
      <c r="I1301" s="35">
        <f>Tabla1[[#This Row],[P.U. M.N.]]*Tabla1[[#This Row],[CANTIDADES DE REFERENCIA]]</f>
        <v>555.33000000000004</v>
      </c>
      <c r="J1301" s="35">
        <f>Tabla1[[#This Row],[P.U. USD]]*Tabla1[[#This Row],[CANTIDADES DE REFERENCIA]]</f>
        <v>0</v>
      </c>
      <c r="K1301" s="36"/>
      <c r="L1301" s="36"/>
      <c r="M1301" s="36"/>
      <c r="N1301" s="37" t="s">
        <v>79</v>
      </c>
      <c r="O1301" s="37" t="s">
        <v>80</v>
      </c>
      <c r="P1301" s="38">
        <v>45884</v>
      </c>
      <c r="Q1301" s="37" t="s">
        <v>2840</v>
      </c>
      <c r="R1301" s="37"/>
      <c r="S1301" s="37" t="s">
        <v>82</v>
      </c>
      <c r="T1301" s="31"/>
    </row>
    <row r="1302" spans="1:20">
      <c r="A1302" s="31" t="s">
        <v>2779</v>
      </c>
      <c r="B1302" s="32" t="s">
        <v>2841</v>
      </c>
      <c r="C1302" s="33" t="str">
        <f>Tabla1[[#This Row],[PARTIDA]] &amp; "."</f>
        <v>6C-13.</v>
      </c>
      <c r="D1302" s="32" t="s">
        <v>2842</v>
      </c>
      <c r="E1302" s="33" t="s">
        <v>116</v>
      </c>
      <c r="F1302" s="34">
        <v>1</v>
      </c>
      <c r="G1302" s="35">
        <v>12822.72</v>
      </c>
      <c r="H1302" s="35">
        <v>0</v>
      </c>
      <c r="I1302" s="35">
        <f>Tabla1[[#This Row],[P.U. M.N.]]*Tabla1[[#This Row],[CANTIDADES DE REFERENCIA]]</f>
        <v>12822.72</v>
      </c>
      <c r="J1302" s="35">
        <f>Tabla1[[#This Row],[P.U. USD]]*Tabla1[[#This Row],[CANTIDADES DE REFERENCIA]]</f>
        <v>0</v>
      </c>
      <c r="K1302" s="36"/>
      <c r="L1302" s="36"/>
      <c r="M1302" s="36"/>
      <c r="N1302" s="37" t="s">
        <v>392</v>
      </c>
      <c r="O1302" s="37" t="s">
        <v>393</v>
      </c>
      <c r="P1302" s="38">
        <v>45884</v>
      </c>
      <c r="Q1302" s="37" t="s">
        <v>2843</v>
      </c>
      <c r="R1302" s="37"/>
      <c r="S1302" s="37" t="s">
        <v>395</v>
      </c>
      <c r="T1302" s="31"/>
    </row>
    <row r="1303" spans="1:20">
      <c r="A1303" s="31" t="s">
        <v>2779</v>
      </c>
      <c r="B1303" s="32" t="s">
        <v>2844</v>
      </c>
      <c r="C1303" s="33" t="str">
        <f>Tabla1[[#This Row],[PARTIDA]] &amp; "."</f>
        <v>7C-13.</v>
      </c>
      <c r="D1303" s="32" t="s">
        <v>2845</v>
      </c>
      <c r="E1303" s="33" t="s">
        <v>116</v>
      </c>
      <c r="F1303" s="34">
        <v>1</v>
      </c>
      <c r="G1303" s="35">
        <v>408.88</v>
      </c>
      <c r="H1303" s="35">
        <v>0</v>
      </c>
      <c r="I1303" s="35">
        <f>Tabla1[[#This Row],[P.U. M.N.]]*Tabla1[[#This Row],[CANTIDADES DE REFERENCIA]]</f>
        <v>408.88</v>
      </c>
      <c r="J1303" s="35">
        <f>Tabla1[[#This Row],[P.U. USD]]*Tabla1[[#This Row],[CANTIDADES DE REFERENCIA]]</f>
        <v>0</v>
      </c>
      <c r="K1303" s="36"/>
      <c r="L1303" s="36"/>
      <c r="M1303" s="36"/>
      <c r="N1303" s="37" t="s">
        <v>392</v>
      </c>
      <c r="O1303" s="37" t="s">
        <v>393</v>
      </c>
      <c r="P1303" s="38">
        <v>45884</v>
      </c>
      <c r="Q1303" s="37" t="s">
        <v>2846</v>
      </c>
      <c r="R1303" s="37"/>
      <c r="S1303" s="37" t="s">
        <v>395</v>
      </c>
      <c r="T1303" s="31"/>
    </row>
    <row r="1304" spans="1:20">
      <c r="A1304" s="31"/>
      <c r="B1304" s="32"/>
      <c r="C1304" s="33"/>
      <c r="D1304" s="32" t="s">
        <v>2847</v>
      </c>
      <c r="E1304" s="33" t="s">
        <v>130</v>
      </c>
      <c r="F1304" s="34">
        <v>1</v>
      </c>
      <c r="G1304" s="35">
        <v>0</v>
      </c>
      <c r="H1304" s="35">
        <v>0</v>
      </c>
      <c r="I1304" s="35">
        <f>Tabla1[[#This Row],[P.U. M.N.]]*Tabla1[[#This Row],[CANTIDADES DE REFERENCIA]]</f>
        <v>0</v>
      </c>
      <c r="J1304" s="35">
        <f>Tabla1[[#This Row],[P.U. USD]]*Tabla1[[#This Row],[CANTIDADES DE REFERENCIA]]</f>
        <v>0</v>
      </c>
      <c r="K1304" s="36"/>
      <c r="L1304" s="36"/>
      <c r="M1304" s="36"/>
      <c r="N1304" s="37" t="s">
        <v>117</v>
      </c>
      <c r="O1304" s="37" t="s">
        <v>118</v>
      </c>
      <c r="P1304" s="38"/>
      <c r="Q1304" s="37" t="s">
        <v>2848</v>
      </c>
      <c r="R1304" s="37"/>
      <c r="S1304" s="37" t="s">
        <v>120</v>
      </c>
      <c r="T1304" s="31"/>
    </row>
    <row r="1305" spans="1:20">
      <c r="A1305" s="31"/>
      <c r="B1305" s="32"/>
      <c r="C1305" s="33"/>
      <c r="D1305" s="32" t="s">
        <v>2849</v>
      </c>
      <c r="E1305" s="33" t="s">
        <v>130</v>
      </c>
      <c r="F1305" s="34">
        <v>1</v>
      </c>
      <c r="G1305" s="35">
        <v>0</v>
      </c>
      <c r="H1305" s="35">
        <v>0</v>
      </c>
      <c r="I1305" s="35">
        <f>Tabla1[[#This Row],[P.U. M.N.]]*Tabla1[[#This Row],[CANTIDADES DE REFERENCIA]]</f>
        <v>0</v>
      </c>
      <c r="J1305" s="35">
        <f>Tabla1[[#This Row],[P.U. USD]]*Tabla1[[#This Row],[CANTIDADES DE REFERENCIA]]</f>
        <v>0</v>
      </c>
      <c r="K1305" s="36"/>
      <c r="L1305" s="36"/>
      <c r="M1305" s="36"/>
      <c r="N1305" s="37" t="s">
        <v>117</v>
      </c>
      <c r="O1305" s="37" t="s">
        <v>118</v>
      </c>
      <c r="P1305" s="38"/>
      <c r="Q1305" s="37" t="s">
        <v>2850</v>
      </c>
      <c r="R1305" s="37"/>
      <c r="S1305" s="37" t="s">
        <v>120</v>
      </c>
      <c r="T1305" s="31"/>
    </row>
    <row r="1306" spans="1:20">
      <c r="A1306" s="31"/>
      <c r="B1306" s="32"/>
      <c r="C1306" s="33"/>
      <c r="D1306" s="32" t="s">
        <v>2851</v>
      </c>
      <c r="E1306" s="33" t="s">
        <v>2852</v>
      </c>
      <c r="F1306" s="34">
        <v>1</v>
      </c>
      <c r="G1306" s="35">
        <v>0</v>
      </c>
      <c r="H1306" s="35">
        <v>0</v>
      </c>
      <c r="I1306" s="35">
        <f>Tabla1[[#This Row],[P.U. M.N.]]*Tabla1[[#This Row],[CANTIDADES DE REFERENCIA]]</f>
        <v>0</v>
      </c>
      <c r="J1306" s="35">
        <f>Tabla1[[#This Row],[P.U. USD]]*Tabla1[[#This Row],[CANTIDADES DE REFERENCIA]]</f>
        <v>0</v>
      </c>
      <c r="K1306" s="36"/>
      <c r="L1306" s="36"/>
      <c r="M1306" s="36"/>
      <c r="N1306" s="37" t="s">
        <v>117</v>
      </c>
      <c r="O1306" s="37" t="s">
        <v>118</v>
      </c>
      <c r="P1306" s="38"/>
      <c r="Q1306" s="37" t="s">
        <v>2853</v>
      </c>
      <c r="R1306" s="37"/>
      <c r="S1306" s="37" t="s">
        <v>120</v>
      </c>
      <c r="T1306" s="31"/>
    </row>
    <row r="1307" spans="1:20">
      <c r="A1307" s="31"/>
      <c r="B1307" s="32"/>
      <c r="C1307" s="33"/>
      <c r="D1307" s="32" t="s">
        <v>2854</v>
      </c>
      <c r="E1307" s="33" t="s">
        <v>2606</v>
      </c>
      <c r="F1307" s="34">
        <v>1</v>
      </c>
      <c r="G1307" s="35">
        <v>0</v>
      </c>
      <c r="H1307" s="35">
        <v>0</v>
      </c>
      <c r="I1307" s="35">
        <f>Tabla1[[#This Row],[P.U. M.N.]]*Tabla1[[#This Row],[CANTIDADES DE REFERENCIA]]</f>
        <v>0</v>
      </c>
      <c r="J1307" s="35">
        <f>Tabla1[[#This Row],[P.U. USD]]*Tabla1[[#This Row],[CANTIDADES DE REFERENCIA]]</f>
        <v>0</v>
      </c>
      <c r="K1307" s="36"/>
      <c r="L1307" s="36"/>
      <c r="M1307" s="36"/>
      <c r="N1307" s="37" t="s">
        <v>117</v>
      </c>
      <c r="O1307" s="37" t="s">
        <v>118</v>
      </c>
      <c r="P1307" s="38"/>
      <c r="Q1307" s="37" t="s">
        <v>2855</v>
      </c>
      <c r="R1307" s="37"/>
      <c r="S1307" s="37" t="s">
        <v>120</v>
      </c>
      <c r="T1307" s="31"/>
    </row>
    <row r="1308" spans="1:20">
      <c r="A1308" s="31"/>
      <c r="B1308" s="32"/>
      <c r="C1308" s="33"/>
      <c r="D1308" s="32" t="s">
        <v>2856</v>
      </c>
      <c r="E1308" s="33" t="s">
        <v>116</v>
      </c>
      <c r="F1308" s="34">
        <v>1</v>
      </c>
      <c r="G1308" s="35">
        <v>0</v>
      </c>
      <c r="H1308" s="35">
        <v>0</v>
      </c>
      <c r="I1308" s="35">
        <f>Tabla1[[#This Row],[P.U. M.N.]]*Tabla1[[#This Row],[CANTIDADES DE REFERENCIA]]</f>
        <v>0</v>
      </c>
      <c r="J1308" s="35">
        <f>Tabla1[[#This Row],[P.U. USD]]*Tabla1[[#This Row],[CANTIDADES DE REFERENCIA]]</f>
        <v>0</v>
      </c>
      <c r="K1308" s="36"/>
      <c r="L1308" s="36"/>
      <c r="M1308" s="36"/>
      <c r="N1308" s="37" t="s">
        <v>117</v>
      </c>
      <c r="O1308" s="37" t="s">
        <v>118</v>
      </c>
      <c r="P1308" s="38"/>
      <c r="Q1308" s="37" t="s">
        <v>2857</v>
      </c>
      <c r="R1308" s="37"/>
      <c r="S1308" s="37" t="s">
        <v>120</v>
      </c>
      <c r="T1308" s="31"/>
    </row>
    <row r="1309" spans="1:20">
      <c r="A1309" s="31" t="s">
        <v>2779</v>
      </c>
      <c r="B1309" s="32" t="s">
        <v>2858</v>
      </c>
      <c r="C1309" s="33" t="str">
        <f>Tabla1[[#This Row],[PARTIDA]] &amp; "."</f>
        <v>8C-13.</v>
      </c>
      <c r="D1309" s="32" t="s">
        <v>2859</v>
      </c>
      <c r="E1309" s="33" t="s">
        <v>116</v>
      </c>
      <c r="F1309" s="34">
        <v>1</v>
      </c>
      <c r="G1309" s="35">
        <v>606.46</v>
      </c>
      <c r="H1309" s="35">
        <v>0</v>
      </c>
      <c r="I1309" s="35">
        <f>Tabla1[[#This Row],[P.U. M.N.]]*Tabla1[[#This Row],[CANTIDADES DE REFERENCIA]]</f>
        <v>606.46</v>
      </c>
      <c r="J1309" s="35">
        <f>Tabla1[[#This Row],[P.U. USD]]*Tabla1[[#This Row],[CANTIDADES DE REFERENCIA]]</f>
        <v>0</v>
      </c>
      <c r="K1309" s="36"/>
      <c r="L1309" s="36"/>
      <c r="M1309" s="36"/>
      <c r="N1309" s="37" t="s">
        <v>392</v>
      </c>
      <c r="O1309" s="37" t="s">
        <v>393</v>
      </c>
      <c r="P1309" s="38">
        <v>45884</v>
      </c>
      <c r="Q1309" s="37" t="s">
        <v>2860</v>
      </c>
      <c r="R1309" s="37"/>
      <c r="S1309" s="37" t="s">
        <v>395</v>
      </c>
      <c r="T1309" s="31"/>
    </row>
    <row r="1310" spans="1:20">
      <c r="A1310" s="31" t="s">
        <v>2779</v>
      </c>
      <c r="B1310" s="32" t="s">
        <v>2861</v>
      </c>
      <c r="C1310" s="33" t="str">
        <f>Tabla1[[#This Row],[PARTIDA]] &amp; "."</f>
        <v>9C-13.</v>
      </c>
      <c r="D1310" s="32" t="s">
        <v>2862</v>
      </c>
      <c r="E1310" s="33" t="s">
        <v>116</v>
      </c>
      <c r="F1310" s="34">
        <v>1</v>
      </c>
      <c r="G1310" s="35">
        <v>181.84</v>
      </c>
      <c r="H1310" s="35">
        <v>0</v>
      </c>
      <c r="I1310" s="35">
        <f>Tabla1[[#This Row],[P.U. M.N.]]*Tabla1[[#This Row],[CANTIDADES DE REFERENCIA]]</f>
        <v>181.84</v>
      </c>
      <c r="J1310" s="35">
        <f>Tabla1[[#This Row],[P.U. USD]]*Tabla1[[#This Row],[CANTIDADES DE REFERENCIA]]</f>
        <v>0</v>
      </c>
      <c r="K1310" s="36"/>
      <c r="L1310" s="36"/>
      <c r="M1310" s="36"/>
      <c r="N1310" s="37" t="s">
        <v>392</v>
      </c>
      <c r="O1310" s="37" t="s">
        <v>393</v>
      </c>
      <c r="P1310" s="38">
        <v>45884</v>
      </c>
      <c r="Q1310" s="37" t="s">
        <v>2863</v>
      </c>
      <c r="R1310" s="37"/>
      <c r="S1310" s="37" t="s">
        <v>395</v>
      </c>
      <c r="T1310" s="31"/>
    </row>
    <row r="1311" spans="1:20">
      <c r="A1311" s="31" t="s">
        <v>2864</v>
      </c>
      <c r="B1311" s="32" t="s">
        <v>2865</v>
      </c>
      <c r="C1311" s="33" t="str">
        <f>Tabla1[[#This Row],[PARTIDA]] &amp; "."</f>
        <v>1C-14.</v>
      </c>
      <c r="D1311" s="32" t="s">
        <v>2866</v>
      </c>
      <c r="E1311" s="33" t="s">
        <v>42</v>
      </c>
      <c r="F1311" s="34">
        <v>1</v>
      </c>
      <c r="G1311" s="35">
        <v>13362307.239999998</v>
      </c>
      <c r="H1311" s="35">
        <v>0</v>
      </c>
      <c r="I1311" s="35">
        <f>Tabla1[[#This Row],[P.U. M.N.]]*Tabla1[[#This Row],[CANTIDADES DE REFERENCIA]]</f>
        <v>13362307.239999998</v>
      </c>
      <c r="J1311" s="35">
        <f>Tabla1[[#This Row],[P.U. USD]]*Tabla1[[#This Row],[CANTIDADES DE REFERENCIA]]</f>
        <v>0</v>
      </c>
      <c r="K1311" s="36"/>
      <c r="L1311" s="36"/>
      <c r="M1311" s="36"/>
      <c r="N1311" s="37" t="s">
        <v>599</v>
      </c>
      <c r="O1311" s="37" t="s">
        <v>600</v>
      </c>
      <c r="P1311" s="38">
        <v>45933</v>
      </c>
      <c r="Q1311" s="37" t="s">
        <v>2867</v>
      </c>
      <c r="R1311" s="37"/>
      <c r="S1311" s="37" t="s">
        <v>602</v>
      </c>
      <c r="T1311" s="31"/>
    </row>
    <row r="1312" spans="1:20">
      <c r="A1312" s="31" t="s">
        <v>2864</v>
      </c>
      <c r="B1312" s="32" t="s">
        <v>2868</v>
      </c>
      <c r="C1312" s="33" t="str">
        <f>Tabla1[[#This Row],[PARTIDA]] &amp; "."</f>
        <v>2C-14.</v>
      </c>
      <c r="D1312" s="32" t="s">
        <v>2869</v>
      </c>
      <c r="E1312" s="33" t="s">
        <v>42</v>
      </c>
      <c r="F1312" s="34">
        <v>1</v>
      </c>
      <c r="G1312" s="35">
        <v>23854.54</v>
      </c>
      <c r="H1312" s="35">
        <v>182440.804</v>
      </c>
      <c r="I1312" s="35">
        <f>Tabla1[[#This Row],[P.U. M.N.]]*Tabla1[[#This Row],[CANTIDADES DE REFERENCIA]]</f>
        <v>23854.54</v>
      </c>
      <c r="J1312" s="35">
        <f>Tabla1[[#This Row],[P.U. USD]]*Tabla1[[#This Row],[CANTIDADES DE REFERENCIA]]</f>
        <v>182440.804</v>
      </c>
      <c r="K1312" s="36"/>
      <c r="L1312" s="36"/>
      <c r="M1312" s="36"/>
      <c r="N1312" s="37" t="s">
        <v>599</v>
      </c>
      <c r="O1312" s="37" t="s">
        <v>600</v>
      </c>
      <c r="P1312" s="38">
        <v>45933</v>
      </c>
      <c r="Q1312" s="37" t="s">
        <v>2870</v>
      </c>
      <c r="R1312" s="37"/>
      <c r="S1312" s="37" t="s">
        <v>602</v>
      </c>
      <c r="T1312" s="31"/>
    </row>
    <row r="1313" spans="1:20">
      <c r="A1313" s="31"/>
      <c r="B1313" s="32"/>
      <c r="C1313" s="33"/>
      <c r="D1313" s="32" t="s">
        <v>2871</v>
      </c>
      <c r="E1313" s="33" t="s">
        <v>116</v>
      </c>
      <c r="F1313" s="34">
        <v>1</v>
      </c>
      <c r="G1313" s="35">
        <v>0</v>
      </c>
      <c r="H1313" s="35">
        <v>0</v>
      </c>
      <c r="I1313" s="35">
        <f>Tabla1[[#This Row],[P.U. M.N.]]*Tabla1[[#This Row],[CANTIDADES DE REFERENCIA]]</f>
        <v>0</v>
      </c>
      <c r="J1313" s="35">
        <f>Tabla1[[#This Row],[P.U. USD]]*Tabla1[[#This Row],[CANTIDADES DE REFERENCIA]]</f>
        <v>0</v>
      </c>
      <c r="K1313" s="36"/>
      <c r="L1313" s="36"/>
      <c r="M1313" s="36"/>
      <c r="N1313" s="37" t="s">
        <v>117</v>
      </c>
      <c r="O1313" s="37" t="s">
        <v>118</v>
      </c>
      <c r="P1313" s="38"/>
      <c r="Q1313" s="37" t="s">
        <v>2872</v>
      </c>
      <c r="R1313" s="37" t="s">
        <v>58</v>
      </c>
      <c r="S1313" s="37" t="s">
        <v>120</v>
      </c>
      <c r="T1313" s="31"/>
    </row>
    <row r="1314" spans="1:20">
      <c r="A1314" s="31" t="s">
        <v>2864</v>
      </c>
      <c r="B1314" s="32" t="s">
        <v>2873</v>
      </c>
      <c r="C1314" s="33" t="str">
        <f>Tabla1[[#This Row],[PARTIDA]] &amp; "."</f>
        <v>3C-14.</v>
      </c>
      <c r="D1314" s="32" t="s">
        <v>2874</v>
      </c>
      <c r="E1314" s="33" t="s">
        <v>42</v>
      </c>
      <c r="F1314" s="34">
        <v>1</v>
      </c>
      <c r="G1314" s="35">
        <v>75258.950000000012</v>
      </c>
      <c r="H1314" s="35">
        <v>38197.692000000003</v>
      </c>
      <c r="I1314" s="35">
        <f>Tabla1[[#This Row],[P.U. M.N.]]*Tabla1[[#This Row],[CANTIDADES DE REFERENCIA]]</f>
        <v>75258.950000000012</v>
      </c>
      <c r="J1314" s="35">
        <f>Tabla1[[#This Row],[P.U. USD]]*Tabla1[[#This Row],[CANTIDADES DE REFERENCIA]]</f>
        <v>38197.692000000003</v>
      </c>
      <c r="K1314" s="36"/>
      <c r="L1314" s="36"/>
      <c r="M1314" s="36"/>
      <c r="N1314" s="37" t="s">
        <v>599</v>
      </c>
      <c r="O1314" s="37" t="s">
        <v>600</v>
      </c>
      <c r="P1314" s="38">
        <v>45933</v>
      </c>
      <c r="Q1314" s="37" t="s">
        <v>2875</v>
      </c>
      <c r="R1314" s="37"/>
      <c r="S1314" s="37" t="s">
        <v>602</v>
      </c>
      <c r="T1314" s="31"/>
    </row>
    <row r="1315" spans="1:20">
      <c r="A1315" s="31" t="s">
        <v>2864</v>
      </c>
      <c r="B1315" s="32" t="s">
        <v>2876</v>
      </c>
      <c r="C1315" s="33" t="str">
        <f>Tabla1[[#This Row],[PARTIDA]] &amp; "."</f>
        <v>4C-14.</v>
      </c>
      <c r="D1315" s="32" t="s">
        <v>2877</v>
      </c>
      <c r="E1315" s="33" t="s">
        <v>42</v>
      </c>
      <c r="F1315" s="34">
        <v>1</v>
      </c>
      <c r="G1315" s="35">
        <v>20727361.299999997</v>
      </c>
      <c r="H1315" s="35">
        <v>0</v>
      </c>
      <c r="I1315" s="35">
        <f>Tabla1[[#This Row],[P.U. M.N.]]*Tabla1[[#This Row],[CANTIDADES DE REFERENCIA]]</f>
        <v>20727361.299999997</v>
      </c>
      <c r="J1315" s="35">
        <f>Tabla1[[#This Row],[P.U. USD]]*Tabla1[[#This Row],[CANTIDADES DE REFERENCIA]]</f>
        <v>0</v>
      </c>
      <c r="K1315" s="36"/>
      <c r="L1315" s="36"/>
      <c r="M1315" s="36"/>
      <c r="N1315" s="37" t="s">
        <v>2204</v>
      </c>
      <c r="O1315" s="37" t="s">
        <v>2205</v>
      </c>
      <c r="P1315" s="38">
        <v>45933</v>
      </c>
      <c r="Q1315" s="37" t="s">
        <v>2878</v>
      </c>
      <c r="R1315" s="37"/>
      <c r="S1315" s="37" t="s">
        <v>2207</v>
      </c>
      <c r="T1315" s="31"/>
    </row>
    <row r="1316" spans="1:20">
      <c r="A1316" s="31"/>
      <c r="B1316" s="32"/>
      <c r="C1316" s="33"/>
      <c r="D1316" s="32" t="s">
        <v>2879</v>
      </c>
      <c r="E1316" s="33" t="s">
        <v>116</v>
      </c>
      <c r="F1316" s="34">
        <v>1</v>
      </c>
      <c r="G1316" s="35">
        <v>0</v>
      </c>
      <c r="H1316" s="35">
        <v>0</v>
      </c>
      <c r="I1316" s="35">
        <f>Tabla1[[#This Row],[P.U. M.N.]]*Tabla1[[#This Row],[CANTIDADES DE REFERENCIA]]</f>
        <v>0</v>
      </c>
      <c r="J1316" s="35">
        <f>Tabla1[[#This Row],[P.U. USD]]*Tabla1[[#This Row],[CANTIDADES DE REFERENCIA]]</f>
        <v>0</v>
      </c>
      <c r="K1316" s="36"/>
      <c r="L1316" s="36"/>
      <c r="M1316" s="36"/>
      <c r="N1316" s="37" t="s">
        <v>117</v>
      </c>
      <c r="O1316" s="37" t="s">
        <v>118</v>
      </c>
      <c r="P1316" s="38"/>
      <c r="Q1316" s="37" t="s">
        <v>2880</v>
      </c>
      <c r="R1316" s="37" t="s">
        <v>58</v>
      </c>
      <c r="S1316" s="37" t="s">
        <v>120</v>
      </c>
      <c r="T1316" s="31"/>
    </row>
    <row r="1317" spans="1:20">
      <c r="A1317" s="31"/>
      <c r="B1317" s="32"/>
      <c r="C1317" s="33"/>
      <c r="D1317" s="32" t="s">
        <v>2881</v>
      </c>
      <c r="E1317" s="33" t="s">
        <v>116</v>
      </c>
      <c r="F1317" s="34">
        <v>1</v>
      </c>
      <c r="G1317" s="35">
        <v>0</v>
      </c>
      <c r="H1317" s="35">
        <v>0</v>
      </c>
      <c r="I1317" s="35">
        <f>Tabla1[[#This Row],[P.U. M.N.]]*Tabla1[[#This Row],[CANTIDADES DE REFERENCIA]]</f>
        <v>0</v>
      </c>
      <c r="J1317" s="35">
        <f>Tabla1[[#This Row],[P.U. USD]]*Tabla1[[#This Row],[CANTIDADES DE REFERENCIA]]</f>
        <v>0</v>
      </c>
      <c r="K1317" s="36"/>
      <c r="L1317" s="36"/>
      <c r="M1317" s="36"/>
      <c r="N1317" s="37" t="s">
        <v>117</v>
      </c>
      <c r="O1317" s="37" t="s">
        <v>118</v>
      </c>
      <c r="P1317" s="38"/>
      <c r="Q1317" s="37" t="s">
        <v>2882</v>
      </c>
      <c r="R1317" s="37" t="s">
        <v>58</v>
      </c>
      <c r="S1317" s="37" t="s">
        <v>120</v>
      </c>
      <c r="T1317" s="31"/>
    </row>
    <row r="1318" spans="1:20">
      <c r="A1318" s="31" t="s">
        <v>2864</v>
      </c>
      <c r="B1318" s="32" t="s">
        <v>2883</v>
      </c>
      <c r="C1318" s="33" t="str">
        <f>Tabla1[[#This Row],[PARTIDA]] &amp; "."</f>
        <v>5C-14.</v>
      </c>
      <c r="D1318" s="32" t="s">
        <v>2884</v>
      </c>
      <c r="E1318" s="33" t="s">
        <v>42</v>
      </c>
      <c r="F1318" s="34">
        <v>1</v>
      </c>
      <c r="G1318" s="35">
        <v>92114.91</v>
      </c>
      <c r="H1318" s="35">
        <v>486168.74800000002</v>
      </c>
      <c r="I1318" s="35">
        <f>Tabla1[[#This Row],[P.U. M.N.]]*Tabla1[[#This Row],[CANTIDADES DE REFERENCIA]]</f>
        <v>92114.91</v>
      </c>
      <c r="J1318" s="35">
        <f>Tabla1[[#This Row],[P.U. USD]]*Tabla1[[#This Row],[CANTIDADES DE REFERENCIA]]</f>
        <v>486168.74800000002</v>
      </c>
      <c r="K1318" s="36"/>
      <c r="L1318" s="36"/>
      <c r="M1318" s="36"/>
      <c r="N1318" s="37" t="s">
        <v>2204</v>
      </c>
      <c r="O1318" s="37" t="s">
        <v>2205</v>
      </c>
      <c r="P1318" s="38">
        <v>45933</v>
      </c>
      <c r="Q1318" s="37" t="s">
        <v>2885</v>
      </c>
      <c r="R1318" s="37"/>
      <c r="S1318" s="37" t="s">
        <v>2207</v>
      </c>
      <c r="T1318" s="31"/>
    </row>
    <row r="1319" spans="1:20">
      <c r="A1319" s="31" t="s">
        <v>2864</v>
      </c>
      <c r="B1319" s="32" t="s">
        <v>2886</v>
      </c>
      <c r="C1319" s="33" t="str">
        <f>Tabla1[[#This Row],[PARTIDA]] &amp; "."</f>
        <v>6C-14.</v>
      </c>
      <c r="D1319" s="32" t="s">
        <v>2887</v>
      </c>
      <c r="E1319" s="33" t="s">
        <v>42</v>
      </c>
      <c r="F1319" s="34">
        <v>1</v>
      </c>
      <c r="G1319" s="35">
        <v>58154.64</v>
      </c>
      <c r="H1319" s="35">
        <v>29516.396000000001</v>
      </c>
      <c r="I1319" s="35">
        <f>Tabla1[[#This Row],[P.U. M.N.]]*Tabla1[[#This Row],[CANTIDADES DE REFERENCIA]]</f>
        <v>58154.64</v>
      </c>
      <c r="J1319" s="35">
        <f>Tabla1[[#This Row],[P.U. USD]]*Tabla1[[#This Row],[CANTIDADES DE REFERENCIA]]</f>
        <v>29516.396000000001</v>
      </c>
      <c r="K1319" s="36"/>
      <c r="L1319" s="36"/>
      <c r="M1319" s="36"/>
      <c r="N1319" s="37" t="s">
        <v>2204</v>
      </c>
      <c r="O1319" s="37" t="s">
        <v>2205</v>
      </c>
      <c r="P1319" s="38">
        <v>45933</v>
      </c>
      <c r="Q1319" s="37" t="s">
        <v>2888</v>
      </c>
      <c r="R1319" s="37"/>
      <c r="S1319" s="37" t="s">
        <v>2207</v>
      </c>
      <c r="T1319" s="31"/>
    </row>
    <row r="1320" spans="1:20">
      <c r="A1320" s="31" t="s">
        <v>2864</v>
      </c>
      <c r="B1320" s="32" t="s">
        <v>2889</v>
      </c>
      <c r="C1320" s="33" t="str">
        <f>Tabla1[[#This Row],[PARTIDA]] &amp; "."</f>
        <v>7C-14.</v>
      </c>
      <c r="D1320" s="32" t="s">
        <v>2890</v>
      </c>
      <c r="E1320" s="33" t="s">
        <v>42</v>
      </c>
      <c r="F1320" s="34">
        <v>1</v>
      </c>
      <c r="G1320" s="35">
        <v>23091675.859999999</v>
      </c>
      <c r="H1320" s="35">
        <v>0</v>
      </c>
      <c r="I1320" s="35">
        <f>Tabla1[[#This Row],[P.U. M.N.]]*Tabla1[[#This Row],[CANTIDADES DE REFERENCIA]]</f>
        <v>23091675.859999999</v>
      </c>
      <c r="J1320" s="35">
        <f>Tabla1[[#This Row],[P.U. USD]]*Tabla1[[#This Row],[CANTIDADES DE REFERENCIA]]</f>
        <v>0</v>
      </c>
      <c r="K1320" s="36"/>
      <c r="L1320" s="36"/>
      <c r="M1320" s="36"/>
      <c r="N1320" s="37" t="s">
        <v>2214</v>
      </c>
      <c r="O1320" s="37" t="s">
        <v>2215</v>
      </c>
      <c r="P1320" s="38">
        <v>45933</v>
      </c>
      <c r="Q1320" s="37" t="s">
        <v>2891</v>
      </c>
      <c r="R1320" s="37"/>
      <c r="S1320" s="37" t="s">
        <v>2217</v>
      </c>
      <c r="T1320" s="31"/>
    </row>
    <row r="1321" spans="1:20">
      <c r="A1321" s="31" t="s">
        <v>2864</v>
      </c>
      <c r="B1321" s="32" t="s">
        <v>2892</v>
      </c>
      <c r="C1321" s="33" t="str">
        <f>Tabla1[[#This Row],[PARTIDA]] &amp; "."</f>
        <v>8C-14.</v>
      </c>
      <c r="D1321" s="32" t="s">
        <v>2893</v>
      </c>
      <c r="E1321" s="33" t="s">
        <v>42</v>
      </c>
      <c r="F1321" s="34">
        <v>1</v>
      </c>
      <c r="G1321" s="35">
        <v>198017.77000000002</v>
      </c>
      <c r="H1321" s="35">
        <v>876539.18299999996</v>
      </c>
      <c r="I1321" s="35">
        <f>Tabla1[[#This Row],[P.U. M.N.]]*Tabla1[[#This Row],[CANTIDADES DE REFERENCIA]]</f>
        <v>198017.77000000002</v>
      </c>
      <c r="J1321" s="35">
        <f>Tabla1[[#This Row],[P.U. USD]]*Tabla1[[#This Row],[CANTIDADES DE REFERENCIA]]</f>
        <v>876539.18299999996</v>
      </c>
      <c r="K1321" s="36"/>
      <c r="L1321" s="36"/>
      <c r="M1321" s="36"/>
      <c r="N1321" s="37" t="s">
        <v>2214</v>
      </c>
      <c r="O1321" s="37" t="s">
        <v>2215</v>
      </c>
      <c r="P1321" s="38">
        <v>45933</v>
      </c>
      <c r="Q1321" s="37" t="s">
        <v>2894</v>
      </c>
      <c r="R1321" s="37"/>
      <c r="S1321" s="37" t="s">
        <v>2217</v>
      </c>
      <c r="T1321" s="31"/>
    </row>
    <row r="1322" spans="1:20">
      <c r="A1322" s="31" t="s">
        <v>2864</v>
      </c>
      <c r="B1322" s="32" t="s">
        <v>2895</v>
      </c>
      <c r="C1322" s="33" t="str">
        <f>Tabla1[[#This Row],[PARTIDA]] &amp; "."</f>
        <v>9C-14.</v>
      </c>
      <c r="D1322" s="32" t="s">
        <v>2896</v>
      </c>
      <c r="E1322" s="33" t="s">
        <v>42</v>
      </c>
      <c r="F1322" s="34">
        <v>1</v>
      </c>
      <c r="G1322" s="35">
        <v>61575.5</v>
      </c>
      <c r="H1322" s="35">
        <v>31252.65</v>
      </c>
      <c r="I1322" s="35">
        <f>Tabla1[[#This Row],[P.U. M.N.]]*Tabla1[[#This Row],[CANTIDADES DE REFERENCIA]]</f>
        <v>61575.5</v>
      </c>
      <c r="J1322" s="35">
        <f>Tabla1[[#This Row],[P.U. USD]]*Tabla1[[#This Row],[CANTIDADES DE REFERENCIA]]</f>
        <v>31252.65</v>
      </c>
      <c r="K1322" s="36"/>
      <c r="L1322" s="36"/>
      <c r="M1322" s="36"/>
      <c r="N1322" s="37" t="s">
        <v>2214</v>
      </c>
      <c r="O1322" s="37" t="s">
        <v>2215</v>
      </c>
      <c r="P1322" s="38">
        <v>45933</v>
      </c>
      <c r="Q1322" s="37" t="s">
        <v>2897</v>
      </c>
      <c r="R1322" s="37"/>
      <c r="S1322" s="37" t="s">
        <v>2217</v>
      </c>
      <c r="T1322" s="31"/>
    </row>
    <row r="1323" spans="1:20">
      <c r="A1323" s="31" t="s">
        <v>2898</v>
      </c>
      <c r="B1323" s="32" t="s">
        <v>2899</v>
      </c>
      <c r="C1323" s="33" t="str">
        <f>Tabla1[[#This Row],[PARTIDA]] &amp; "."</f>
        <v>10C-15.</v>
      </c>
      <c r="D1323" s="32" t="s">
        <v>2900</v>
      </c>
      <c r="E1323" s="33" t="s">
        <v>116</v>
      </c>
      <c r="F1323" s="34">
        <v>1</v>
      </c>
      <c r="G1323" s="35">
        <v>257.89999999999998</v>
      </c>
      <c r="H1323" s="35">
        <v>0</v>
      </c>
      <c r="I1323" s="35">
        <f>Tabla1[[#This Row],[P.U. M.N.]]*Tabla1[[#This Row],[CANTIDADES DE REFERENCIA]]</f>
        <v>257.89999999999998</v>
      </c>
      <c r="J1323" s="35">
        <f>Tabla1[[#This Row],[P.U. USD]]*Tabla1[[#This Row],[CANTIDADES DE REFERENCIA]]</f>
        <v>0</v>
      </c>
      <c r="K1323" s="36"/>
      <c r="L1323" s="36"/>
      <c r="M1323" s="36"/>
      <c r="N1323" s="37" t="s">
        <v>1031</v>
      </c>
      <c r="O1323" s="37" t="s">
        <v>1032</v>
      </c>
      <c r="P1323" s="38">
        <v>45966</v>
      </c>
      <c r="Q1323" s="37" t="s">
        <v>2901</v>
      </c>
      <c r="R1323" s="37"/>
      <c r="S1323" s="37" t="s">
        <v>2902</v>
      </c>
      <c r="T1323" s="31"/>
    </row>
    <row r="1324" spans="1:20">
      <c r="A1324" s="31" t="s">
        <v>2898</v>
      </c>
      <c r="B1324" s="32" t="s">
        <v>2903</v>
      </c>
      <c r="C1324" s="33" t="str">
        <f>Tabla1[[#This Row],[PARTIDA]] &amp; "."</f>
        <v>11C-15.</v>
      </c>
      <c r="D1324" s="32" t="s">
        <v>2904</v>
      </c>
      <c r="E1324" s="33" t="s">
        <v>116</v>
      </c>
      <c r="F1324" s="34">
        <v>1</v>
      </c>
      <c r="G1324" s="35">
        <v>527.89</v>
      </c>
      <c r="H1324" s="35">
        <v>0</v>
      </c>
      <c r="I1324" s="35">
        <f>Tabla1[[#This Row],[P.U. M.N.]]*Tabla1[[#This Row],[CANTIDADES DE REFERENCIA]]</f>
        <v>527.89</v>
      </c>
      <c r="J1324" s="35">
        <f>Tabla1[[#This Row],[P.U. USD]]*Tabla1[[#This Row],[CANTIDADES DE REFERENCIA]]</f>
        <v>0</v>
      </c>
      <c r="K1324" s="36"/>
      <c r="L1324" s="36"/>
      <c r="M1324" s="36"/>
      <c r="N1324" s="37" t="s">
        <v>1031</v>
      </c>
      <c r="O1324" s="37" t="s">
        <v>1032</v>
      </c>
      <c r="P1324" s="38">
        <v>45966</v>
      </c>
      <c r="Q1324" s="37" t="s">
        <v>2905</v>
      </c>
      <c r="R1324" s="37"/>
      <c r="S1324" s="37" t="s">
        <v>2902</v>
      </c>
      <c r="T1324" s="31"/>
    </row>
    <row r="1325" spans="1:20">
      <c r="A1325" s="31" t="s">
        <v>2898</v>
      </c>
      <c r="B1325" s="32" t="s">
        <v>2906</v>
      </c>
      <c r="C1325" s="33" t="str">
        <f>Tabla1[[#This Row],[PARTIDA]] &amp; "."</f>
        <v>12C-15.</v>
      </c>
      <c r="D1325" s="32" t="s">
        <v>2907</v>
      </c>
      <c r="E1325" s="33" t="s">
        <v>116</v>
      </c>
      <c r="F1325" s="34">
        <v>1</v>
      </c>
      <c r="G1325" s="35">
        <v>297.04000000000002</v>
      </c>
      <c r="H1325" s="35">
        <v>0</v>
      </c>
      <c r="I1325" s="35">
        <f>Tabla1[[#This Row],[P.U. M.N.]]*Tabla1[[#This Row],[CANTIDADES DE REFERENCIA]]</f>
        <v>297.04000000000002</v>
      </c>
      <c r="J1325" s="35">
        <f>Tabla1[[#This Row],[P.U. USD]]*Tabla1[[#This Row],[CANTIDADES DE REFERENCIA]]</f>
        <v>0</v>
      </c>
      <c r="K1325" s="36"/>
      <c r="L1325" s="36"/>
      <c r="M1325" s="36"/>
      <c r="N1325" s="37" t="s">
        <v>1031</v>
      </c>
      <c r="O1325" s="37" t="s">
        <v>1032</v>
      </c>
      <c r="P1325" s="38">
        <v>45966</v>
      </c>
      <c r="Q1325" s="37" t="s">
        <v>2908</v>
      </c>
      <c r="R1325" s="37"/>
      <c r="S1325" s="37" t="s">
        <v>2902</v>
      </c>
      <c r="T1325" s="31"/>
    </row>
    <row r="1326" spans="1:20">
      <c r="A1326" s="31" t="s">
        <v>2898</v>
      </c>
      <c r="B1326" s="32" t="s">
        <v>2909</v>
      </c>
      <c r="C1326" s="33" t="str">
        <f>Tabla1[[#This Row],[PARTIDA]] &amp; "."</f>
        <v>13C-15.</v>
      </c>
      <c r="D1326" s="32" t="s">
        <v>2910</v>
      </c>
      <c r="E1326" s="33" t="s">
        <v>116</v>
      </c>
      <c r="F1326" s="34">
        <v>1</v>
      </c>
      <c r="G1326" s="35">
        <v>504.9</v>
      </c>
      <c r="H1326" s="35">
        <v>0</v>
      </c>
      <c r="I1326" s="35">
        <f>Tabla1[[#This Row],[P.U. M.N.]]*Tabla1[[#This Row],[CANTIDADES DE REFERENCIA]]</f>
        <v>504.9</v>
      </c>
      <c r="J1326" s="35">
        <f>Tabla1[[#This Row],[P.U. USD]]*Tabla1[[#This Row],[CANTIDADES DE REFERENCIA]]</f>
        <v>0</v>
      </c>
      <c r="K1326" s="36"/>
      <c r="L1326" s="36"/>
      <c r="M1326" s="36"/>
      <c r="N1326" s="37" t="s">
        <v>1031</v>
      </c>
      <c r="O1326" s="37" t="s">
        <v>1032</v>
      </c>
      <c r="P1326" s="38">
        <v>45966</v>
      </c>
      <c r="Q1326" s="37" t="s">
        <v>2911</v>
      </c>
      <c r="R1326" s="37"/>
      <c r="S1326" s="37" t="s">
        <v>2902</v>
      </c>
      <c r="T1326" s="31"/>
    </row>
    <row r="1327" spans="1:20">
      <c r="A1327" s="31"/>
      <c r="B1327" s="32"/>
      <c r="C1327" s="33"/>
      <c r="D1327" s="32" t="s">
        <v>2912</v>
      </c>
      <c r="E1327" s="33" t="s">
        <v>135</v>
      </c>
      <c r="F1327" s="34">
        <v>1</v>
      </c>
      <c r="G1327" s="35">
        <v>0</v>
      </c>
      <c r="H1327" s="35">
        <v>0</v>
      </c>
      <c r="I1327" s="35">
        <f>Tabla1[[#This Row],[P.U. M.N.]]*Tabla1[[#This Row],[CANTIDADES DE REFERENCIA]]</f>
        <v>0</v>
      </c>
      <c r="J1327" s="35">
        <f>Tabla1[[#This Row],[P.U. USD]]*Tabla1[[#This Row],[CANTIDADES DE REFERENCIA]]</f>
        <v>0</v>
      </c>
      <c r="K1327" s="36"/>
      <c r="L1327" s="36"/>
      <c r="M1327" s="36"/>
      <c r="N1327" s="37" t="s">
        <v>117</v>
      </c>
      <c r="O1327" s="37" t="s">
        <v>118</v>
      </c>
      <c r="P1327" s="38"/>
      <c r="Q1327" s="37" t="s">
        <v>2913</v>
      </c>
      <c r="R1327" s="37"/>
      <c r="S1327" s="37" t="s">
        <v>120</v>
      </c>
      <c r="T1327" s="31"/>
    </row>
    <row r="1328" spans="1:20">
      <c r="A1328" s="31"/>
      <c r="B1328" s="32"/>
      <c r="C1328" s="33"/>
      <c r="D1328" s="32" t="s">
        <v>2914</v>
      </c>
      <c r="E1328" s="33" t="s">
        <v>135</v>
      </c>
      <c r="F1328" s="34">
        <v>1</v>
      </c>
      <c r="G1328" s="35">
        <v>0</v>
      </c>
      <c r="H1328" s="35">
        <v>0</v>
      </c>
      <c r="I1328" s="35">
        <f>Tabla1[[#This Row],[P.U. M.N.]]*Tabla1[[#This Row],[CANTIDADES DE REFERENCIA]]</f>
        <v>0</v>
      </c>
      <c r="J1328" s="35">
        <f>Tabla1[[#This Row],[P.U. USD]]*Tabla1[[#This Row],[CANTIDADES DE REFERENCIA]]</f>
        <v>0</v>
      </c>
      <c r="K1328" s="36"/>
      <c r="L1328" s="36"/>
      <c r="M1328" s="36"/>
      <c r="N1328" s="37" t="s">
        <v>117</v>
      </c>
      <c r="O1328" s="37" t="s">
        <v>118</v>
      </c>
      <c r="P1328" s="38"/>
      <c r="Q1328" s="37" t="s">
        <v>2915</v>
      </c>
      <c r="R1328" s="37"/>
      <c r="S1328" s="37" t="s">
        <v>120</v>
      </c>
      <c r="T1328" s="31"/>
    </row>
    <row r="1329" spans="1:20">
      <c r="A1329" s="31"/>
      <c r="B1329" s="32"/>
      <c r="C1329" s="33"/>
      <c r="D1329" s="32" t="s">
        <v>2916</v>
      </c>
      <c r="E1329" s="33" t="s">
        <v>116</v>
      </c>
      <c r="F1329" s="34">
        <v>1</v>
      </c>
      <c r="G1329" s="35">
        <v>0</v>
      </c>
      <c r="H1329" s="35">
        <v>0</v>
      </c>
      <c r="I1329" s="35">
        <f>Tabla1[[#This Row],[P.U. M.N.]]*Tabla1[[#This Row],[CANTIDADES DE REFERENCIA]]</f>
        <v>0</v>
      </c>
      <c r="J1329" s="35">
        <f>Tabla1[[#This Row],[P.U. USD]]*Tabla1[[#This Row],[CANTIDADES DE REFERENCIA]]</f>
        <v>0</v>
      </c>
      <c r="K1329" s="36"/>
      <c r="L1329" s="36"/>
      <c r="M1329" s="36"/>
      <c r="N1329" s="37" t="s">
        <v>117</v>
      </c>
      <c r="O1329" s="37" t="s">
        <v>118</v>
      </c>
      <c r="P1329" s="38"/>
      <c r="Q1329" s="37" t="s">
        <v>2917</v>
      </c>
      <c r="R1329" s="37"/>
      <c r="S1329" s="37" t="s">
        <v>120</v>
      </c>
      <c r="T1329" s="31"/>
    </row>
    <row r="1330" spans="1:20">
      <c r="A1330" s="31"/>
      <c r="B1330" s="32"/>
      <c r="C1330" s="33"/>
      <c r="D1330" s="32" t="s">
        <v>2918</v>
      </c>
      <c r="E1330" s="33" t="s">
        <v>116</v>
      </c>
      <c r="F1330" s="34">
        <v>1</v>
      </c>
      <c r="G1330" s="35">
        <v>0</v>
      </c>
      <c r="H1330" s="35">
        <v>0</v>
      </c>
      <c r="I1330" s="35">
        <f>Tabla1[[#This Row],[P.U. M.N.]]*Tabla1[[#This Row],[CANTIDADES DE REFERENCIA]]</f>
        <v>0</v>
      </c>
      <c r="J1330" s="35">
        <f>Tabla1[[#This Row],[P.U. USD]]*Tabla1[[#This Row],[CANTIDADES DE REFERENCIA]]</f>
        <v>0</v>
      </c>
      <c r="K1330" s="36"/>
      <c r="L1330" s="36"/>
      <c r="M1330" s="36"/>
      <c r="N1330" s="37" t="s">
        <v>117</v>
      </c>
      <c r="O1330" s="37" t="s">
        <v>118</v>
      </c>
      <c r="P1330" s="38"/>
      <c r="Q1330" s="37" t="s">
        <v>2919</v>
      </c>
      <c r="R1330" s="37"/>
      <c r="S1330" s="37" t="s">
        <v>120</v>
      </c>
      <c r="T1330" s="31"/>
    </row>
    <row r="1331" spans="1:20">
      <c r="A1331" s="31"/>
      <c r="B1331" s="32"/>
      <c r="C1331" s="33"/>
      <c r="D1331" s="32" t="s">
        <v>2920</v>
      </c>
      <c r="E1331" s="33" t="s">
        <v>116</v>
      </c>
      <c r="F1331" s="34">
        <v>1</v>
      </c>
      <c r="G1331" s="35">
        <v>0</v>
      </c>
      <c r="H1331" s="35">
        <v>0</v>
      </c>
      <c r="I1331" s="35">
        <f>Tabla1[[#This Row],[P.U. M.N.]]*Tabla1[[#This Row],[CANTIDADES DE REFERENCIA]]</f>
        <v>0</v>
      </c>
      <c r="J1331" s="35">
        <f>Tabla1[[#This Row],[P.U. USD]]*Tabla1[[#This Row],[CANTIDADES DE REFERENCIA]]</f>
        <v>0</v>
      </c>
      <c r="K1331" s="36"/>
      <c r="L1331" s="36"/>
      <c r="M1331" s="36"/>
      <c r="N1331" s="37" t="s">
        <v>117</v>
      </c>
      <c r="O1331" s="37" t="s">
        <v>118</v>
      </c>
      <c r="P1331" s="38"/>
      <c r="Q1331" s="37" t="s">
        <v>2921</v>
      </c>
      <c r="R1331" s="37"/>
      <c r="S1331" s="37" t="s">
        <v>120</v>
      </c>
      <c r="T1331" s="31"/>
    </row>
    <row r="1332" spans="1:20">
      <c r="A1332" s="31" t="s">
        <v>2898</v>
      </c>
      <c r="B1332" s="32" t="s">
        <v>2922</v>
      </c>
      <c r="C1332" s="33" t="str">
        <f>Tabla1[[#This Row],[PARTIDA]] &amp; "."</f>
        <v>14C-15.</v>
      </c>
      <c r="D1332" s="32" t="s">
        <v>2923</v>
      </c>
      <c r="E1332" s="33" t="s">
        <v>116</v>
      </c>
      <c r="F1332" s="34">
        <v>1</v>
      </c>
      <c r="G1332" s="35">
        <v>207911.41</v>
      </c>
      <c r="H1332" s="35">
        <v>0</v>
      </c>
      <c r="I1332" s="35">
        <f>Tabla1[[#This Row],[P.U. M.N.]]*Tabla1[[#This Row],[CANTIDADES DE REFERENCIA]]</f>
        <v>207911.41</v>
      </c>
      <c r="J1332" s="35">
        <f>Tabla1[[#This Row],[P.U. USD]]*Tabla1[[#This Row],[CANTIDADES DE REFERENCIA]]</f>
        <v>0</v>
      </c>
      <c r="K1332" s="36"/>
      <c r="L1332" s="36"/>
      <c r="M1332" s="36"/>
      <c r="N1332" s="37" t="s">
        <v>1031</v>
      </c>
      <c r="O1332" s="37" t="s">
        <v>1032</v>
      </c>
      <c r="P1332" s="38">
        <v>45966</v>
      </c>
      <c r="Q1332" s="37" t="s">
        <v>2924</v>
      </c>
      <c r="R1332" s="37"/>
      <c r="S1332" s="37" t="s">
        <v>2902</v>
      </c>
      <c r="T1332" s="31"/>
    </row>
    <row r="1333" spans="1:20">
      <c r="A1333" s="31" t="s">
        <v>2898</v>
      </c>
      <c r="B1333" s="32" t="s">
        <v>2925</v>
      </c>
      <c r="C1333" s="33" t="str">
        <f>Tabla1[[#This Row],[PARTIDA]] &amp; "."</f>
        <v>15C-15.</v>
      </c>
      <c r="D1333" s="32" t="s">
        <v>2926</v>
      </c>
      <c r="E1333" s="33" t="s">
        <v>116</v>
      </c>
      <c r="F1333" s="34">
        <v>1</v>
      </c>
      <c r="G1333" s="35">
        <v>20323.03</v>
      </c>
      <c r="H1333" s="35">
        <v>0</v>
      </c>
      <c r="I1333" s="35">
        <f>Tabla1[[#This Row],[P.U. M.N.]]*Tabla1[[#This Row],[CANTIDADES DE REFERENCIA]]</f>
        <v>20323.03</v>
      </c>
      <c r="J1333" s="35">
        <f>Tabla1[[#This Row],[P.U. USD]]*Tabla1[[#This Row],[CANTIDADES DE REFERENCIA]]</f>
        <v>0</v>
      </c>
      <c r="K1333" s="36"/>
      <c r="L1333" s="36"/>
      <c r="M1333" s="36"/>
      <c r="N1333" s="37" t="s">
        <v>1031</v>
      </c>
      <c r="O1333" s="37" t="s">
        <v>1032</v>
      </c>
      <c r="P1333" s="38">
        <v>45966</v>
      </c>
      <c r="Q1333" s="37" t="s">
        <v>2927</v>
      </c>
      <c r="R1333" s="37"/>
      <c r="S1333" s="37" t="s">
        <v>2902</v>
      </c>
      <c r="T1333" s="31"/>
    </row>
    <row r="1334" spans="1:20">
      <c r="A1334" s="31" t="s">
        <v>2898</v>
      </c>
      <c r="B1334" s="32" t="s">
        <v>2928</v>
      </c>
      <c r="C1334" s="33" t="str">
        <f>Tabla1[[#This Row],[PARTIDA]] &amp; "."</f>
        <v>16C-15.</v>
      </c>
      <c r="D1334" s="32" t="s">
        <v>2929</v>
      </c>
      <c r="E1334" s="33" t="s">
        <v>116</v>
      </c>
      <c r="F1334" s="34">
        <v>1</v>
      </c>
      <c r="G1334" s="35">
        <v>354.13</v>
      </c>
      <c r="H1334" s="35">
        <v>0</v>
      </c>
      <c r="I1334" s="35">
        <f>Tabla1[[#This Row],[P.U. M.N.]]*Tabla1[[#This Row],[CANTIDADES DE REFERENCIA]]</f>
        <v>354.13</v>
      </c>
      <c r="J1334" s="35">
        <f>Tabla1[[#This Row],[P.U. USD]]*Tabla1[[#This Row],[CANTIDADES DE REFERENCIA]]</f>
        <v>0</v>
      </c>
      <c r="K1334" s="36"/>
      <c r="L1334" s="36"/>
      <c r="M1334" s="36"/>
      <c r="N1334" s="37" t="s">
        <v>1031</v>
      </c>
      <c r="O1334" s="37" t="s">
        <v>1032</v>
      </c>
      <c r="P1334" s="38">
        <v>45966</v>
      </c>
      <c r="Q1334" s="37" t="s">
        <v>2930</v>
      </c>
      <c r="R1334" s="37"/>
      <c r="S1334" s="37" t="s">
        <v>2902</v>
      </c>
      <c r="T1334" s="31"/>
    </row>
    <row r="1335" spans="1:20">
      <c r="A1335" s="31"/>
      <c r="B1335" s="32"/>
      <c r="C1335" s="33"/>
      <c r="D1335" s="32" t="s">
        <v>2931</v>
      </c>
      <c r="E1335" s="33" t="s">
        <v>116</v>
      </c>
      <c r="F1335" s="34">
        <v>1</v>
      </c>
      <c r="G1335" s="35">
        <v>0</v>
      </c>
      <c r="H1335" s="35">
        <v>0</v>
      </c>
      <c r="I1335" s="35">
        <f>Tabla1[[#This Row],[P.U. M.N.]]*Tabla1[[#This Row],[CANTIDADES DE REFERENCIA]]</f>
        <v>0</v>
      </c>
      <c r="J1335" s="35">
        <f>Tabla1[[#This Row],[P.U. USD]]*Tabla1[[#This Row],[CANTIDADES DE REFERENCIA]]</f>
        <v>0</v>
      </c>
      <c r="K1335" s="36"/>
      <c r="L1335" s="36"/>
      <c r="M1335" s="36"/>
      <c r="N1335" s="37" t="s">
        <v>117</v>
      </c>
      <c r="O1335" s="37" t="s">
        <v>118</v>
      </c>
      <c r="P1335" s="38"/>
      <c r="Q1335" s="37" t="s">
        <v>2932</v>
      </c>
      <c r="R1335" s="37"/>
      <c r="S1335" s="37" t="s">
        <v>120</v>
      </c>
      <c r="T1335" s="31"/>
    </row>
    <row r="1336" spans="1:20">
      <c r="A1336" s="31"/>
      <c r="B1336" s="32"/>
      <c r="C1336" s="33"/>
      <c r="D1336" s="32" t="s">
        <v>2933</v>
      </c>
      <c r="E1336" s="33" t="s">
        <v>116</v>
      </c>
      <c r="F1336" s="34">
        <v>1</v>
      </c>
      <c r="G1336" s="35">
        <v>0</v>
      </c>
      <c r="H1336" s="35">
        <v>0</v>
      </c>
      <c r="I1336" s="35">
        <f>Tabla1[[#This Row],[P.U. M.N.]]*Tabla1[[#This Row],[CANTIDADES DE REFERENCIA]]</f>
        <v>0</v>
      </c>
      <c r="J1336" s="35">
        <f>Tabla1[[#This Row],[P.U. USD]]*Tabla1[[#This Row],[CANTIDADES DE REFERENCIA]]</f>
        <v>0</v>
      </c>
      <c r="K1336" s="36"/>
      <c r="L1336" s="36"/>
      <c r="M1336" s="36"/>
      <c r="N1336" s="37" t="s">
        <v>117</v>
      </c>
      <c r="O1336" s="37" t="s">
        <v>118</v>
      </c>
      <c r="P1336" s="38"/>
      <c r="Q1336" s="37" t="s">
        <v>2934</v>
      </c>
      <c r="R1336" s="37"/>
      <c r="S1336" s="37" t="s">
        <v>120</v>
      </c>
      <c r="T1336" s="31"/>
    </row>
    <row r="1337" spans="1:20">
      <c r="A1337" s="31"/>
      <c r="B1337" s="32"/>
      <c r="C1337" s="33"/>
      <c r="D1337" s="32" t="s">
        <v>2935</v>
      </c>
      <c r="E1337" s="33" t="s">
        <v>116</v>
      </c>
      <c r="F1337" s="34">
        <v>1</v>
      </c>
      <c r="G1337" s="35">
        <v>0</v>
      </c>
      <c r="H1337" s="35">
        <v>0</v>
      </c>
      <c r="I1337" s="35">
        <f>Tabla1[[#This Row],[P.U. M.N.]]*Tabla1[[#This Row],[CANTIDADES DE REFERENCIA]]</f>
        <v>0</v>
      </c>
      <c r="J1337" s="35">
        <f>Tabla1[[#This Row],[P.U. USD]]*Tabla1[[#This Row],[CANTIDADES DE REFERENCIA]]</f>
        <v>0</v>
      </c>
      <c r="K1337" s="36"/>
      <c r="L1337" s="36"/>
      <c r="M1337" s="36"/>
      <c r="N1337" s="37" t="s">
        <v>117</v>
      </c>
      <c r="O1337" s="37" t="s">
        <v>118</v>
      </c>
      <c r="P1337" s="38"/>
      <c r="Q1337" s="37" t="s">
        <v>2936</v>
      </c>
      <c r="R1337" s="37"/>
      <c r="S1337" s="37" t="s">
        <v>120</v>
      </c>
      <c r="T1337" s="31"/>
    </row>
    <row r="1338" spans="1:20">
      <c r="A1338" s="31"/>
      <c r="B1338" s="32"/>
      <c r="C1338" s="33"/>
      <c r="D1338" s="32" t="s">
        <v>2937</v>
      </c>
      <c r="E1338" s="33" t="s">
        <v>116</v>
      </c>
      <c r="F1338" s="34">
        <v>1</v>
      </c>
      <c r="G1338" s="35">
        <v>0</v>
      </c>
      <c r="H1338" s="35">
        <v>0</v>
      </c>
      <c r="I1338" s="35">
        <f>Tabla1[[#This Row],[P.U. M.N.]]*Tabla1[[#This Row],[CANTIDADES DE REFERENCIA]]</f>
        <v>0</v>
      </c>
      <c r="J1338" s="35">
        <f>Tabla1[[#This Row],[P.U. USD]]*Tabla1[[#This Row],[CANTIDADES DE REFERENCIA]]</f>
        <v>0</v>
      </c>
      <c r="K1338" s="36"/>
      <c r="L1338" s="36"/>
      <c r="M1338" s="36"/>
      <c r="N1338" s="37" t="s">
        <v>117</v>
      </c>
      <c r="O1338" s="37" t="s">
        <v>118</v>
      </c>
      <c r="P1338" s="38"/>
      <c r="Q1338" s="37" t="s">
        <v>2938</v>
      </c>
      <c r="R1338" s="37"/>
      <c r="S1338" s="37" t="s">
        <v>120</v>
      </c>
      <c r="T1338" s="31"/>
    </row>
    <row r="1339" spans="1:20">
      <c r="A1339" s="31"/>
      <c r="B1339" s="32"/>
      <c r="C1339" s="33"/>
      <c r="D1339" s="32" t="s">
        <v>2939</v>
      </c>
      <c r="E1339" s="33" t="s">
        <v>116</v>
      </c>
      <c r="F1339" s="34">
        <v>1</v>
      </c>
      <c r="G1339" s="35">
        <v>0</v>
      </c>
      <c r="H1339" s="35">
        <v>0</v>
      </c>
      <c r="I1339" s="35">
        <f>Tabla1[[#This Row],[P.U. M.N.]]*Tabla1[[#This Row],[CANTIDADES DE REFERENCIA]]</f>
        <v>0</v>
      </c>
      <c r="J1339" s="35">
        <f>Tabla1[[#This Row],[P.U. USD]]*Tabla1[[#This Row],[CANTIDADES DE REFERENCIA]]</f>
        <v>0</v>
      </c>
      <c r="K1339" s="36"/>
      <c r="L1339" s="36"/>
      <c r="M1339" s="36"/>
      <c r="N1339" s="37" t="s">
        <v>117</v>
      </c>
      <c r="O1339" s="37" t="s">
        <v>118</v>
      </c>
      <c r="P1339" s="38"/>
      <c r="Q1339" s="37" t="s">
        <v>2940</v>
      </c>
      <c r="R1339" s="37"/>
      <c r="S1339" s="37" t="s">
        <v>120</v>
      </c>
      <c r="T1339" s="31"/>
    </row>
    <row r="1340" spans="1:20">
      <c r="A1340" s="31" t="s">
        <v>2898</v>
      </c>
      <c r="B1340" s="32" t="s">
        <v>2941</v>
      </c>
      <c r="C1340" s="33" t="str">
        <f>Tabla1[[#This Row],[PARTIDA]] &amp; "."</f>
        <v>1C-15.</v>
      </c>
      <c r="D1340" s="32" t="s">
        <v>2942</v>
      </c>
      <c r="E1340" s="33" t="s">
        <v>116</v>
      </c>
      <c r="F1340" s="34">
        <v>1</v>
      </c>
      <c r="G1340" s="35">
        <v>6346.43</v>
      </c>
      <c r="H1340" s="35">
        <v>14682.56</v>
      </c>
      <c r="I1340" s="35">
        <f>Tabla1[[#This Row],[P.U. M.N.]]*Tabla1[[#This Row],[CANTIDADES DE REFERENCIA]]</f>
        <v>6346.43</v>
      </c>
      <c r="J1340" s="35">
        <f>Tabla1[[#This Row],[P.U. USD]]*Tabla1[[#This Row],[CANTIDADES DE REFERENCIA]]</f>
        <v>14682.56</v>
      </c>
      <c r="K1340" s="36"/>
      <c r="L1340" s="36"/>
      <c r="M1340" s="36"/>
      <c r="N1340" s="37" t="s">
        <v>79</v>
      </c>
      <c r="O1340" s="37" t="s">
        <v>80</v>
      </c>
      <c r="P1340" s="38">
        <v>45966</v>
      </c>
      <c r="Q1340" s="37" t="s">
        <v>2943</v>
      </c>
      <c r="R1340" s="37"/>
      <c r="S1340" s="37" t="s">
        <v>82</v>
      </c>
      <c r="T1340" s="31"/>
    </row>
    <row r="1341" spans="1:20">
      <c r="A1341" s="31" t="s">
        <v>2898</v>
      </c>
      <c r="B1341" s="32" t="s">
        <v>2944</v>
      </c>
      <c r="C1341" s="33" t="str">
        <f>Tabla1[[#This Row],[PARTIDA]] &amp; "."</f>
        <v>2C-15.</v>
      </c>
      <c r="D1341" s="32" t="s">
        <v>2945</v>
      </c>
      <c r="E1341" s="33" t="s">
        <v>116</v>
      </c>
      <c r="F1341" s="34">
        <v>1</v>
      </c>
      <c r="G1341" s="35">
        <v>1329762.4099999999</v>
      </c>
      <c r="H1341" s="35">
        <v>0</v>
      </c>
      <c r="I1341" s="35">
        <f>Tabla1[[#This Row],[P.U. M.N.]]*Tabla1[[#This Row],[CANTIDADES DE REFERENCIA]]</f>
        <v>1329762.4099999999</v>
      </c>
      <c r="J1341" s="35">
        <f>Tabla1[[#This Row],[P.U. USD]]*Tabla1[[#This Row],[CANTIDADES DE REFERENCIA]]</f>
        <v>0</v>
      </c>
      <c r="K1341" s="36"/>
      <c r="L1341" s="36"/>
      <c r="M1341" s="36"/>
      <c r="N1341" s="37" t="s">
        <v>79</v>
      </c>
      <c r="O1341" s="37" t="s">
        <v>80</v>
      </c>
      <c r="P1341" s="38">
        <v>45966</v>
      </c>
      <c r="Q1341" s="37" t="s">
        <v>2946</v>
      </c>
      <c r="R1341" s="37"/>
      <c r="S1341" s="37" t="s">
        <v>82</v>
      </c>
      <c r="T1341" s="31"/>
    </row>
    <row r="1342" spans="1:20">
      <c r="A1342" s="31" t="s">
        <v>2898</v>
      </c>
      <c r="B1342" s="32" t="s">
        <v>2947</v>
      </c>
      <c r="C1342" s="33" t="str">
        <f>Tabla1[[#This Row],[PARTIDA]] &amp; "."</f>
        <v>3C-15.</v>
      </c>
      <c r="D1342" s="32" t="s">
        <v>2948</v>
      </c>
      <c r="E1342" s="33" t="s">
        <v>116</v>
      </c>
      <c r="F1342" s="34">
        <v>1</v>
      </c>
      <c r="G1342" s="35">
        <v>558668.09</v>
      </c>
      <c r="H1342" s="35">
        <v>16.84</v>
      </c>
      <c r="I1342" s="35">
        <f>Tabla1[[#This Row],[P.U. M.N.]]*Tabla1[[#This Row],[CANTIDADES DE REFERENCIA]]</f>
        <v>558668.09</v>
      </c>
      <c r="J1342" s="35">
        <f>Tabla1[[#This Row],[P.U. USD]]*Tabla1[[#This Row],[CANTIDADES DE REFERENCIA]]</f>
        <v>16.84</v>
      </c>
      <c r="K1342" s="36"/>
      <c r="L1342" s="36"/>
      <c r="M1342" s="36"/>
      <c r="N1342" s="37" t="s">
        <v>79</v>
      </c>
      <c r="O1342" s="37" t="s">
        <v>80</v>
      </c>
      <c r="P1342" s="38">
        <v>45966</v>
      </c>
      <c r="Q1342" s="37" t="s">
        <v>2949</v>
      </c>
      <c r="R1342" s="37"/>
      <c r="S1342" s="37" t="s">
        <v>82</v>
      </c>
      <c r="T1342" s="31"/>
    </row>
    <row r="1343" spans="1:20">
      <c r="A1343" s="31" t="s">
        <v>2898</v>
      </c>
      <c r="B1343" s="32" t="s">
        <v>2950</v>
      </c>
      <c r="C1343" s="33" t="str">
        <f>Tabla1[[#This Row],[PARTIDA]] &amp; "."</f>
        <v>4C-15.</v>
      </c>
      <c r="D1343" s="32" t="s">
        <v>2951</v>
      </c>
      <c r="E1343" s="33" t="s">
        <v>116</v>
      </c>
      <c r="F1343" s="34">
        <v>1</v>
      </c>
      <c r="G1343" s="35">
        <v>5131.3900000000003</v>
      </c>
      <c r="H1343" s="35">
        <v>0</v>
      </c>
      <c r="I1343" s="35">
        <f>Tabla1[[#This Row],[P.U. M.N.]]*Tabla1[[#This Row],[CANTIDADES DE REFERENCIA]]</f>
        <v>5131.3900000000003</v>
      </c>
      <c r="J1343" s="35">
        <f>Tabla1[[#This Row],[P.U. USD]]*Tabla1[[#This Row],[CANTIDADES DE REFERENCIA]]</f>
        <v>0</v>
      </c>
      <c r="K1343" s="36"/>
      <c r="L1343" s="36"/>
      <c r="M1343" s="36"/>
      <c r="N1343" s="37" t="s">
        <v>1031</v>
      </c>
      <c r="O1343" s="37" t="s">
        <v>1032</v>
      </c>
      <c r="P1343" s="38">
        <v>45966</v>
      </c>
      <c r="Q1343" s="37" t="s">
        <v>2952</v>
      </c>
      <c r="R1343" s="37"/>
      <c r="S1343" s="37" t="s">
        <v>2902</v>
      </c>
      <c r="T1343" s="31"/>
    </row>
    <row r="1344" spans="1:20">
      <c r="A1344" s="31"/>
      <c r="B1344" s="32"/>
      <c r="C1344" s="33"/>
      <c r="D1344" s="32" t="s">
        <v>2953</v>
      </c>
      <c r="E1344" s="33" t="s">
        <v>116</v>
      </c>
      <c r="F1344" s="34">
        <v>1</v>
      </c>
      <c r="G1344" s="35">
        <v>0</v>
      </c>
      <c r="H1344" s="35">
        <v>0</v>
      </c>
      <c r="I1344" s="35">
        <f>Tabla1[[#This Row],[P.U. M.N.]]*Tabla1[[#This Row],[CANTIDADES DE REFERENCIA]]</f>
        <v>0</v>
      </c>
      <c r="J1344" s="35">
        <f>Tabla1[[#This Row],[P.U. USD]]*Tabla1[[#This Row],[CANTIDADES DE REFERENCIA]]</f>
        <v>0</v>
      </c>
      <c r="K1344" s="36"/>
      <c r="L1344" s="36"/>
      <c r="M1344" s="36"/>
      <c r="N1344" s="37" t="s">
        <v>117</v>
      </c>
      <c r="O1344" s="37" t="s">
        <v>118</v>
      </c>
      <c r="P1344" s="38"/>
      <c r="Q1344" s="37" t="s">
        <v>2954</v>
      </c>
      <c r="R1344" s="37"/>
      <c r="S1344" s="37" t="s">
        <v>120</v>
      </c>
      <c r="T1344" s="31"/>
    </row>
    <row r="1345" spans="1:20">
      <c r="A1345" s="31" t="s">
        <v>2898</v>
      </c>
      <c r="B1345" s="32" t="s">
        <v>2955</v>
      </c>
      <c r="C1345" s="33" t="str">
        <f>Tabla1[[#This Row],[PARTIDA]] &amp; "."</f>
        <v>5C-15.</v>
      </c>
      <c r="D1345" s="32" t="s">
        <v>2956</v>
      </c>
      <c r="E1345" s="33" t="s">
        <v>116</v>
      </c>
      <c r="F1345" s="34">
        <v>1</v>
      </c>
      <c r="G1345" s="35">
        <v>5806.39</v>
      </c>
      <c r="H1345" s="35">
        <v>0</v>
      </c>
      <c r="I1345" s="35">
        <f>Tabla1[[#This Row],[P.U. M.N.]]*Tabla1[[#This Row],[CANTIDADES DE REFERENCIA]]</f>
        <v>5806.39</v>
      </c>
      <c r="J1345" s="35">
        <f>Tabla1[[#This Row],[P.U. USD]]*Tabla1[[#This Row],[CANTIDADES DE REFERENCIA]]</f>
        <v>0</v>
      </c>
      <c r="K1345" s="36"/>
      <c r="L1345" s="36"/>
      <c r="M1345" s="36"/>
      <c r="N1345" s="37" t="s">
        <v>1031</v>
      </c>
      <c r="O1345" s="37" t="s">
        <v>1032</v>
      </c>
      <c r="P1345" s="38">
        <v>45966</v>
      </c>
      <c r="Q1345" s="37" t="s">
        <v>2957</v>
      </c>
      <c r="R1345" s="37"/>
      <c r="S1345" s="37" t="s">
        <v>2902</v>
      </c>
      <c r="T1345" s="31"/>
    </row>
    <row r="1346" spans="1:20">
      <c r="A1346" s="31"/>
      <c r="B1346" s="32"/>
      <c r="C1346" s="33"/>
      <c r="D1346" s="32" t="s">
        <v>2958</v>
      </c>
      <c r="E1346" s="33" t="s">
        <v>116</v>
      </c>
      <c r="F1346" s="34">
        <v>1</v>
      </c>
      <c r="G1346" s="35">
        <v>0</v>
      </c>
      <c r="H1346" s="35">
        <v>0</v>
      </c>
      <c r="I1346" s="35">
        <f>Tabla1[[#This Row],[P.U. M.N.]]*Tabla1[[#This Row],[CANTIDADES DE REFERENCIA]]</f>
        <v>0</v>
      </c>
      <c r="J1346" s="35">
        <f>Tabla1[[#This Row],[P.U. USD]]*Tabla1[[#This Row],[CANTIDADES DE REFERENCIA]]</f>
        <v>0</v>
      </c>
      <c r="K1346" s="36"/>
      <c r="L1346" s="36"/>
      <c r="M1346" s="36"/>
      <c r="N1346" s="37" t="s">
        <v>117</v>
      </c>
      <c r="O1346" s="37" t="s">
        <v>118</v>
      </c>
      <c r="P1346" s="38"/>
      <c r="Q1346" s="37" t="s">
        <v>2959</v>
      </c>
      <c r="R1346" s="37" t="s">
        <v>58</v>
      </c>
      <c r="S1346" s="37" t="s">
        <v>120</v>
      </c>
      <c r="T1346" s="31"/>
    </row>
    <row r="1347" spans="1:20">
      <c r="A1347" s="31" t="s">
        <v>2898</v>
      </c>
      <c r="B1347" s="32" t="s">
        <v>2960</v>
      </c>
      <c r="C1347" s="33" t="str">
        <f>Tabla1[[#This Row],[PARTIDA]] &amp; "."</f>
        <v>6C-15.</v>
      </c>
      <c r="D1347" s="32" t="s">
        <v>2961</v>
      </c>
      <c r="E1347" s="33" t="s">
        <v>116</v>
      </c>
      <c r="F1347" s="34">
        <v>1</v>
      </c>
      <c r="G1347" s="35">
        <v>6677.14</v>
      </c>
      <c r="H1347" s="35">
        <v>0</v>
      </c>
      <c r="I1347" s="35">
        <f>Tabla1[[#This Row],[P.U. M.N.]]*Tabla1[[#This Row],[CANTIDADES DE REFERENCIA]]</f>
        <v>6677.14</v>
      </c>
      <c r="J1347" s="35">
        <f>Tabla1[[#This Row],[P.U. USD]]*Tabla1[[#This Row],[CANTIDADES DE REFERENCIA]]</f>
        <v>0</v>
      </c>
      <c r="K1347" s="36"/>
      <c r="L1347" s="36"/>
      <c r="M1347" s="36"/>
      <c r="N1347" s="37" t="s">
        <v>1031</v>
      </c>
      <c r="O1347" s="37" t="s">
        <v>1032</v>
      </c>
      <c r="P1347" s="38">
        <v>45966</v>
      </c>
      <c r="Q1347" s="37" t="s">
        <v>2962</v>
      </c>
      <c r="R1347" s="37"/>
      <c r="S1347" s="37" t="s">
        <v>2902</v>
      </c>
      <c r="T1347" s="31"/>
    </row>
    <row r="1348" spans="1:20">
      <c r="A1348" s="31" t="s">
        <v>2898</v>
      </c>
      <c r="B1348" s="32" t="s">
        <v>2963</v>
      </c>
      <c r="C1348" s="33" t="str">
        <f>Tabla1[[#This Row],[PARTIDA]] &amp; "."</f>
        <v>7C-15.</v>
      </c>
      <c r="D1348" s="32" t="s">
        <v>2964</v>
      </c>
      <c r="E1348" s="33" t="s">
        <v>116</v>
      </c>
      <c r="F1348" s="34">
        <v>1</v>
      </c>
      <c r="G1348" s="35">
        <v>3298.67</v>
      </c>
      <c r="H1348" s="35">
        <v>0</v>
      </c>
      <c r="I1348" s="35">
        <f>Tabla1[[#This Row],[P.U. M.N.]]*Tabla1[[#This Row],[CANTIDADES DE REFERENCIA]]</f>
        <v>3298.67</v>
      </c>
      <c r="J1348" s="35">
        <f>Tabla1[[#This Row],[P.U. USD]]*Tabla1[[#This Row],[CANTIDADES DE REFERENCIA]]</f>
        <v>0</v>
      </c>
      <c r="K1348" s="36"/>
      <c r="L1348" s="36"/>
      <c r="M1348" s="36"/>
      <c r="N1348" s="37" t="s">
        <v>1031</v>
      </c>
      <c r="O1348" s="37" t="s">
        <v>1032</v>
      </c>
      <c r="P1348" s="38">
        <v>45966</v>
      </c>
      <c r="Q1348" s="37" t="s">
        <v>2965</v>
      </c>
      <c r="R1348" s="37"/>
      <c r="S1348" s="37" t="s">
        <v>2902</v>
      </c>
      <c r="T1348" s="31"/>
    </row>
    <row r="1349" spans="1:20">
      <c r="A1349" s="31" t="s">
        <v>2898</v>
      </c>
      <c r="B1349" s="32" t="s">
        <v>2966</v>
      </c>
      <c r="C1349" s="33" t="str">
        <f>Tabla1[[#This Row],[PARTIDA]] &amp; "."</f>
        <v>8C-15.</v>
      </c>
      <c r="D1349" s="32" t="s">
        <v>2967</v>
      </c>
      <c r="E1349" s="33" t="s">
        <v>116</v>
      </c>
      <c r="F1349" s="34">
        <v>1</v>
      </c>
      <c r="G1349" s="35">
        <v>2619.62</v>
      </c>
      <c r="H1349" s="35">
        <v>0</v>
      </c>
      <c r="I1349" s="35">
        <f>Tabla1[[#This Row],[P.U. M.N.]]*Tabla1[[#This Row],[CANTIDADES DE REFERENCIA]]</f>
        <v>2619.62</v>
      </c>
      <c r="J1349" s="35">
        <f>Tabla1[[#This Row],[P.U. USD]]*Tabla1[[#This Row],[CANTIDADES DE REFERENCIA]]</f>
        <v>0</v>
      </c>
      <c r="K1349" s="36"/>
      <c r="L1349" s="36"/>
      <c r="M1349" s="36"/>
      <c r="N1349" s="37" t="s">
        <v>1031</v>
      </c>
      <c r="O1349" s="37" t="s">
        <v>1032</v>
      </c>
      <c r="P1349" s="38">
        <v>45966</v>
      </c>
      <c r="Q1349" s="37" t="s">
        <v>2968</v>
      </c>
      <c r="R1349" s="37"/>
      <c r="S1349" s="37" t="s">
        <v>2902</v>
      </c>
      <c r="T1349" s="31"/>
    </row>
    <row r="1350" spans="1:20">
      <c r="A1350" s="31" t="s">
        <v>2898</v>
      </c>
      <c r="B1350" s="32" t="s">
        <v>2969</v>
      </c>
      <c r="C1350" s="33" t="str">
        <f>Tabla1[[#This Row],[PARTIDA]] &amp; "."</f>
        <v>9C-15.</v>
      </c>
      <c r="D1350" s="32" t="s">
        <v>2970</v>
      </c>
      <c r="E1350" s="33" t="s">
        <v>116</v>
      </c>
      <c r="F1350" s="34">
        <v>1</v>
      </c>
      <c r="G1350" s="35">
        <v>487.42</v>
      </c>
      <c r="H1350" s="35">
        <v>0</v>
      </c>
      <c r="I1350" s="35">
        <f>Tabla1[[#This Row],[P.U. M.N.]]*Tabla1[[#This Row],[CANTIDADES DE REFERENCIA]]</f>
        <v>487.42</v>
      </c>
      <c r="J1350" s="35">
        <f>Tabla1[[#This Row],[P.U. USD]]*Tabla1[[#This Row],[CANTIDADES DE REFERENCIA]]</f>
        <v>0</v>
      </c>
      <c r="K1350" s="36"/>
      <c r="L1350" s="36"/>
      <c r="M1350" s="36"/>
      <c r="N1350" s="37" t="s">
        <v>1031</v>
      </c>
      <c r="O1350" s="37" t="s">
        <v>1032</v>
      </c>
      <c r="P1350" s="38">
        <v>45966</v>
      </c>
      <c r="Q1350" s="37" t="s">
        <v>2971</v>
      </c>
      <c r="R1350" s="37"/>
      <c r="S1350" s="37" t="s">
        <v>2902</v>
      </c>
      <c r="T1350" s="31"/>
    </row>
    <row r="1351" spans="1:20">
      <c r="A1351" s="31"/>
      <c r="B1351" s="32"/>
      <c r="C1351" s="33"/>
      <c r="D1351" s="32" t="s">
        <v>2972</v>
      </c>
      <c r="E1351" s="33" t="s">
        <v>116</v>
      </c>
      <c r="F1351" s="34">
        <v>1</v>
      </c>
      <c r="G1351" s="35">
        <v>0</v>
      </c>
      <c r="H1351" s="35">
        <v>0</v>
      </c>
      <c r="I1351" s="35">
        <f>Tabla1[[#This Row],[P.U. M.N.]]*Tabla1[[#This Row],[CANTIDADES DE REFERENCIA]]</f>
        <v>0</v>
      </c>
      <c r="J1351" s="35">
        <f>Tabla1[[#This Row],[P.U. USD]]*Tabla1[[#This Row],[CANTIDADES DE REFERENCIA]]</f>
        <v>0</v>
      </c>
      <c r="K1351" s="36"/>
      <c r="L1351" s="36"/>
      <c r="M1351" s="36"/>
      <c r="N1351" s="37" t="s">
        <v>117</v>
      </c>
      <c r="O1351" s="37" t="s">
        <v>118</v>
      </c>
      <c r="P1351" s="38"/>
      <c r="Q1351" s="37" t="s">
        <v>2973</v>
      </c>
      <c r="R1351" s="37"/>
      <c r="S1351" s="37" t="s">
        <v>120</v>
      </c>
      <c r="T1351" s="31"/>
    </row>
    <row r="1352" spans="1:20">
      <c r="A1352" s="31" t="s">
        <v>2974</v>
      </c>
      <c r="B1352" s="32" t="s">
        <v>2975</v>
      </c>
      <c r="C1352" s="33" t="str">
        <f>Tabla1[[#This Row],[PARTIDA]] &amp; "."</f>
        <v>1C-16.</v>
      </c>
      <c r="D1352" s="32" t="s">
        <v>2976</v>
      </c>
      <c r="E1352" s="33" t="s">
        <v>135</v>
      </c>
      <c r="F1352" s="34">
        <v>1</v>
      </c>
      <c r="G1352" s="35">
        <v>1695.11</v>
      </c>
      <c r="H1352" s="35">
        <v>0</v>
      </c>
      <c r="I1352" s="35">
        <f>Tabla1[[#This Row],[P.U. M.N.]]*Tabla1[[#This Row],[CANTIDADES DE REFERENCIA]]</f>
        <v>1695.11</v>
      </c>
      <c r="J1352" s="35">
        <f>Tabla1[[#This Row],[P.U. USD]]*Tabla1[[#This Row],[CANTIDADES DE REFERENCIA]]</f>
        <v>0</v>
      </c>
      <c r="K1352" s="36"/>
      <c r="L1352" s="36"/>
      <c r="M1352" s="36"/>
      <c r="N1352" s="37" t="s">
        <v>1031</v>
      </c>
      <c r="O1352" s="37" t="s">
        <v>1032</v>
      </c>
      <c r="P1352" s="38">
        <v>45967</v>
      </c>
      <c r="Q1352" s="37" t="s">
        <v>2977</v>
      </c>
      <c r="R1352" s="37"/>
      <c r="S1352" s="37" t="s">
        <v>2902</v>
      </c>
      <c r="T1352" s="31"/>
    </row>
    <row r="1353" spans="1:20">
      <c r="A1353" s="31" t="s">
        <v>2974</v>
      </c>
      <c r="B1353" s="32" t="s">
        <v>2978</v>
      </c>
      <c r="C1353" s="33" t="str">
        <f>Tabla1[[#This Row],[PARTIDA]] &amp; "."</f>
        <v>2C-16.</v>
      </c>
      <c r="D1353" s="32" t="s">
        <v>2979</v>
      </c>
      <c r="E1353" s="33" t="s">
        <v>116</v>
      </c>
      <c r="F1353" s="34">
        <v>1</v>
      </c>
      <c r="G1353" s="35">
        <v>539.1</v>
      </c>
      <c r="H1353" s="35">
        <v>0</v>
      </c>
      <c r="I1353" s="35">
        <f>Tabla1[[#This Row],[P.U. M.N.]]*Tabla1[[#This Row],[CANTIDADES DE REFERENCIA]]</f>
        <v>539.1</v>
      </c>
      <c r="J1353" s="35">
        <f>Tabla1[[#This Row],[P.U. USD]]*Tabla1[[#This Row],[CANTIDADES DE REFERENCIA]]</f>
        <v>0</v>
      </c>
      <c r="K1353" s="36"/>
      <c r="L1353" s="36"/>
      <c r="M1353" s="36"/>
      <c r="N1353" s="37" t="s">
        <v>1031</v>
      </c>
      <c r="O1353" s="37" t="s">
        <v>1032</v>
      </c>
      <c r="P1353" s="38">
        <v>45967</v>
      </c>
      <c r="Q1353" s="37" t="s">
        <v>2980</v>
      </c>
      <c r="R1353" s="37"/>
      <c r="S1353" s="37" t="s">
        <v>2902</v>
      </c>
      <c r="T1353" s="31"/>
    </row>
    <row r="1354" spans="1:20">
      <c r="A1354" s="31"/>
      <c r="B1354" s="32"/>
      <c r="C1354" s="33"/>
      <c r="D1354" s="32" t="s">
        <v>2981</v>
      </c>
      <c r="E1354" s="33" t="s">
        <v>116</v>
      </c>
      <c r="F1354" s="34">
        <v>1</v>
      </c>
      <c r="G1354" s="35">
        <v>0</v>
      </c>
      <c r="H1354" s="35">
        <v>0</v>
      </c>
      <c r="I1354" s="35">
        <f>Tabla1[[#This Row],[P.U. M.N.]]*Tabla1[[#This Row],[CANTIDADES DE REFERENCIA]]</f>
        <v>0</v>
      </c>
      <c r="J1354" s="35">
        <f>Tabla1[[#This Row],[P.U. USD]]*Tabla1[[#This Row],[CANTIDADES DE REFERENCIA]]</f>
        <v>0</v>
      </c>
      <c r="K1354" s="36"/>
      <c r="L1354" s="36"/>
      <c r="M1354" s="36"/>
      <c r="N1354" s="37" t="s">
        <v>117</v>
      </c>
      <c r="O1354" s="37" t="s">
        <v>118</v>
      </c>
      <c r="P1354" s="38"/>
      <c r="Q1354" s="37" t="s">
        <v>2982</v>
      </c>
      <c r="R1354" s="37"/>
      <c r="S1354" s="37" t="s">
        <v>120</v>
      </c>
      <c r="T1354" s="31"/>
    </row>
    <row r="1355" spans="1:20">
      <c r="A1355" s="31" t="s">
        <v>28</v>
      </c>
      <c r="B1355" s="32" t="s">
        <v>2983</v>
      </c>
      <c r="C1355" s="33" t="str">
        <f>Tabla1[[#This Row],[PARTIDA]] &amp; "."</f>
        <v>2C-010.</v>
      </c>
      <c r="D1355" s="32" t="s">
        <v>2984</v>
      </c>
      <c r="E1355" s="33" t="s">
        <v>23</v>
      </c>
      <c r="F1355" s="34">
        <v>1</v>
      </c>
      <c r="G1355" s="35">
        <v>0</v>
      </c>
      <c r="H1355" s="35">
        <v>69230.77</v>
      </c>
      <c r="I1355" s="35">
        <f>Tabla1[[#This Row],[P.U. M.N.]]*Tabla1[[#This Row],[CANTIDADES DE REFERENCIA]]</f>
        <v>0</v>
      </c>
      <c r="J1355" s="35">
        <f>Tabla1[[#This Row],[P.U. USD]]*Tabla1[[#This Row],[CANTIDADES DE REFERENCIA]]</f>
        <v>69230.77</v>
      </c>
      <c r="K1355" s="36"/>
      <c r="L1355" s="36"/>
      <c r="M1355" s="36"/>
      <c r="N1355" s="37" t="s">
        <v>31</v>
      </c>
      <c r="O1355" s="37"/>
      <c r="P1355" s="38">
        <v>45680</v>
      </c>
      <c r="Q1355" s="37" t="s">
        <v>2985</v>
      </c>
      <c r="R1355" s="37"/>
      <c r="S1355" s="37" t="s">
        <v>33</v>
      </c>
      <c r="T1355" s="31"/>
    </row>
    <row r="1356" spans="1:20">
      <c r="A1356" s="31" t="s">
        <v>2986</v>
      </c>
      <c r="B1356" s="32" t="s">
        <v>2987</v>
      </c>
      <c r="C1356" s="33" t="str">
        <f>Tabla1[[#This Row],[PARTIDA]] &amp; "."</f>
        <v>1C-18.</v>
      </c>
      <c r="D1356" s="32" t="s">
        <v>2988</v>
      </c>
      <c r="E1356" s="33" t="s">
        <v>367</v>
      </c>
      <c r="F1356" s="34">
        <v>1</v>
      </c>
      <c r="G1356" s="35">
        <v>13531.98</v>
      </c>
      <c r="H1356" s="35">
        <v>0</v>
      </c>
      <c r="I1356" s="35">
        <f>Tabla1[[#This Row],[P.U. M.N.]]*Tabla1[[#This Row],[CANTIDADES DE REFERENCIA]]</f>
        <v>13531.98</v>
      </c>
      <c r="J1356" s="35">
        <f>Tabla1[[#This Row],[P.U. USD]]*Tabla1[[#This Row],[CANTIDADES DE REFERENCIA]]</f>
        <v>0</v>
      </c>
      <c r="K1356" s="36"/>
      <c r="L1356" s="36"/>
      <c r="M1356" s="36"/>
      <c r="N1356" s="37" t="s">
        <v>2989</v>
      </c>
      <c r="O1356" s="37" t="s">
        <v>2990</v>
      </c>
      <c r="P1356" s="38">
        <v>44936</v>
      </c>
      <c r="Q1356" s="37" t="s">
        <v>2991</v>
      </c>
      <c r="R1356" s="37"/>
      <c r="S1356" s="37" t="s">
        <v>2992</v>
      </c>
      <c r="T1356" s="31"/>
    </row>
    <row r="1357" spans="1:20">
      <c r="A1357" s="31" t="s">
        <v>2986</v>
      </c>
      <c r="B1357" s="32" t="s">
        <v>2993</v>
      </c>
      <c r="C1357" s="33" t="str">
        <f>Tabla1[[#This Row],[PARTIDA]] &amp; "."</f>
        <v>2C-18.</v>
      </c>
      <c r="D1357" s="32" t="s">
        <v>2994</v>
      </c>
      <c r="E1357" s="33" t="s">
        <v>367</v>
      </c>
      <c r="F1357" s="34">
        <v>1</v>
      </c>
      <c r="G1357" s="35">
        <v>8798.07</v>
      </c>
      <c r="H1357" s="35">
        <v>0</v>
      </c>
      <c r="I1357" s="35">
        <f>Tabla1[[#This Row],[P.U. M.N.]]*Tabla1[[#This Row],[CANTIDADES DE REFERENCIA]]</f>
        <v>8798.07</v>
      </c>
      <c r="J1357" s="35">
        <f>Tabla1[[#This Row],[P.U. USD]]*Tabla1[[#This Row],[CANTIDADES DE REFERENCIA]]</f>
        <v>0</v>
      </c>
      <c r="K1357" s="36"/>
      <c r="L1357" s="36"/>
      <c r="M1357" s="36"/>
      <c r="N1357" s="37" t="s">
        <v>2989</v>
      </c>
      <c r="O1357" s="37" t="s">
        <v>2990</v>
      </c>
      <c r="P1357" s="38">
        <v>44936</v>
      </c>
      <c r="Q1357" s="37" t="s">
        <v>2995</v>
      </c>
      <c r="R1357" s="37"/>
      <c r="S1357" s="37" t="s">
        <v>2992</v>
      </c>
      <c r="T1357" s="31"/>
    </row>
    <row r="1358" spans="1:20">
      <c r="A1358" s="31"/>
      <c r="B1358" s="32"/>
      <c r="C1358" s="33"/>
      <c r="D1358" s="32" t="s">
        <v>2996</v>
      </c>
      <c r="E1358" s="33" t="s">
        <v>116</v>
      </c>
      <c r="F1358" s="34">
        <v>1</v>
      </c>
      <c r="G1358" s="35">
        <v>0</v>
      </c>
      <c r="H1358" s="35">
        <v>0</v>
      </c>
      <c r="I1358" s="35">
        <f>Tabla1[[#This Row],[P.U. M.N.]]*Tabla1[[#This Row],[CANTIDADES DE REFERENCIA]]</f>
        <v>0</v>
      </c>
      <c r="J1358" s="35">
        <f>Tabla1[[#This Row],[P.U. USD]]*Tabla1[[#This Row],[CANTIDADES DE REFERENCIA]]</f>
        <v>0</v>
      </c>
      <c r="K1358" s="36"/>
      <c r="L1358" s="36"/>
      <c r="M1358" s="36"/>
      <c r="N1358" s="37" t="s">
        <v>117</v>
      </c>
      <c r="O1358" s="37" t="s">
        <v>118</v>
      </c>
      <c r="P1358" s="38"/>
      <c r="Q1358" s="37" t="s">
        <v>2997</v>
      </c>
      <c r="R1358" s="37"/>
      <c r="S1358" s="37" t="s">
        <v>120</v>
      </c>
      <c r="T1358" s="31"/>
    </row>
    <row r="1359" spans="1:20">
      <c r="A1359" s="31"/>
      <c r="B1359" s="32"/>
      <c r="C1359" s="33"/>
      <c r="D1359" s="32" t="s">
        <v>2998</v>
      </c>
      <c r="E1359" s="33" t="s">
        <v>135</v>
      </c>
      <c r="F1359" s="34">
        <v>1</v>
      </c>
      <c r="G1359" s="35">
        <v>0</v>
      </c>
      <c r="H1359" s="35">
        <v>0</v>
      </c>
      <c r="I1359" s="35">
        <f>Tabla1[[#This Row],[P.U. M.N.]]*Tabla1[[#This Row],[CANTIDADES DE REFERENCIA]]</f>
        <v>0</v>
      </c>
      <c r="J1359" s="35">
        <f>Tabla1[[#This Row],[P.U. USD]]*Tabla1[[#This Row],[CANTIDADES DE REFERENCIA]]</f>
        <v>0</v>
      </c>
      <c r="K1359" s="36"/>
      <c r="L1359" s="36"/>
      <c r="M1359" s="36"/>
      <c r="N1359" s="37" t="s">
        <v>117</v>
      </c>
      <c r="O1359" s="37" t="s">
        <v>118</v>
      </c>
      <c r="P1359" s="38"/>
      <c r="Q1359" s="37" t="s">
        <v>2999</v>
      </c>
      <c r="R1359" s="37"/>
      <c r="S1359" s="37" t="s">
        <v>120</v>
      </c>
      <c r="T1359" s="31"/>
    </row>
    <row r="1360" spans="1:20">
      <c r="A1360" s="31"/>
      <c r="B1360" s="32"/>
      <c r="C1360" s="33"/>
      <c r="D1360" s="32" t="s">
        <v>3000</v>
      </c>
      <c r="E1360" s="33" t="s">
        <v>135</v>
      </c>
      <c r="F1360" s="34">
        <v>1</v>
      </c>
      <c r="G1360" s="35">
        <v>0</v>
      </c>
      <c r="H1360" s="35">
        <v>0</v>
      </c>
      <c r="I1360" s="35">
        <f>Tabla1[[#This Row],[P.U. M.N.]]*Tabla1[[#This Row],[CANTIDADES DE REFERENCIA]]</f>
        <v>0</v>
      </c>
      <c r="J1360" s="35">
        <f>Tabla1[[#This Row],[P.U. USD]]*Tabla1[[#This Row],[CANTIDADES DE REFERENCIA]]</f>
        <v>0</v>
      </c>
      <c r="K1360" s="36"/>
      <c r="L1360" s="36"/>
      <c r="M1360" s="36"/>
      <c r="N1360" s="37" t="s">
        <v>117</v>
      </c>
      <c r="O1360" s="37" t="s">
        <v>118</v>
      </c>
      <c r="P1360" s="38"/>
      <c r="Q1360" s="37" t="s">
        <v>3001</v>
      </c>
      <c r="R1360" s="37"/>
      <c r="S1360" s="37" t="s">
        <v>120</v>
      </c>
      <c r="T1360" s="31"/>
    </row>
    <row r="1361" spans="1:20">
      <c r="A1361" s="31"/>
      <c r="B1361" s="32"/>
      <c r="C1361" s="33"/>
      <c r="D1361" s="32" t="s">
        <v>3002</v>
      </c>
      <c r="E1361" s="33" t="s">
        <v>116</v>
      </c>
      <c r="F1361" s="34">
        <v>1</v>
      </c>
      <c r="G1361" s="35">
        <v>0</v>
      </c>
      <c r="H1361" s="35">
        <v>0</v>
      </c>
      <c r="I1361" s="35">
        <f>Tabla1[[#This Row],[P.U. M.N.]]*Tabla1[[#This Row],[CANTIDADES DE REFERENCIA]]</f>
        <v>0</v>
      </c>
      <c r="J1361" s="35">
        <f>Tabla1[[#This Row],[P.U. USD]]*Tabla1[[#This Row],[CANTIDADES DE REFERENCIA]]</f>
        <v>0</v>
      </c>
      <c r="K1361" s="36"/>
      <c r="L1361" s="36"/>
      <c r="M1361" s="36"/>
      <c r="N1361" s="37" t="s">
        <v>117</v>
      </c>
      <c r="O1361" s="37" t="s">
        <v>118</v>
      </c>
      <c r="P1361" s="38"/>
      <c r="Q1361" s="37" t="s">
        <v>3003</v>
      </c>
      <c r="R1361" s="37"/>
      <c r="S1361" s="37" t="s">
        <v>120</v>
      </c>
      <c r="T1361" s="31"/>
    </row>
    <row r="1362" spans="1:20">
      <c r="A1362" s="31"/>
      <c r="B1362" s="32"/>
      <c r="C1362" s="33"/>
      <c r="D1362" s="32" t="s">
        <v>3004</v>
      </c>
      <c r="E1362" s="33" t="s">
        <v>116</v>
      </c>
      <c r="F1362" s="34">
        <v>1</v>
      </c>
      <c r="G1362" s="35">
        <v>0</v>
      </c>
      <c r="H1362" s="35">
        <v>0</v>
      </c>
      <c r="I1362" s="35">
        <f>Tabla1[[#This Row],[P.U. M.N.]]*Tabla1[[#This Row],[CANTIDADES DE REFERENCIA]]</f>
        <v>0</v>
      </c>
      <c r="J1362" s="35">
        <f>Tabla1[[#This Row],[P.U. USD]]*Tabla1[[#This Row],[CANTIDADES DE REFERENCIA]]</f>
        <v>0</v>
      </c>
      <c r="K1362" s="36"/>
      <c r="L1362" s="36"/>
      <c r="M1362" s="36"/>
      <c r="N1362" s="37" t="s">
        <v>117</v>
      </c>
      <c r="O1362" s="37" t="s">
        <v>118</v>
      </c>
      <c r="P1362" s="38"/>
      <c r="Q1362" s="37" t="s">
        <v>3005</v>
      </c>
      <c r="R1362" s="37"/>
      <c r="S1362" s="37" t="s">
        <v>120</v>
      </c>
      <c r="T1362" s="31"/>
    </row>
    <row r="1363" spans="1:20">
      <c r="A1363" s="31" t="s">
        <v>3006</v>
      </c>
      <c r="B1363" s="32" t="s">
        <v>3007</v>
      </c>
      <c r="C1363" s="33" t="str">
        <f>Tabla1[[#This Row],[PARTIDA]] &amp; "."</f>
        <v>10C-19.</v>
      </c>
      <c r="D1363" s="32" t="s">
        <v>3008</v>
      </c>
      <c r="E1363" s="33" t="s">
        <v>116</v>
      </c>
      <c r="F1363" s="34">
        <v>1</v>
      </c>
      <c r="G1363" s="35">
        <v>6315.45</v>
      </c>
      <c r="H1363" s="35">
        <v>0</v>
      </c>
      <c r="I1363" s="35">
        <f>Tabla1[[#This Row],[P.U. M.N.]]*Tabla1[[#This Row],[CANTIDADES DE REFERENCIA]]</f>
        <v>6315.45</v>
      </c>
      <c r="J1363" s="35">
        <f>Tabla1[[#This Row],[P.U. USD]]*Tabla1[[#This Row],[CANTIDADES DE REFERENCIA]]</f>
        <v>0</v>
      </c>
      <c r="K1363" s="36"/>
      <c r="L1363" s="36"/>
      <c r="M1363" s="36"/>
      <c r="N1363" s="37"/>
      <c r="O1363" s="37"/>
      <c r="P1363" s="38"/>
      <c r="Q1363" s="37" t="s">
        <v>3009</v>
      </c>
      <c r="R1363" s="37"/>
      <c r="S1363" s="37" t="s">
        <v>559</v>
      </c>
      <c r="T1363" s="31"/>
    </row>
    <row r="1364" spans="1:20">
      <c r="A1364" s="31"/>
      <c r="B1364" s="32"/>
      <c r="C1364" s="33"/>
      <c r="D1364" s="32" t="s">
        <v>3010</v>
      </c>
      <c r="E1364" s="33" t="s">
        <v>116</v>
      </c>
      <c r="F1364" s="34">
        <v>1</v>
      </c>
      <c r="G1364" s="35">
        <v>0</v>
      </c>
      <c r="H1364" s="35">
        <v>0</v>
      </c>
      <c r="I1364" s="35">
        <f>Tabla1[[#This Row],[P.U. M.N.]]*Tabla1[[#This Row],[CANTIDADES DE REFERENCIA]]</f>
        <v>0</v>
      </c>
      <c r="J1364" s="35">
        <f>Tabla1[[#This Row],[P.U. USD]]*Tabla1[[#This Row],[CANTIDADES DE REFERENCIA]]</f>
        <v>0</v>
      </c>
      <c r="K1364" s="36"/>
      <c r="L1364" s="36"/>
      <c r="M1364" s="36"/>
      <c r="N1364" s="37" t="s">
        <v>117</v>
      </c>
      <c r="O1364" s="37" t="s">
        <v>118</v>
      </c>
      <c r="P1364" s="38"/>
      <c r="Q1364" s="37" t="s">
        <v>3011</v>
      </c>
      <c r="R1364" s="37"/>
      <c r="S1364" s="37" t="s">
        <v>120</v>
      </c>
      <c r="T1364" s="31"/>
    </row>
    <row r="1365" spans="1:20">
      <c r="A1365" s="31"/>
      <c r="B1365" s="32"/>
      <c r="C1365" s="33"/>
      <c r="D1365" s="32" t="s">
        <v>3012</v>
      </c>
      <c r="E1365" s="33" t="s">
        <v>367</v>
      </c>
      <c r="F1365" s="34">
        <v>1</v>
      </c>
      <c r="G1365" s="35">
        <v>0</v>
      </c>
      <c r="H1365" s="35">
        <v>0</v>
      </c>
      <c r="I1365" s="35">
        <f>Tabla1[[#This Row],[P.U. M.N.]]*Tabla1[[#This Row],[CANTIDADES DE REFERENCIA]]</f>
        <v>0</v>
      </c>
      <c r="J1365" s="35">
        <f>Tabla1[[#This Row],[P.U. USD]]*Tabla1[[#This Row],[CANTIDADES DE REFERENCIA]]</f>
        <v>0</v>
      </c>
      <c r="K1365" s="36"/>
      <c r="L1365" s="36"/>
      <c r="M1365" s="36"/>
      <c r="N1365" s="37" t="s">
        <v>117</v>
      </c>
      <c r="O1365" s="37" t="s">
        <v>118</v>
      </c>
      <c r="P1365" s="38"/>
      <c r="Q1365" s="37" t="s">
        <v>3013</v>
      </c>
      <c r="R1365" s="37"/>
      <c r="S1365" s="37" t="s">
        <v>120</v>
      </c>
      <c r="T1365" s="31"/>
    </row>
    <row r="1366" spans="1:20">
      <c r="A1366" s="31"/>
      <c r="B1366" s="32"/>
      <c r="C1366" s="33"/>
      <c r="D1366" s="32" t="s">
        <v>3014</v>
      </c>
      <c r="E1366" s="33" t="s">
        <v>116</v>
      </c>
      <c r="F1366" s="34">
        <v>1</v>
      </c>
      <c r="G1366" s="35">
        <v>0</v>
      </c>
      <c r="H1366" s="35">
        <v>0</v>
      </c>
      <c r="I1366" s="35">
        <f>Tabla1[[#This Row],[P.U. M.N.]]*Tabla1[[#This Row],[CANTIDADES DE REFERENCIA]]</f>
        <v>0</v>
      </c>
      <c r="J1366" s="35">
        <f>Tabla1[[#This Row],[P.U. USD]]*Tabla1[[#This Row],[CANTIDADES DE REFERENCIA]]</f>
        <v>0</v>
      </c>
      <c r="K1366" s="36"/>
      <c r="L1366" s="36"/>
      <c r="M1366" s="36"/>
      <c r="N1366" s="37" t="s">
        <v>117</v>
      </c>
      <c r="O1366" s="37" t="s">
        <v>118</v>
      </c>
      <c r="P1366" s="38"/>
      <c r="Q1366" s="37" t="s">
        <v>3015</v>
      </c>
      <c r="R1366" s="37"/>
      <c r="S1366" s="37" t="s">
        <v>120</v>
      </c>
      <c r="T1366" s="31"/>
    </row>
    <row r="1367" spans="1:20">
      <c r="A1367" s="31"/>
      <c r="B1367" s="32"/>
      <c r="C1367" s="33"/>
      <c r="D1367" s="32" t="s">
        <v>3016</v>
      </c>
      <c r="E1367" s="33" t="s">
        <v>116</v>
      </c>
      <c r="F1367" s="34">
        <v>1</v>
      </c>
      <c r="G1367" s="35">
        <v>0</v>
      </c>
      <c r="H1367" s="35">
        <v>0</v>
      </c>
      <c r="I1367" s="35">
        <f>Tabla1[[#This Row],[P.U. M.N.]]*Tabla1[[#This Row],[CANTIDADES DE REFERENCIA]]</f>
        <v>0</v>
      </c>
      <c r="J1367" s="35">
        <f>Tabla1[[#This Row],[P.U. USD]]*Tabla1[[#This Row],[CANTIDADES DE REFERENCIA]]</f>
        <v>0</v>
      </c>
      <c r="K1367" s="36"/>
      <c r="L1367" s="36"/>
      <c r="M1367" s="36"/>
      <c r="N1367" s="37" t="s">
        <v>117</v>
      </c>
      <c r="O1367" s="37" t="s">
        <v>118</v>
      </c>
      <c r="P1367" s="38"/>
      <c r="Q1367" s="37" t="s">
        <v>3017</v>
      </c>
      <c r="R1367" s="37"/>
      <c r="S1367" s="37" t="s">
        <v>120</v>
      </c>
      <c r="T1367" s="31"/>
    </row>
    <row r="1368" spans="1:20">
      <c r="A1368" s="31"/>
      <c r="B1368" s="32"/>
      <c r="C1368" s="33"/>
      <c r="D1368" s="32" t="s">
        <v>3018</v>
      </c>
      <c r="E1368" s="33" t="s">
        <v>116</v>
      </c>
      <c r="F1368" s="34">
        <v>1</v>
      </c>
      <c r="G1368" s="35">
        <v>0</v>
      </c>
      <c r="H1368" s="35">
        <v>0</v>
      </c>
      <c r="I1368" s="35">
        <f>Tabla1[[#This Row],[P.U. M.N.]]*Tabla1[[#This Row],[CANTIDADES DE REFERENCIA]]</f>
        <v>0</v>
      </c>
      <c r="J1368" s="35">
        <f>Tabla1[[#This Row],[P.U. USD]]*Tabla1[[#This Row],[CANTIDADES DE REFERENCIA]]</f>
        <v>0</v>
      </c>
      <c r="K1368" s="36"/>
      <c r="L1368" s="36"/>
      <c r="M1368" s="36"/>
      <c r="N1368" s="37" t="s">
        <v>117</v>
      </c>
      <c r="O1368" s="37" t="s">
        <v>118</v>
      </c>
      <c r="P1368" s="38"/>
      <c r="Q1368" s="37" t="s">
        <v>3019</v>
      </c>
      <c r="R1368" s="37"/>
      <c r="S1368" s="37" t="s">
        <v>120</v>
      </c>
      <c r="T1368" s="31"/>
    </row>
    <row r="1369" spans="1:20">
      <c r="A1369" s="31"/>
      <c r="B1369" s="32"/>
      <c r="C1369" s="33"/>
      <c r="D1369" s="32" t="s">
        <v>3020</v>
      </c>
      <c r="E1369" s="33" t="s">
        <v>116</v>
      </c>
      <c r="F1369" s="34">
        <v>1</v>
      </c>
      <c r="G1369" s="35">
        <v>0</v>
      </c>
      <c r="H1369" s="35">
        <v>0</v>
      </c>
      <c r="I1369" s="35">
        <f>Tabla1[[#This Row],[P.U. M.N.]]*Tabla1[[#This Row],[CANTIDADES DE REFERENCIA]]</f>
        <v>0</v>
      </c>
      <c r="J1369" s="35">
        <f>Tabla1[[#This Row],[P.U. USD]]*Tabla1[[#This Row],[CANTIDADES DE REFERENCIA]]</f>
        <v>0</v>
      </c>
      <c r="K1369" s="36"/>
      <c r="L1369" s="36"/>
      <c r="M1369" s="36"/>
      <c r="N1369" s="37" t="s">
        <v>117</v>
      </c>
      <c r="O1369" s="37" t="s">
        <v>118</v>
      </c>
      <c r="P1369" s="38"/>
      <c r="Q1369" s="37" t="s">
        <v>3021</v>
      </c>
      <c r="R1369" s="37"/>
      <c r="S1369" s="37" t="s">
        <v>120</v>
      </c>
      <c r="T1369" s="31"/>
    </row>
    <row r="1370" spans="1:20">
      <c r="A1370" s="31"/>
      <c r="B1370" s="32"/>
      <c r="C1370" s="33"/>
      <c r="D1370" s="32" t="s">
        <v>3022</v>
      </c>
      <c r="E1370" s="33" t="s">
        <v>116</v>
      </c>
      <c r="F1370" s="34">
        <v>1</v>
      </c>
      <c r="G1370" s="35">
        <v>0</v>
      </c>
      <c r="H1370" s="35">
        <v>0</v>
      </c>
      <c r="I1370" s="35">
        <f>Tabla1[[#This Row],[P.U. M.N.]]*Tabla1[[#This Row],[CANTIDADES DE REFERENCIA]]</f>
        <v>0</v>
      </c>
      <c r="J1370" s="35">
        <f>Tabla1[[#This Row],[P.U. USD]]*Tabla1[[#This Row],[CANTIDADES DE REFERENCIA]]</f>
        <v>0</v>
      </c>
      <c r="K1370" s="36"/>
      <c r="L1370" s="36"/>
      <c r="M1370" s="36"/>
      <c r="N1370" s="37" t="s">
        <v>117</v>
      </c>
      <c r="O1370" s="37" t="s">
        <v>118</v>
      </c>
      <c r="P1370" s="38"/>
      <c r="Q1370" s="37" t="s">
        <v>3023</v>
      </c>
      <c r="R1370" s="37"/>
      <c r="S1370" s="37" t="s">
        <v>120</v>
      </c>
      <c r="T1370" s="31"/>
    </row>
    <row r="1371" spans="1:20">
      <c r="A1371" s="31"/>
      <c r="B1371" s="32"/>
      <c r="C1371" s="33"/>
      <c r="D1371" s="32" t="s">
        <v>3024</v>
      </c>
      <c r="E1371" s="33" t="s">
        <v>116</v>
      </c>
      <c r="F1371" s="34">
        <v>1</v>
      </c>
      <c r="G1371" s="35">
        <v>0</v>
      </c>
      <c r="H1371" s="35">
        <v>0</v>
      </c>
      <c r="I1371" s="35">
        <f>Tabla1[[#This Row],[P.U. M.N.]]*Tabla1[[#This Row],[CANTIDADES DE REFERENCIA]]</f>
        <v>0</v>
      </c>
      <c r="J1371" s="35">
        <f>Tabla1[[#This Row],[P.U. USD]]*Tabla1[[#This Row],[CANTIDADES DE REFERENCIA]]</f>
        <v>0</v>
      </c>
      <c r="K1371" s="36"/>
      <c r="L1371" s="36"/>
      <c r="M1371" s="36"/>
      <c r="N1371" s="37" t="s">
        <v>117</v>
      </c>
      <c r="O1371" s="37" t="s">
        <v>118</v>
      </c>
      <c r="P1371" s="38"/>
      <c r="Q1371" s="37" t="s">
        <v>3025</v>
      </c>
      <c r="R1371" s="37"/>
      <c r="S1371" s="37" t="s">
        <v>120</v>
      </c>
      <c r="T1371" s="31"/>
    </row>
    <row r="1372" spans="1:20">
      <c r="A1372" s="31"/>
      <c r="B1372" s="32"/>
      <c r="C1372" s="33"/>
      <c r="D1372" s="32" t="s">
        <v>3026</v>
      </c>
      <c r="E1372" s="33" t="s">
        <v>2699</v>
      </c>
      <c r="F1372" s="34">
        <v>1</v>
      </c>
      <c r="G1372" s="35">
        <v>0</v>
      </c>
      <c r="H1372" s="35">
        <v>0</v>
      </c>
      <c r="I1372" s="35">
        <f>Tabla1[[#This Row],[P.U. M.N.]]*Tabla1[[#This Row],[CANTIDADES DE REFERENCIA]]</f>
        <v>0</v>
      </c>
      <c r="J1372" s="35">
        <f>Tabla1[[#This Row],[P.U. USD]]*Tabla1[[#This Row],[CANTIDADES DE REFERENCIA]]</f>
        <v>0</v>
      </c>
      <c r="K1372" s="36"/>
      <c r="L1372" s="36"/>
      <c r="M1372" s="36"/>
      <c r="N1372" s="37" t="s">
        <v>79</v>
      </c>
      <c r="O1372" s="37" t="s">
        <v>80</v>
      </c>
      <c r="P1372" s="38"/>
      <c r="Q1372" s="37" t="s">
        <v>3027</v>
      </c>
      <c r="R1372" s="37"/>
      <c r="S1372" s="37" t="s">
        <v>82</v>
      </c>
      <c r="T1372" s="31"/>
    </row>
    <row r="1373" spans="1:20">
      <c r="A1373" s="31"/>
      <c r="B1373" s="32"/>
      <c r="C1373" s="33"/>
      <c r="D1373" s="32" t="s">
        <v>3028</v>
      </c>
      <c r="E1373" s="33" t="s">
        <v>2699</v>
      </c>
      <c r="F1373" s="34">
        <v>1</v>
      </c>
      <c r="G1373" s="35">
        <v>0</v>
      </c>
      <c r="H1373" s="35">
        <v>0</v>
      </c>
      <c r="I1373" s="35">
        <f>Tabla1[[#This Row],[P.U. M.N.]]*Tabla1[[#This Row],[CANTIDADES DE REFERENCIA]]</f>
        <v>0</v>
      </c>
      <c r="J1373" s="35">
        <f>Tabla1[[#This Row],[P.U. USD]]*Tabla1[[#This Row],[CANTIDADES DE REFERENCIA]]</f>
        <v>0</v>
      </c>
      <c r="K1373" s="36"/>
      <c r="L1373" s="36"/>
      <c r="M1373" s="36"/>
      <c r="N1373" s="37" t="s">
        <v>79</v>
      </c>
      <c r="O1373" s="37" t="s">
        <v>80</v>
      </c>
      <c r="P1373" s="38"/>
      <c r="Q1373" s="37" t="s">
        <v>3029</v>
      </c>
      <c r="R1373" s="37"/>
      <c r="S1373" s="37" t="s">
        <v>82</v>
      </c>
      <c r="T1373" s="31"/>
    </row>
    <row r="1374" spans="1:20">
      <c r="A1374" s="31"/>
      <c r="B1374" s="32"/>
      <c r="C1374" s="33"/>
      <c r="D1374" s="32" t="s">
        <v>3030</v>
      </c>
      <c r="E1374" s="33" t="s">
        <v>116</v>
      </c>
      <c r="F1374" s="34">
        <v>1</v>
      </c>
      <c r="G1374" s="35">
        <v>0</v>
      </c>
      <c r="H1374" s="35">
        <v>0</v>
      </c>
      <c r="I1374" s="35">
        <f>Tabla1[[#This Row],[P.U. M.N.]]*Tabla1[[#This Row],[CANTIDADES DE REFERENCIA]]</f>
        <v>0</v>
      </c>
      <c r="J1374" s="35">
        <f>Tabla1[[#This Row],[P.U. USD]]*Tabla1[[#This Row],[CANTIDADES DE REFERENCIA]]</f>
        <v>0</v>
      </c>
      <c r="K1374" s="36"/>
      <c r="L1374" s="36"/>
      <c r="M1374" s="36"/>
      <c r="N1374" s="37" t="s">
        <v>117</v>
      </c>
      <c r="O1374" s="37" t="s">
        <v>118</v>
      </c>
      <c r="P1374" s="38"/>
      <c r="Q1374" s="37" t="s">
        <v>3031</v>
      </c>
      <c r="R1374" s="37"/>
      <c r="S1374" s="37" t="s">
        <v>120</v>
      </c>
      <c r="T1374" s="31"/>
    </row>
    <row r="1375" spans="1:20">
      <c r="A1375" s="31" t="s">
        <v>3006</v>
      </c>
      <c r="B1375" s="32" t="s">
        <v>3032</v>
      </c>
      <c r="C1375" s="33" t="str">
        <f>Tabla1[[#This Row],[PARTIDA]] &amp; "."</f>
        <v>11C-19.</v>
      </c>
      <c r="D1375" s="32" t="s">
        <v>3033</v>
      </c>
      <c r="E1375" s="33" t="s">
        <v>116</v>
      </c>
      <c r="F1375" s="34">
        <v>1</v>
      </c>
      <c r="G1375" s="35">
        <v>582.30999999999995</v>
      </c>
      <c r="H1375" s="35">
        <v>0</v>
      </c>
      <c r="I1375" s="35">
        <f>Tabla1[[#This Row],[P.U. M.N.]]*Tabla1[[#This Row],[CANTIDADES DE REFERENCIA]]</f>
        <v>582.30999999999995</v>
      </c>
      <c r="J1375" s="35">
        <f>Tabla1[[#This Row],[P.U. USD]]*Tabla1[[#This Row],[CANTIDADES DE REFERENCIA]]</f>
        <v>0</v>
      </c>
      <c r="K1375" s="36"/>
      <c r="L1375" s="36"/>
      <c r="M1375" s="36"/>
      <c r="N1375" s="37" t="s">
        <v>1031</v>
      </c>
      <c r="O1375" s="37" t="s">
        <v>1032</v>
      </c>
      <c r="P1375" s="38"/>
      <c r="Q1375" s="37" t="s">
        <v>3034</v>
      </c>
      <c r="R1375" s="37"/>
      <c r="S1375" s="37" t="s">
        <v>2902</v>
      </c>
      <c r="T1375" s="31"/>
    </row>
    <row r="1376" spans="1:20">
      <c r="A1376" s="31"/>
      <c r="B1376" s="32"/>
      <c r="C1376" s="33"/>
      <c r="D1376" s="32" t="s">
        <v>3035</v>
      </c>
      <c r="E1376" s="33" t="s">
        <v>116</v>
      </c>
      <c r="F1376" s="34">
        <v>1</v>
      </c>
      <c r="G1376" s="35">
        <v>0</v>
      </c>
      <c r="H1376" s="35">
        <v>0</v>
      </c>
      <c r="I1376" s="35">
        <f>Tabla1[[#This Row],[P.U. M.N.]]*Tabla1[[#This Row],[CANTIDADES DE REFERENCIA]]</f>
        <v>0</v>
      </c>
      <c r="J1376" s="35">
        <f>Tabla1[[#This Row],[P.U. USD]]*Tabla1[[#This Row],[CANTIDADES DE REFERENCIA]]</f>
        <v>0</v>
      </c>
      <c r="K1376" s="36"/>
      <c r="L1376" s="36"/>
      <c r="M1376" s="36"/>
      <c r="N1376" s="37" t="s">
        <v>117</v>
      </c>
      <c r="O1376" s="37" t="s">
        <v>118</v>
      </c>
      <c r="P1376" s="38"/>
      <c r="Q1376" s="37" t="s">
        <v>3036</v>
      </c>
      <c r="R1376" s="37"/>
      <c r="S1376" s="37" t="s">
        <v>120</v>
      </c>
      <c r="T1376" s="31"/>
    </row>
    <row r="1377" spans="1:20">
      <c r="A1377" s="31"/>
      <c r="B1377" s="32"/>
      <c r="C1377" s="33"/>
      <c r="D1377" s="32" t="s">
        <v>3037</v>
      </c>
      <c r="E1377" s="33" t="s">
        <v>42</v>
      </c>
      <c r="F1377" s="34">
        <v>1</v>
      </c>
      <c r="G1377" s="35">
        <v>0</v>
      </c>
      <c r="H1377" s="35">
        <v>0</v>
      </c>
      <c r="I1377" s="35">
        <f>Tabla1[[#This Row],[P.U. M.N.]]*Tabla1[[#This Row],[CANTIDADES DE REFERENCIA]]</f>
        <v>0</v>
      </c>
      <c r="J1377" s="35">
        <f>Tabla1[[#This Row],[P.U. USD]]*Tabla1[[#This Row],[CANTIDADES DE REFERENCIA]]</f>
        <v>0</v>
      </c>
      <c r="K1377" s="36"/>
      <c r="L1377" s="36"/>
      <c r="M1377" s="36"/>
      <c r="N1377" s="37" t="s">
        <v>117</v>
      </c>
      <c r="O1377" s="37" t="s">
        <v>118</v>
      </c>
      <c r="P1377" s="38"/>
      <c r="Q1377" s="37" t="s">
        <v>3038</v>
      </c>
      <c r="R1377" s="37"/>
      <c r="S1377" s="37" t="s">
        <v>120</v>
      </c>
      <c r="T1377" s="31"/>
    </row>
    <row r="1378" spans="1:20">
      <c r="A1378" s="31"/>
      <c r="B1378" s="32"/>
      <c r="C1378" s="33"/>
      <c r="D1378" s="32" t="s">
        <v>3039</v>
      </c>
      <c r="E1378" s="33" t="s">
        <v>42</v>
      </c>
      <c r="F1378" s="34">
        <v>1</v>
      </c>
      <c r="G1378" s="35">
        <v>0</v>
      </c>
      <c r="H1378" s="35">
        <v>0</v>
      </c>
      <c r="I1378" s="35">
        <f>Tabla1[[#This Row],[P.U. M.N.]]*Tabla1[[#This Row],[CANTIDADES DE REFERENCIA]]</f>
        <v>0</v>
      </c>
      <c r="J1378" s="35">
        <f>Tabla1[[#This Row],[P.U. USD]]*Tabla1[[#This Row],[CANTIDADES DE REFERENCIA]]</f>
        <v>0</v>
      </c>
      <c r="K1378" s="36"/>
      <c r="L1378" s="36"/>
      <c r="M1378" s="36"/>
      <c r="N1378" s="37" t="s">
        <v>117</v>
      </c>
      <c r="O1378" s="37" t="s">
        <v>118</v>
      </c>
      <c r="P1378" s="38"/>
      <c r="Q1378" s="37" t="s">
        <v>3040</v>
      </c>
      <c r="R1378" s="37"/>
      <c r="S1378" s="37" t="s">
        <v>120</v>
      </c>
      <c r="T1378" s="31"/>
    </row>
    <row r="1379" spans="1:20">
      <c r="A1379" s="31"/>
      <c r="B1379" s="32"/>
      <c r="C1379" s="33"/>
      <c r="D1379" s="32" t="s">
        <v>3041</v>
      </c>
      <c r="E1379" s="33" t="s">
        <v>42</v>
      </c>
      <c r="F1379" s="34">
        <v>1</v>
      </c>
      <c r="G1379" s="35">
        <v>0</v>
      </c>
      <c r="H1379" s="35">
        <v>0</v>
      </c>
      <c r="I1379" s="35">
        <f>Tabla1[[#This Row],[P.U. M.N.]]*Tabla1[[#This Row],[CANTIDADES DE REFERENCIA]]</f>
        <v>0</v>
      </c>
      <c r="J1379" s="35">
        <f>Tabla1[[#This Row],[P.U. USD]]*Tabla1[[#This Row],[CANTIDADES DE REFERENCIA]]</f>
        <v>0</v>
      </c>
      <c r="K1379" s="36"/>
      <c r="L1379" s="36"/>
      <c r="M1379" s="36"/>
      <c r="N1379" s="37" t="s">
        <v>89</v>
      </c>
      <c r="O1379" s="37" t="s">
        <v>90</v>
      </c>
      <c r="P1379" s="38"/>
      <c r="Q1379" s="37" t="s">
        <v>3042</v>
      </c>
      <c r="R1379" s="37" t="s">
        <v>58</v>
      </c>
      <c r="S1379" s="37" t="s">
        <v>92</v>
      </c>
      <c r="T1379" s="31"/>
    </row>
    <row r="1380" spans="1:20">
      <c r="A1380" s="31"/>
      <c r="B1380" s="32"/>
      <c r="C1380" s="33"/>
      <c r="D1380" s="32" t="s">
        <v>3043</v>
      </c>
      <c r="E1380" s="33" t="s">
        <v>116</v>
      </c>
      <c r="F1380" s="34">
        <v>1</v>
      </c>
      <c r="G1380" s="35">
        <v>0</v>
      </c>
      <c r="H1380" s="35">
        <v>0</v>
      </c>
      <c r="I1380" s="35">
        <f>Tabla1[[#This Row],[P.U. M.N.]]*Tabla1[[#This Row],[CANTIDADES DE REFERENCIA]]</f>
        <v>0</v>
      </c>
      <c r="J1380" s="35">
        <f>Tabla1[[#This Row],[P.U. USD]]*Tabla1[[#This Row],[CANTIDADES DE REFERENCIA]]</f>
        <v>0</v>
      </c>
      <c r="K1380" s="36"/>
      <c r="L1380" s="36"/>
      <c r="M1380" s="36"/>
      <c r="N1380" s="37" t="s">
        <v>117</v>
      </c>
      <c r="O1380" s="37" t="s">
        <v>118</v>
      </c>
      <c r="P1380" s="38"/>
      <c r="Q1380" s="37" t="s">
        <v>3044</v>
      </c>
      <c r="R1380" s="37"/>
      <c r="S1380" s="37" t="s">
        <v>120</v>
      </c>
      <c r="T1380" s="31"/>
    </row>
    <row r="1381" spans="1:20">
      <c r="A1381" s="31" t="s">
        <v>3006</v>
      </c>
      <c r="B1381" s="32" t="s">
        <v>3045</v>
      </c>
      <c r="C1381" s="33" t="str">
        <f>Tabla1[[#This Row],[PARTIDA]] &amp; "."</f>
        <v>12C-19.</v>
      </c>
      <c r="D1381" s="32" t="s">
        <v>3046</v>
      </c>
      <c r="E1381" s="33" t="s">
        <v>116</v>
      </c>
      <c r="F1381" s="34">
        <v>1</v>
      </c>
      <c r="G1381" s="35">
        <v>743.89</v>
      </c>
      <c r="H1381" s="35">
        <v>0</v>
      </c>
      <c r="I1381" s="35">
        <f>Tabla1[[#This Row],[P.U. M.N.]]*Tabla1[[#This Row],[CANTIDADES DE REFERENCIA]]</f>
        <v>743.89</v>
      </c>
      <c r="J1381" s="35">
        <f>Tabla1[[#This Row],[P.U. USD]]*Tabla1[[#This Row],[CANTIDADES DE REFERENCIA]]</f>
        <v>0</v>
      </c>
      <c r="K1381" s="36"/>
      <c r="L1381" s="36"/>
      <c r="M1381" s="36"/>
      <c r="N1381" s="37" t="s">
        <v>1031</v>
      </c>
      <c r="O1381" s="37" t="s">
        <v>1032</v>
      </c>
      <c r="P1381" s="38"/>
      <c r="Q1381" s="37" t="s">
        <v>3047</v>
      </c>
      <c r="R1381" s="37"/>
      <c r="S1381" s="37" t="s">
        <v>2902</v>
      </c>
      <c r="T1381" s="31"/>
    </row>
    <row r="1382" spans="1:20">
      <c r="A1382" s="31" t="s">
        <v>3006</v>
      </c>
      <c r="B1382" s="32" t="s">
        <v>3048</v>
      </c>
      <c r="C1382" s="33" t="str">
        <f>Tabla1[[#This Row],[PARTIDA]] &amp; "."</f>
        <v>13C-19.</v>
      </c>
      <c r="D1382" s="32" t="s">
        <v>3049</v>
      </c>
      <c r="E1382" s="33" t="s">
        <v>135</v>
      </c>
      <c r="F1382" s="34">
        <v>1</v>
      </c>
      <c r="G1382" s="35">
        <v>257.2</v>
      </c>
      <c r="H1382" s="35">
        <v>0</v>
      </c>
      <c r="I1382" s="35">
        <f>Tabla1[[#This Row],[P.U. M.N.]]*Tabla1[[#This Row],[CANTIDADES DE REFERENCIA]]</f>
        <v>257.2</v>
      </c>
      <c r="J1382" s="35">
        <f>Tabla1[[#This Row],[P.U. USD]]*Tabla1[[#This Row],[CANTIDADES DE REFERENCIA]]</f>
        <v>0</v>
      </c>
      <c r="K1382" s="36"/>
      <c r="L1382" s="36"/>
      <c r="M1382" s="36"/>
      <c r="N1382" s="37" t="s">
        <v>1031</v>
      </c>
      <c r="O1382" s="37" t="s">
        <v>1032</v>
      </c>
      <c r="P1382" s="38"/>
      <c r="Q1382" s="37" t="s">
        <v>3050</v>
      </c>
      <c r="R1382" s="37"/>
      <c r="S1382" s="37" t="s">
        <v>2902</v>
      </c>
      <c r="T1382" s="31"/>
    </row>
    <row r="1383" spans="1:20">
      <c r="A1383" s="31" t="s">
        <v>3006</v>
      </c>
      <c r="B1383" s="32" t="s">
        <v>3051</v>
      </c>
      <c r="C1383" s="33" t="str">
        <f>Tabla1[[#This Row],[PARTIDA]] &amp; "."</f>
        <v>14C-19.</v>
      </c>
      <c r="D1383" s="32" t="s">
        <v>3052</v>
      </c>
      <c r="E1383" s="33" t="s">
        <v>116</v>
      </c>
      <c r="F1383" s="34">
        <v>1</v>
      </c>
      <c r="G1383" s="35">
        <v>10744.37</v>
      </c>
      <c r="H1383" s="35">
        <v>0</v>
      </c>
      <c r="I1383" s="35">
        <f>Tabla1[[#This Row],[P.U. M.N.]]*Tabla1[[#This Row],[CANTIDADES DE REFERENCIA]]</f>
        <v>10744.37</v>
      </c>
      <c r="J1383" s="35">
        <f>Tabla1[[#This Row],[P.U. USD]]*Tabla1[[#This Row],[CANTIDADES DE REFERENCIA]]</f>
        <v>0</v>
      </c>
      <c r="K1383" s="36"/>
      <c r="L1383" s="36"/>
      <c r="M1383" s="36"/>
      <c r="N1383" s="37" t="s">
        <v>1031</v>
      </c>
      <c r="O1383" s="37" t="s">
        <v>1032</v>
      </c>
      <c r="P1383" s="38"/>
      <c r="Q1383" s="37" t="s">
        <v>3053</v>
      </c>
      <c r="R1383" s="37"/>
      <c r="S1383" s="37" t="s">
        <v>2902</v>
      </c>
      <c r="T1383" s="31"/>
    </row>
    <row r="1384" spans="1:20">
      <c r="A1384" s="31"/>
      <c r="B1384" s="32"/>
      <c r="C1384" s="33"/>
      <c r="D1384" s="32" t="s">
        <v>3054</v>
      </c>
      <c r="E1384" s="33" t="s">
        <v>116</v>
      </c>
      <c r="F1384" s="34">
        <v>1</v>
      </c>
      <c r="G1384" s="35">
        <v>0</v>
      </c>
      <c r="H1384" s="35">
        <v>0</v>
      </c>
      <c r="I1384" s="35">
        <f>Tabla1[[#This Row],[P.U. M.N.]]*Tabla1[[#This Row],[CANTIDADES DE REFERENCIA]]</f>
        <v>0</v>
      </c>
      <c r="J1384" s="35">
        <f>Tabla1[[#This Row],[P.U. USD]]*Tabla1[[#This Row],[CANTIDADES DE REFERENCIA]]</f>
        <v>0</v>
      </c>
      <c r="K1384" s="36"/>
      <c r="L1384" s="36"/>
      <c r="M1384" s="36"/>
      <c r="N1384" s="37" t="s">
        <v>117</v>
      </c>
      <c r="O1384" s="37" t="s">
        <v>118</v>
      </c>
      <c r="P1384" s="38"/>
      <c r="Q1384" s="37" t="s">
        <v>3055</v>
      </c>
      <c r="R1384" s="37"/>
      <c r="S1384" s="37" t="s">
        <v>120</v>
      </c>
      <c r="T1384" s="31"/>
    </row>
    <row r="1385" spans="1:20">
      <c r="A1385" s="31"/>
      <c r="B1385" s="32"/>
      <c r="C1385" s="33"/>
      <c r="D1385" s="32" t="s">
        <v>3056</v>
      </c>
      <c r="E1385" s="33" t="s">
        <v>367</v>
      </c>
      <c r="F1385" s="34">
        <v>1</v>
      </c>
      <c r="G1385" s="35">
        <v>0</v>
      </c>
      <c r="H1385" s="35">
        <v>0</v>
      </c>
      <c r="I1385" s="35">
        <f>Tabla1[[#This Row],[P.U. M.N.]]*Tabla1[[#This Row],[CANTIDADES DE REFERENCIA]]</f>
        <v>0</v>
      </c>
      <c r="J1385" s="35">
        <f>Tabla1[[#This Row],[P.U. USD]]*Tabla1[[#This Row],[CANTIDADES DE REFERENCIA]]</f>
        <v>0</v>
      </c>
      <c r="K1385" s="36"/>
      <c r="L1385" s="36"/>
      <c r="M1385" s="36"/>
      <c r="N1385" s="37" t="s">
        <v>117</v>
      </c>
      <c r="O1385" s="37" t="s">
        <v>118</v>
      </c>
      <c r="P1385" s="38"/>
      <c r="Q1385" s="37" t="s">
        <v>3057</v>
      </c>
      <c r="R1385" s="37"/>
      <c r="S1385" s="37" t="s">
        <v>120</v>
      </c>
      <c r="T1385" s="31"/>
    </row>
    <row r="1386" spans="1:20">
      <c r="A1386" s="31"/>
      <c r="B1386" s="32"/>
      <c r="C1386" s="33"/>
      <c r="D1386" s="32" t="s">
        <v>3058</v>
      </c>
      <c r="E1386" s="33" t="s">
        <v>42</v>
      </c>
      <c r="F1386" s="34">
        <v>1</v>
      </c>
      <c r="G1386" s="35">
        <v>0</v>
      </c>
      <c r="H1386" s="35">
        <v>0</v>
      </c>
      <c r="I1386" s="35">
        <f>Tabla1[[#This Row],[P.U. M.N.]]*Tabla1[[#This Row],[CANTIDADES DE REFERENCIA]]</f>
        <v>0</v>
      </c>
      <c r="J1386" s="35">
        <f>Tabla1[[#This Row],[P.U. USD]]*Tabla1[[#This Row],[CANTIDADES DE REFERENCIA]]</f>
        <v>0</v>
      </c>
      <c r="K1386" s="36"/>
      <c r="L1386" s="36"/>
      <c r="M1386" s="36"/>
      <c r="N1386" s="37" t="s">
        <v>117</v>
      </c>
      <c r="O1386" s="37" t="s">
        <v>118</v>
      </c>
      <c r="P1386" s="38"/>
      <c r="Q1386" s="37" t="s">
        <v>3059</v>
      </c>
      <c r="R1386" s="37"/>
      <c r="S1386" s="37" t="s">
        <v>120</v>
      </c>
      <c r="T1386" s="31"/>
    </row>
    <row r="1387" spans="1:20">
      <c r="A1387" s="31"/>
      <c r="B1387" s="32"/>
      <c r="C1387" s="33"/>
      <c r="D1387" s="32" t="s">
        <v>3060</v>
      </c>
      <c r="E1387" s="33" t="s">
        <v>54</v>
      </c>
      <c r="F1387" s="34">
        <v>1</v>
      </c>
      <c r="G1387" s="35">
        <v>0</v>
      </c>
      <c r="H1387" s="35">
        <v>0</v>
      </c>
      <c r="I1387" s="35">
        <f>Tabla1[[#This Row],[P.U. M.N.]]*Tabla1[[#This Row],[CANTIDADES DE REFERENCIA]]</f>
        <v>0</v>
      </c>
      <c r="J1387" s="35">
        <f>Tabla1[[#This Row],[P.U. USD]]*Tabla1[[#This Row],[CANTIDADES DE REFERENCIA]]</f>
        <v>0</v>
      </c>
      <c r="K1387" s="36"/>
      <c r="L1387" s="36"/>
      <c r="M1387" s="36"/>
      <c r="N1387" s="37" t="s">
        <v>599</v>
      </c>
      <c r="O1387" s="37" t="s">
        <v>600</v>
      </c>
      <c r="P1387" s="38"/>
      <c r="Q1387" s="37" t="s">
        <v>3061</v>
      </c>
      <c r="R1387" s="37" t="s">
        <v>58</v>
      </c>
      <c r="S1387" s="37" t="s">
        <v>602</v>
      </c>
      <c r="T1387" s="31"/>
    </row>
    <row r="1388" spans="1:20">
      <c r="A1388" s="31"/>
      <c r="B1388" s="32"/>
      <c r="C1388" s="33"/>
      <c r="D1388" s="32" t="s">
        <v>3062</v>
      </c>
      <c r="E1388" s="33" t="s">
        <v>116</v>
      </c>
      <c r="F1388" s="34">
        <v>1</v>
      </c>
      <c r="G1388" s="35">
        <v>0</v>
      </c>
      <c r="H1388" s="35">
        <v>0</v>
      </c>
      <c r="I1388" s="35">
        <f>Tabla1[[#This Row],[P.U. M.N.]]*Tabla1[[#This Row],[CANTIDADES DE REFERENCIA]]</f>
        <v>0</v>
      </c>
      <c r="J1388" s="35">
        <f>Tabla1[[#This Row],[P.U. USD]]*Tabla1[[#This Row],[CANTIDADES DE REFERENCIA]]</f>
        <v>0</v>
      </c>
      <c r="K1388" s="36"/>
      <c r="L1388" s="36"/>
      <c r="M1388" s="36"/>
      <c r="N1388" s="37" t="s">
        <v>79</v>
      </c>
      <c r="O1388" s="37" t="s">
        <v>80</v>
      </c>
      <c r="P1388" s="38"/>
      <c r="Q1388" s="37" t="s">
        <v>3063</v>
      </c>
      <c r="R1388" s="37"/>
      <c r="S1388" s="37" t="s">
        <v>82</v>
      </c>
      <c r="T1388" s="31"/>
    </row>
    <row r="1389" spans="1:20">
      <c r="A1389" s="31"/>
      <c r="B1389" s="32"/>
      <c r="C1389" s="33"/>
      <c r="D1389" s="32" t="s">
        <v>3064</v>
      </c>
      <c r="E1389" s="33" t="s">
        <v>42</v>
      </c>
      <c r="F1389" s="34">
        <v>1</v>
      </c>
      <c r="G1389" s="35">
        <v>0</v>
      </c>
      <c r="H1389" s="35">
        <v>0</v>
      </c>
      <c r="I1389" s="35">
        <f>Tabla1[[#This Row],[P.U. M.N.]]*Tabla1[[#This Row],[CANTIDADES DE REFERENCIA]]</f>
        <v>0</v>
      </c>
      <c r="J1389" s="35">
        <f>Tabla1[[#This Row],[P.U. USD]]*Tabla1[[#This Row],[CANTIDADES DE REFERENCIA]]</f>
        <v>0</v>
      </c>
      <c r="K1389" s="36"/>
      <c r="L1389" s="36"/>
      <c r="M1389" s="36"/>
      <c r="N1389" s="37" t="s">
        <v>480</v>
      </c>
      <c r="O1389" s="37" t="s">
        <v>481</v>
      </c>
      <c r="P1389" s="38"/>
      <c r="Q1389" s="37" t="s">
        <v>3065</v>
      </c>
      <c r="R1389" s="37"/>
      <c r="S1389" s="37" t="s">
        <v>483</v>
      </c>
      <c r="T1389" s="31"/>
    </row>
    <row r="1390" spans="1:20">
      <c r="A1390" s="31"/>
      <c r="B1390" s="32"/>
      <c r="C1390" s="33"/>
      <c r="D1390" s="32" t="s">
        <v>3066</v>
      </c>
      <c r="E1390" s="33" t="s">
        <v>116</v>
      </c>
      <c r="F1390" s="34">
        <v>1</v>
      </c>
      <c r="G1390" s="35">
        <v>0</v>
      </c>
      <c r="H1390" s="35">
        <v>0</v>
      </c>
      <c r="I1390" s="35">
        <f>Tabla1[[#This Row],[P.U. M.N.]]*Tabla1[[#This Row],[CANTIDADES DE REFERENCIA]]</f>
        <v>0</v>
      </c>
      <c r="J1390" s="35">
        <f>Tabla1[[#This Row],[P.U. USD]]*Tabla1[[#This Row],[CANTIDADES DE REFERENCIA]]</f>
        <v>0</v>
      </c>
      <c r="K1390" s="36"/>
      <c r="L1390" s="36"/>
      <c r="M1390" s="36"/>
      <c r="N1390" s="37" t="s">
        <v>117</v>
      </c>
      <c r="O1390" s="37" t="s">
        <v>118</v>
      </c>
      <c r="P1390" s="38"/>
      <c r="Q1390" s="37" t="s">
        <v>3067</v>
      </c>
      <c r="R1390" s="37"/>
      <c r="S1390" s="37" t="s">
        <v>120</v>
      </c>
      <c r="T1390" s="31"/>
    </row>
    <row r="1391" spans="1:20">
      <c r="A1391" s="31"/>
      <c r="B1391" s="32"/>
      <c r="C1391" s="33"/>
      <c r="D1391" s="32" t="s">
        <v>3068</v>
      </c>
      <c r="E1391" s="33" t="s">
        <v>116</v>
      </c>
      <c r="F1391" s="34">
        <v>1</v>
      </c>
      <c r="G1391" s="35">
        <v>0</v>
      </c>
      <c r="H1391" s="35">
        <v>0</v>
      </c>
      <c r="I1391" s="35">
        <f>Tabla1[[#This Row],[P.U. M.N.]]*Tabla1[[#This Row],[CANTIDADES DE REFERENCIA]]</f>
        <v>0</v>
      </c>
      <c r="J1391" s="35">
        <f>Tabla1[[#This Row],[P.U. USD]]*Tabla1[[#This Row],[CANTIDADES DE REFERENCIA]]</f>
        <v>0</v>
      </c>
      <c r="K1391" s="36"/>
      <c r="L1391" s="36"/>
      <c r="M1391" s="36"/>
      <c r="N1391" s="37" t="s">
        <v>117</v>
      </c>
      <c r="O1391" s="37" t="s">
        <v>118</v>
      </c>
      <c r="P1391" s="38"/>
      <c r="Q1391" s="37" t="s">
        <v>3069</v>
      </c>
      <c r="R1391" s="37"/>
      <c r="S1391" s="37" t="s">
        <v>120</v>
      </c>
      <c r="T1391" s="31"/>
    </row>
    <row r="1392" spans="1:20">
      <c r="A1392" s="31"/>
      <c r="B1392" s="32"/>
      <c r="C1392" s="33"/>
      <c r="D1392" s="32" t="s">
        <v>3070</v>
      </c>
      <c r="E1392" s="33" t="s">
        <v>116</v>
      </c>
      <c r="F1392" s="34">
        <v>1</v>
      </c>
      <c r="G1392" s="35">
        <v>0</v>
      </c>
      <c r="H1392" s="35">
        <v>0</v>
      </c>
      <c r="I1392" s="35">
        <f>Tabla1[[#This Row],[P.U. M.N.]]*Tabla1[[#This Row],[CANTIDADES DE REFERENCIA]]</f>
        <v>0</v>
      </c>
      <c r="J1392" s="35">
        <f>Tabla1[[#This Row],[P.U. USD]]*Tabla1[[#This Row],[CANTIDADES DE REFERENCIA]]</f>
        <v>0</v>
      </c>
      <c r="K1392" s="36"/>
      <c r="L1392" s="36"/>
      <c r="M1392" s="36"/>
      <c r="N1392" s="37" t="s">
        <v>117</v>
      </c>
      <c r="O1392" s="37" t="s">
        <v>118</v>
      </c>
      <c r="P1392" s="38"/>
      <c r="Q1392" s="37" t="s">
        <v>3071</v>
      </c>
      <c r="R1392" s="37"/>
      <c r="S1392" s="37" t="s">
        <v>120</v>
      </c>
      <c r="T1392" s="31"/>
    </row>
    <row r="1393" spans="1:20">
      <c r="A1393" s="31"/>
      <c r="B1393" s="32"/>
      <c r="C1393" s="33"/>
      <c r="D1393" s="32" t="s">
        <v>3072</v>
      </c>
      <c r="E1393" s="33" t="s">
        <v>116</v>
      </c>
      <c r="F1393" s="34">
        <v>1</v>
      </c>
      <c r="G1393" s="35">
        <v>0</v>
      </c>
      <c r="H1393" s="35">
        <v>0</v>
      </c>
      <c r="I1393" s="35">
        <f>Tabla1[[#This Row],[P.U. M.N.]]*Tabla1[[#This Row],[CANTIDADES DE REFERENCIA]]</f>
        <v>0</v>
      </c>
      <c r="J1393" s="35">
        <f>Tabla1[[#This Row],[P.U. USD]]*Tabla1[[#This Row],[CANTIDADES DE REFERENCIA]]</f>
        <v>0</v>
      </c>
      <c r="K1393" s="36"/>
      <c r="L1393" s="36"/>
      <c r="M1393" s="36"/>
      <c r="N1393" s="37" t="s">
        <v>117</v>
      </c>
      <c r="O1393" s="37" t="s">
        <v>118</v>
      </c>
      <c r="P1393" s="38"/>
      <c r="Q1393" s="37" t="s">
        <v>3073</v>
      </c>
      <c r="R1393" s="37"/>
      <c r="S1393" s="37" t="s">
        <v>120</v>
      </c>
      <c r="T1393" s="31"/>
    </row>
    <row r="1394" spans="1:20">
      <c r="A1394" s="31"/>
      <c r="B1394" s="32"/>
      <c r="C1394" s="33"/>
      <c r="D1394" s="32" t="s">
        <v>3074</v>
      </c>
      <c r="E1394" s="33" t="s">
        <v>116</v>
      </c>
      <c r="F1394" s="34">
        <v>1</v>
      </c>
      <c r="G1394" s="35">
        <v>0</v>
      </c>
      <c r="H1394" s="35">
        <v>0</v>
      </c>
      <c r="I1394" s="35">
        <f>Tabla1[[#This Row],[P.U. M.N.]]*Tabla1[[#This Row],[CANTIDADES DE REFERENCIA]]</f>
        <v>0</v>
      </c>
      <c r="J1394" s="35">
        <f>Tabla1[[#This Row],[P.U. USD]]*Tabla1[[#This Row],[CANTIDADES DE REFERENCIA]]</f>
        <v>0</v>
      </c>
      <c r="K1394" s="36"/>
      <c r="L1394" s="36"/>
      <c r="M1394" s="36"/>
      <c r="N1394" s="37" t="s">
        <v>89</v>
      </c>
      <c r="O1394" s="37" t="s">
        <v>90</v>
      </c>
      <c r="P1394" s="38"/>
      <c r="Q1394" s="37" t="s">
        <v>3075</v>
      </c>
      <c r="R1394" s="37"/>
      <c r="S1394" s="37" t="s">
        <v>2142</v>
      </c>
      <c r="T1394" s="31"/>
    </row>
    <row r="1395" spans="1:20">
      <c r="A1395" s="31"/>
      <c r="B1395" s="32"/>
      <c r="C1395" s="33"/>
      <c r="D1395" s="32" t="s">
        <v>3076</v>
      </c>
      <c r="E1395" s="33" t="s">
        <v>116</v>
      </c>
      <c r="F1395" s="34">
        <v>1</v>
      </c>
      <c r="G1395" s="35">
        <v>0</v>
      </c>
      <c r="H1395" s="35">
        <v>0</v>
      </c>
      <c r="I1395" s="35">
        <f>Tabla1[[#This Row],[P.U. M.N.]]*Tabla1[[#This Row],[CANTIDADES DE REFERENCIA]]</f>
        <v>0</v>
      </c>
      <c r="J1395" s="35">
        <f>Tabla1[[#This Row],[P.U. USD]]*Tabla1[[#This Row],[CANTIDADES DE REFERENCIA]]</f>
        <v>0</v>
      </c>
      <c r="K1395" s="36"/>
      <c r="L1395" s="36"/>
      <c r="M1395" s="36"/>
      <c r="N1395" s="37" t="s">
        <v>89</v>
      </c>
      <c r="O1395" s="37" t="s">
        <v>90</v>
      </c>
      <c r="P1395" s="38"/>
      <c r="Q1395" s="37" t="s">
        <v>3077</v>
      </c>
      <c r="R1395" s="37"/>
      <c r="S1395" s="37" t="s">
        <v>2142</v>
      </c>
      <c r="T1395" s="31"/>
    </row>
    <row r="1396" spans="1:20">
      <c r="A1396" s="31"/>
      <c r="B1396" s="32"/>
      <c r="C1396" s="33"/>
      <c r="D1396" s="32" t="s">
        <v>3078</v>
      </c>
      <c r="E1396" s="33" t="s">
        <v>116</v>
      </c>
      <c r="F1396" s="34">
        <v>1</v>
      </c>
      <c r="G1396" s="35">
        <v>0</v>
      </c>
      <c r="H1396" s="35">
        <v>0</v>
      </c>
      <c r="I1396" s="35">
        <f>Tabla1[[#This Row],[P.U. M.N.]]*Tabla1[[#This Row],[CANTIDADES DE REFERENCIA]]</f>
        <v>0</v>
      </c>
      <c r="J1396" s="35">
        <f>Tabla1[[#This Row],[P.U. USD]]*Tabla1[[#This Row],[CANTIDADES DE REFERENCIA]]</f>
        <v>0</v>
      </c>
      <c r="K1396" s="36"/>
      <c r="L1396" s="36"/>
      <c r="M1396" s="36"/>
      <c r="N1396" s="37" t="s">
        <v>89</v>
      </c>
      <c r="O1396" s="37" t="s">
        <v>90</v>
      </c>
      <c r="P1396" s="38"/>
      <c r="Q1396" s="37" t="s">
        <v>3079</v>
      </c>
      <c r="R1396" s="37"/>
      <c r="S1396" s="37" t="s">
        <v>2142</v>
      </c>
      <c r="T1396" s="31"/>
    </row>
    <row r="1397" spans="1:20">
      <c r="A1397" s="31"/>
      <c r="B1397" s="32"/>
      <c r="C1397" s="33"/>
      <c r="D1397" s="32" t="s">
        <v>3080</v>
      </c>
      <c r="E1397" s="33" t="s">
        <v>116</v>
      </c>
      <c r="F1397" s="34">
        <v>1</v>
      </c>
      <c r="G1397" s="35">
        <v>0</v>
      </c>
      <c r="H1397" s="35">
        <v>0</v>
      </c>
      <c r="I1397" s="35">
        <f>Tabla1[[#This Row],[P.U. M.N.]]*Tabla1[[#This Row],[CANTIDADES DE REFERENCIA]]</f>
        <v>0</v>
      </c>
      <c r="J1397" s="35">
        <f>Tabla1[[#This Row],[P.U. USD]]*Tabla1[[#This Row],[CANTIDADES DE REFERENCIA]]</f>
        <v>0</v>
      </c>
      <c r="K1397" s="36"/>
      <c r="L1397" s="36"/>
      <c r="M1397" s="36"/>
      <c r="N1397" s="37" t="s">
        <v>89</v>
      </c>
      <c r="O1397" s="37" t="s">
        <v>90</v>
      </c>
      <c r="P1397" s="38"/>
      <c r="Q1397" s="37" t="s">
        <v>3081</v>
      </c>
      <c r="R1397" s="37"/>
      <c r="S1397" s="37" t="s">
        <v>2142</v>
      </c>
      <c r="T1397" s="31"/>
    </row>
    <row r="1398" spans="1:20">
      <c r="A1398" s="31"/>
      <c r="B1398" s="32"/>
      <c r="C1398" s="33"/>
      <c r="D1398" s="32" t="s">
        <v>3082</v>
      </c>
      <c r="E1398" s="33" t="s">
        <v>116</v>
      </c>
      <c r="F1398" s="34">
        <v>1</v>
      </c>
      <c r="G1398" s="35">
        <v>0</v>
      </c>
      <c r="H1398" s="35">
        <v>0</v>
      </c>
      <c r="I1398" s="35">
        <f>Tabla1[[#This Row],[P.U. M.N.]]*Tabla1[[#This Row],[CANTIDADES DE REFERENCIA]]</f>
        <v>0</v>
      </c>
      <c r="J1398" s="35">
        <f>Tabla1[[#This Row],[P.U. USD]]*Tabla1[[#This Row],[CANTIDADES DE REFERENCIA]]</f>
        <v>0</v>
      </c>
      <c r="K1398" s="36"/>
      <c r="L1398" s="36"/>
      <c r="M1398" s="36"/>
      <c r="N1398" s="37" t="s">
        <v>89</v>
      </c>
      <c r="O1398" s="37" t="s">
        <v>90</v>
      </c>
      <c r="P1398" s="38"/>
      <c r="Q1398" s="37" t="s">
        <v>3083</v>
      </c>
      <c r="R1398" s="37"/>
      <c r="S1398" s="37" t="s">
        <v>2142</v>
      </c>
      <c r="T1398" s="31"/>
    </row>
    <row r="1399" spans="1:20">
      <c r="A1399" s="31"/>
      <c r="B1399" s="32"/>
      <c r="C1399" s="33"/>
      <c r="D1399" s="32" t="s">
        <v>3084</v>
      </c>
      <c r="E1399" s="33" t="s">
        <v>116</v>
      </c>
      <c r="F1399" s="34">
        <v>1</v>
      </c>
      <c r="G1399" s="35">
        <v>0</v>
      </c>
      <c r="H1399" s="35">
        <v>0</v>
      </c>
      <c r="I1399" s="35">
        <f>Tabla1[[#This Row],[P.U. M.N.]]*Tabla1[[#This Row],[CANTIDADES DE REFERENCIA]]</f>
        <v>0</v>
      </c>
      <c r="J1399" s="35">
        <f>Tabla1[[#This Row],[P.U. USD]]*Tabla1[[#This Row],[CANTIDADES DE REFERENCIA]]</f>
        <v>0</v>
      </c>
      <c r="K1399" s="36"/>
      <c r="L1399" s="36"/>
      <c r="M1399" s="36"/>
      <c r="N1399" s="37" t="s">
        <v>89</v>
      </c>
      <c r="O1399" s="37" t="s">
        <v>90</v>
      </c>
      <c r="P1399" s="38"/>
      <c r="Q1399" s="37" t="s">
        <v>3085</v>
      </c>
      <c r="R1399" s="37"/>
      <c r="S1399" s="37" t="s">
        <v>2142</v>
      </c>
      <c r="T1399" s="31"/>
    </row>
    <row r="1400" spans="1:20">
      <c r="A1400" s="31"/>
      <c r="B1400" s="32"/>
      <c r="C1400" s="33"/>
      <c r="D1400" s="32" t="s">
        <v>3086</v>
      </c>
      <c r="E1400" s="33" t="s">
        <v>116</v>
      </c>
      <c r="F1400" s="34">
        <v>1</v>
      </c>
      <c r="G1400" s="35">
        <v>0</v>
      </c>
      <c r="H1400" s="35">
        <v>0</v>
      </c>
      <c r="I1400" s="35">
        <f>Tabla1[[#This Row],[P.U. M.N.]]*Tabla1[[#This Row],[CANTIDADES DE REFERENCIA]]</f>
        <v>0</v>
      </c>
      <c r="J1400" s="35">
        <f>Tabla1[[#This Row],[P.U. USD]]*Tabla1[[#This Row],[CANTIDADES DE REFERENCIA]]</f>
        <v>0</v>
      </c>
      <c r="K1400" s="36"/>
      <c r="L1400" s="36"/>
      <c r="M1400" s="36"/>
      <c r="N1400" s="37" t="s">
        <v>89</v>
      </c>
      <c r="O1400" s="37" t="s">
        <v>90</v>
      </c>
      <c r="P1400" s="38"/>
      <c r="Q1400" s="37" t="s">
        <v>3087</v>
      </c>
      <c r="R1400" s="37"/>
      <c r="S1400" s="37" t="s">
        <v>2142</v>
      </c>
      <c r="T1400" s="31"/>
    </row>
    <row r="1401" spans="1:20">
      <c r="A1401" s="31"/>
      <c r="B1401" s="32"/>
      <c r="C1401" s="33"/>
      <c r="D1401" s="32" t="s">
        <v>3088</v>
      </c>
      <c r="E1401" s="33" t="s">
        <v>116</v>
      </c>
      <c r="F1401" s="34">
        <v>1</v>
      </c>
      <c r="G1401" s="35">
        <v>0</v>
      </c>
      <c r="H1401" s="35">
        <v>0</v>
      </c>
      <c r="I1401" s="35">
        <f>Tabla1[[#This Row],[P.U. M.N.]]*Tabla1[[#This Row],[CANTIDADES DE REFERENCIA]]</f>
        <v>0</v>
      </c>
      <c r="J1401" s="35">
        <f>Tabla1[[#This Row],[P.U. USD]]*Tabla1[[#This Row],[CANTIDADES DE REFERENCIA]]</f>
        <v>0</v>
      </c>
      <c r="K1401" s="36"/>
      <c r="L1401" s="36"/>
      <c r="M1401" s="36"/>
      <c r="N1401" s="37" t="s">
        <v>89</v>
      </c>
      <c r="O1401" s="37" t="s">
        <v>90</v>
      </c>
      <c r="P1401" s="38"/>
      <c r="Q1401" s="37" t="s">
        <v>3089</v>
      </c>
      <c r="R1401" s="37"/>
      <c r="S1401" s="37" t="s">
        <v>2142</v>
      </c>
      <c r="T1401" s="31"/>
    </row>
    <row r="1402" spans="1:20">
      <c r="A1402" s="31"/>
      <c r="B1402" s="32"/>
      <c r="C1402" s="33"/>
      <c r="D1402" s="32" t="s">
        <v>3090</v>
      </c>
      <c r="E1402" s="33" t="s">
        <v>116</v>
      </c>
      <c r="F1402" s="34">
        <v>1</v>
      </c>
      <c r="G1402" s="35">
        <v>0</v>
      </c>
      <c r="H1402" s="35">
        <v>0</v>
      </c>
      <c r="I1402" s="35">
        <f>Tabla1[[#This Row],[P.U. M.N.]]*Tabla1[[#This Row],[CANTIDADES DE REFERENCIA]]</f>
        <v>0</v>
      </c>
      <c r="J1402" s="35">
        <f>Tabla1[[#This Row],[P.U. USD]]*Tabla1[[#This Row],[CANTIDADES DE REFERENCIA]]</f>
        <v>0</v>
      </c>
      <c r="K1402" s="36"/>
      <c r="L1402" s="36"/>
      <c r="M1402" s="36"/>
      <c r="N1402" s="37" t="s">
        <v>89</v>
      </c>
      <c r="O1402" s="37" t="s">
        <v>90</v>
      </c>
      <c r="P1402" s="38"/>
      <c r="Q1402" s="37" t="s">
        <v>3091</v>
      </c>
      <c r="R1402" s="37"/>
      <c r="S1402" s="37" t="s">
        <v>2142</v>
      </c>
      <c r="T1402" s="31"/>
    </row>
    <row r="1403" spans="1:20">
      <c r="A1403" s="31"/>
      <c r="B1403" s="32"/>
      <c r="C1403" s="33"/>
      <c r="D1403" s="32" t="s">
        <v>3092</v>
      </c>
      <c r="E1403" s="33" t="s">
        <v>135</v>
      </c>
      <c r="F1403" s="34">
        <v>1</v>
      </c>
      <c r="G1403" s="35">
        <v>0</v>
      </c>
      <c r="H1403" s="35">
        <v>0</v>
      </c>
      <c r="I1403" s="35">
        <f>Tabla1[[#This Row],[P.U. M.N.]]*Tabla1[[#This Row],[CANTIDADES DE REFERENCIA]]</f>
        <v>0</v>
      </c>
      <c r="J1403" s="35">
        <f>Tabla1[[#This Row],[P.U. USD]]*Tabla1[[#This Row],[CANTIDADES DE REFERENCIA]]</f>
        <v>0</v>
      </c>
      <c r="K1403" s="36"/>
      <c r="L1403" s="36"/>
      <c r="M1403" s="36"/>
      <c r="N1403" s="37" t="s">
        <v>89</v>
      </c>
      <c r="O1403" s="37" t="s">
        <v>90</v>
      </c>
      <c r="P1403" s="38"/>
      <c r="Q1403" s="37" t="s">
        <v>3093</v>
      </c>
      <c r="R1403" s="37"/>
      <c r="S1403" s="37" t="s">
        <v>2142</v>
      </c>
      <c r="T1403" s="31"/>
    </row>
    <row r="1404" spans="1:20">
      <c r="A1404" s="31"/>
      <c r="B1404" s="32"/>
      <c r="C1404" s="33"/>
      <c r="D1404" s="32" t="s">
        <v>3094</v>
      </c>
      <c r="E1404" s="33" t="s">
        <v>116</v>
      </c>
      <c r="F1404" s="34">
        <v>1</v>
      </c>
      <c r="G1404" s="35">
        <v>0</v>
      </c>
      <c r="H1404" s="35">
        <v>0</v>
      </c>
      <c r="I1404" s="35">
        <f>Tabla1[[#This Row],[P.U. M.N.]]*Tabla1[[#This Row],[CANTIDADES DE REFERENCIA]]</f>
        <v>0</v>
      </c>
      <c r="J1404" s="35">
        <f>Tabla1[[#This Row],[P.U. USD]]*Tabla1[[#This Row],[CANTIDADES DE REFERENCIA]]</f>
        <v>0</v>
      </c>
      <c r="K1404" s="36"/>
      <c r="L1404" s="36"/>
      <c r="M1404" s="36"/>
      <c r="N1404" s="37" t="s">
        <v>89</v>
      </c>
      <c r="O1404" s="37" t="s">
        <v>90</v>
      </c>
      <c r="P1404" s="38"/>
      <c r="Q1404" s="37" t="s">
        <v>3095</v>
      </c>
      <c r="R1404" s="37"/>
      <c r="S1404" s="37" t="s">
        <v>2142</v>
      </c>
      <c r="T1404" s="31"/>
    </row>
    <row r="1405" spans="1:20">
      <c r="A1405" s="31"/>
      <c r="B1405" s="32"/>
      <c r="C1405" s="33"/>
      <c r="D1405" s="32" t="s">
        <v>3096</v>
      </c>
      <c r="E1405" s="33" t="s">
        <v>135</v>
      </c>
      <c r="F1405" s="34">
        <v>1</v>
      </c>
      <c r="G1405" s="35">
        <v>0</v>
      </c>
      <c r="H1405" s="35">
        <v>0</v>
      </c>
      <c r="I1405" s="35">
        <f>Tabla1[[#This Row],[P.U. M.N.]]*Tabla1[[#This Row],[CANTIDADES DE REFERENCIA]]</f>
        <v>0</v>
      </c>
      <c r="J1405" s="35">
        <f>Tabla1[[#This Row],[P.U. USD]]*Tabla1[[#This Row],[CANTIDADES DE REFERENCIA]]</f>
        <v>0</v>
      </c>
      <c r="K1405" s="36"/>
      <c r="L1405" s="36"/>
      <c r="M1405" s="36"/>
      <c r="N1405" s="37" t="s">
        <v>89</v>
      </c>
      <c r="O1405" s="37" t="s">
        <v>90</v>
      </c>
      <c r="P1405" s="38"/>
      <c r="Q1405" s="37" t="s">
        <v>3097</v>
      </c>
      <c r="R1405" s="37"/>
      <c r="S1405" s="37" t="s">
        <v>2142</v>
      </c>
      <c r="T1405" s="31"/>
    </row>
    <row r="1406" spans="1:20">
      <c r="A1406" s="31"/>
      <c r="B1406" s="32"/>
      <c r="C1406" s="33"/>
      <c r="D1406" s="32" t="s">
        <v>3098</v>
      </c>
      <c r="E1406" s="33" t="s">
        <v>116</v>
      </c>
      <c r="F1406" s="34">
        <v>1</v>
      </c>
      <c r="G1406" s="35">
        <v>0</v>
      </c>
      <c r="H1406" s="35">
        <v>0</v>
      </c>
      <c r="I1406" s="35">
        <f>Tabla1[[#This Row],[P.U. M.N.]]*Tabla1[[#This Row],[CANTIDADES DE REFERENCIA]]</f>
        <v>0</v>
      </c>
      <c r="J1406" s="35">
        <f>Tabla1[[#This Row],[P.U. USD]]*Tabla1[[#This Row],[CANTIDADES DE REFERENCIA]]</f>
        <v>0</v>
      </c>
      <c r="K1406" s="36"/>
      <c r="L1406" s="36"/>
      <c r="M1406" s="36"/>
      <c r="N1406" s="37" t="s">
        <v>89</v>
      </c>
      <c r="O1406" s="37" t="s">
        <v>90</v>
      </c>
      <c r="P1406" s="38"/>
      <c r="Q1406" s="37" t="s">
        <v>3099</v>
      </c>
      <c r="R1406" s="37"/>
      <c r="S1406" s="37" t="s">
        <v>2142</v>
      </c>
      <c r="T1406" s="31"/>
    </row>
    <row r="1407" spans="1:20">
      <c r="A1407" s="31"/>
      <c r="B1407" s="32"/>
      <c r="C1407" s="33"/>
      <c r="D1407" s="32" t="s">
        <v>3100</v>
      </c>
      <c r="E1407" s="33" t="s">
        <v>116</v>
      </c>
      <c r="F1407" s="34">
        <v>1</v>
      </c>
      <c r="G1407" s="35">
        <v>0</v>
      </c>
      <c r="H1407" s="35">
        <v>0</v>
      </c>
      <c r="I1407" s="35">
        <f>Tabla1[[#This Row],[P.U. M.N.]]*Tabla1[[#This Row],[CANTIDADES DE REFERENCIA]]</f>
        <v>0</v>
      </c>
      <c r="J1407" s="35">
        <f>Tabla1[[#This Row],[P.U. USD]]*Tabla1[[#This Row],[CANTIDADES DE REFERENCIA]]</f>
        <v>0</v>
      </c>
      <c r="K1407" s="36"/>
      <c r="L1407" s="36"/>
      <c r="M1407" s="36"/>
      <c r="N1407" s="37" t="s">
        <v>89</v>
      </c>
      <c r="O1407" s="37" t="s">
        <v>90</v>
      </c>
      <c r="P1407" s="38"/>
      <c r="Q1407" s="37" t="s">
        <v>3101</v>
      </c>
      <c r="R1407" s="37"/>
      <c r="S1407" s="37" t="s">
        <v>2142</v>
      </c>
      <c r="T1407" s="31"/>
    </row>
    <row r="1408" spans="1:20">
      <c r="A1408" s="31"/>
      <c r="B1408" s="32"/>
      <c r="C1408" s="33"/>
      <c r="D1408" s="32" t="s">
        <v>3102</v>
      </c>
      <c r="E1408" s="33" t="s">
        <v>116</v>
      </c>
      <c r="F1408" s="34">
        <v>1</v>
      </c>
      <c r="G1408" s="35">
        <v>0</v>
      </c>
      <c r="H1408" s="35">
        <v>0</v>
      </c>
      <c r="I1408" s="35">
        <f>Tabla1[[#This Row],[P.U. M.N.]]*Tabla1[[#This Row],[CANTIDADES DE REFERENCIA]]</f>
        <v>0</v>
      </c>
      <c r="J1408" s="35">
        <f>Tabla1[[#This Row],[P.U. USD]]*Tabla1[[#This Row],[CANTIDADES DE REFERENCIA]]</f>
        <v>0</v>
      </c>
      <c r="K1408" s="36"/>
      <c r="L1408" s="36"/>
      <c r="M1408" s="36"/>
      <c r="N1408" s="37" t="s">
        <v>89</v>
      </c>
      <c r="O1408" s="37" t="s">
        <v>90</v>
      </c>
      <c r="P1408" s="38"/>
      <c r="Q1408" s="37" t="s">
        <v>3103</v>
      </c>
      <c r="R1408" s="37"/>
      <c r="S1408" s="37" t="s">
        <v>2142</v>
      </c>
      <c r="T1408" s="31"/>
    </row>
    <row r="1409" spans="1:20">
      <c r="A1409" s="31"/>
      <c r="B1409" s="32"/>
      <c r="C1409" s="33"/>
      <c r="D1409" s="32" t="s">
        <v>3104</v>
      </c>
      <c r="E1409" s="33" t="s">
        <v>116</v>
      </c>
      <c r="F1409" s="34">
        <v>1</v>
      </c>
      <c r="G1409" s="35">
        <v>0</v>
      </c>
      <c r="H1409" s="35">
        <v>0</v>
      </c>
      <c r="I1409" s="35">
        <f>Tabla1[[#This Row],[P.U. M.N.]]*Tabla1[[#This Row],[CANTIDADES DE REFERENCIA]]</f>
        <v>0</v>
      </c>
      <c r="J1409" s="35">
        <f>Tabla1[[#This Row],[P.U. USD]]*Tabla1[[#This Row],[CANTIDADES DE REFERENCIA]]</f>
        <v>0</v>
      </c>
      <c r="K1409" s="36"/>
      <c r="L1409" s="36"/>
      <c r="M1409" s="36"/>
      <c r="N1409" s="37" t="s">
        <v>89</v>
      </c>
      <c r="O1409" s="37" t="s">
        <v>90</v>
      </c>
      <c r="P1409" s="38"/>
      <c r="Q1409" s="37" t="s">
        <v>3105</v>
      </c>
      <c r="R1409" s="37"/>
      <c r="S1409" s="37" t="s">
        <v>2142</v>
      </c>
      <c r="T1409" s="31"/>
    </row>
    <row r="1410" spans="1:20">
      <c r="A1410" s="31"/>
      <c r="B1410" s="32"/>
      <c r="C1410" s="33"/>
      <c r="D1410" s="32" t="s">
        <v>3106</v>
      </c>
      <c r="E1410" s="33" t="s">
        <v>116</v>
      </c>
      <c r="F1410" s="34">
        <v>1</v>
      </c>
      <c r="G1410" s="35">
        <v>0</v>
      </c>
      <c r="H1410" s="35">
        <v>0</v>
      </c>
      <c r="I1410" s="35">
        <f>Tabla1[[#This Row],[P.U. M.N.]]*Tabla1[[#This Row],[CANTIDADES DE REFERENCIA]]</f>
        <v>0</v>
      </c>
      <c r="J1410" s="35">
        <f>Tabla1[[#This Row],[P.U. USD]]*Tabla1[[#This Row],[CANTIDADES DE REFERENCIA]]</f>
        <v>0</v>
      </c>
      <c r="K1410" s="36"/>
      <c r="L1410" s="36"/>
      <c r="M1410" s="36"/>
      <c r="N1410" s="37" t="s">
        <v>89</v>
      </c>
      <c r="O1410" s="37" t="s">
        <v>90</v>
      </c>
      <c r="P1410" s="38"/>
      <c r="Q1410" s="37" t="s">
        <v>3107</v>
      </c>
      <c r="R1410" s="37"/>
      <c r="S1410" s="37" t="s">
        <v>2142</v>
      </c>
      <c r="T1410" s="31"/>
    </row>
    <row r="1411" spans="1:20">
      <c r="A1411" s="31"/>
      <c r="B1411" s="32"/>
      <c r="C1411" s="33"/>
      <c r="D1411" s="32" t="s">
        <v>3108</v>
      </c>
      <c r="E1411" s="33" t="s">
        <v>135</v>
      </c>
      <c r="F1411" s="34">
        <v>1</v>
      </c>
      <c r="G1411" s="35">
        <v>0</v>
      </c>
      <c r="H1411" s="35">
        <v>0</v>
      </c>
      <c r="I1411" s="35">
        <f>Tabla1[[#This Row],[P.U. M.N.]]*Tabla1[[#This Row],[CANTIDADES DE REFERENCIA]]</f>
        <v>0</v>
      </c>
      <c r="J1411" s="35">
        <f>Tabla1[[#This Row],[P.U. USD]]*Tabla1[[#This Row],[CANTIDADES DE REFERENCIA]]</f>
        <v>0</v>
      </c>
      <c r="K1411" s="36"/>
      <c r="L1411" s="36"/>
      <c r="M1411" s="36"/>
      <c r="N1411" s="37" t="s">
        <v>89</v>
      </c>
      <c r="O1411" s="37" t="s">
        <v>90</v>
      </c>
      <c r="P1411" s="38"/>
      <c r="Q1411" s="37" t="s">
        <v>3109</v>
      </c>
      <c r="R1411" s="37"/>
      <c r="S1411" s="37" t="s">
        <v>2142</v>
      </c>
      <c r="T1411" s="31"/>
    </row>
    <row r="1412" spans="1:20">
      <c r="A1412" s="31"/>
      <c r="B1412" s="32"/>
      <c r="C1412" s="33"/>
      <c r="D1412" s="32" t="s">
        <v>3110</v>
      </c>
      <c r="E1412" s="33" t="s">
        <v>135</v>
      </c>
      <c r="F1412" s="34">
        <v>1</v>
      </c>
      <c r="G1412" s="35">
        <v>0</v>
      </c>
      <c r="H1412" s="35">
        <v>0</v>
      </c>
      <c r="I1412" s="35">
        <f>Tabla1[[#This Row],[P.U. M.N.]]*Tabla1[[#This Row],[CANTIDADES DE REFERENCIA]]</f>
        <v>0</v>
      </c>
      <c r="J1412" s="35">
        <f>Tabla1[[#This Row],[P.U. USD]]*Tabla1[[#This Row],[CANTIDADES DE REFERENCIA]]</f>
        <v>0</v>
      </c>
      <c r="K1412" s="36"/>
      <c r="L1412" s="36"/>
      <c r="M1412" s="36"/>
      <c r="N1412" s="37" t="s">
        <v>89</v>
      </c>
      <c r="O1412" s="37" t="s">
        <v>90</v>
      </c>
      <c r="P1412" s="38"/>
      <c r="Q1412" s="37" t="s">
        <v>3111</v>
      </c>
      <c r="R1412" s="37"/>
      <c r="S1412" s="37" t="s">
        <v>2142</v>
      </c>
      <c r="T1412" s="31"/>
    </row>
    <row r="1413" spans="1:20">
      <c r="A1413" s="31"/>
      <c r="B1413" s="32"/>
      <c r="C1413" s="33"/>
      <c r="D1413" s="32" t="s">
        <v>3112</v>
      </c>
      <c r="E1413" s="33" t="s">
        <v>116</v>
      </c>
      <c r="F1413" s="34">
        <v>1</v>
      </c>
      <c r="G1413" s="35">
        <v>0</v>
      </c>
      <c r="H1413" s="35">
        <v>0</v>
      </c>
      <c r="I1413" s="35">
        <f>Tabla1[[#This Row],[P.U. M.N.]]*Tabla1[[#This Row],[CANTIDADES DE REFERENCIA]]</f>
        <v>0</v>
      </c>
      <c r="J1413" s="35">
        <f>Tabla1[[#This Row],[P.U. USD]]*Tabla1[[#This Row],[CANTIDADES DE REFERENCIA]]</f>
        <v>0</v>
      </c>
      <c r="K1413" s="36"/>
      <c r="L1413" s="36"/>
      <c r="M1413" s="36"/>
      <c r="N1413" s="37" t="s">
        <v>89</v>
      </c>
      <c r="O1413" s="37" t="s">
        <v>90</v>
      </c>
      <c r="P1413" s="38"/>
      <c r="Q1413" s="37" t="s">
        <v>3113</v>
      </c>
      <c r="R1413" s="37"/>
      <c r="S1413" s="37" t="s">
        <v>2142</v>
      </c>
      <c r="T1413" s="31"/>
    </row>
    <row r="1414" spans="1:20">
      <c r="A1414" s="31"/>
      <c r="B1414" s="32"/>
      <c r="C1414" s="33"/>
      <c r="D1414" s="32" t="s">
        <v>3114</v>
      </c>
      <c r="E1414" s="33" t="s">
        <v>116</v>
      </c>
      <c r="F1414" s="34">
        <v>1</v>
      </c>
      <c r="G1414" s="35">
        <v>0</v>
      </c>
      <c r="H1414" s="35">
        <v>0</v>
      </c>
      <c r="I1414" s="35">
        <f>Tabla1[[#This Row],[P.U. M.N.]]*Tabla1[[#This Row],[CANTIDADES DE REFERENCIA]]</f>
        <v>0</v>
      </c>
      <c r="J1414" s="35">
        <f>Tabla1[[#This Row],[P.U. USD]]*Tabla1[[#This Row],[CANTIDADES DE REFERENCIA]]</f>
        <v>0</v>
      </c>
      <c r="K1414" s="36"/>
      <c r="L1414" s="36"/>
      <c r="M1414" s="36"/>
      <c r="N1414" s="37" t="s">
        <v>89</v>
      </c>
      <c r="O1414" s="37" t="s">
        <v>90</v>
      </c>
      <c r="P1414" s="38"/>
      <c r="Q1414" s="37" t="s">
        <v>3115</v>
      </c>
      <c r="R1414" s="37"/>
      <c r="S1414" s="37" t="s">
        <v>2142</v>
      </c>
      <c r="T1414" s="31"/>
    </row>
    <row r="1415" spans="1:20">
      <c r="A1415" s="31"/>
      <c r="B1415" s="32"/>
      <c r="C1415" s="33"/>
      <c r="D1415" s="32" t="s">
        <v>3116</v>
      </c>
      <c r="E1415" s="33" t="s">
        <v>116</v>
      </c>
      <c r="F1415" s="34">
        <v>1</v>
      </c>
      <c r="G1415" s="35">
        <v>0</v>
      </c>
      <c r="H1415" s="35">
        <v>0</v>
      </c>
      <c r="I1415" s="35">
        <f>Tabla1[[#This Row],[P.U. M.N.]]*Tabla1[[#This Row],[CANTIDADES DE REFERENCIA]]</f>
        <v>0</v>
      </c>
      <c r="J1415" s="35">
        <f>Tabla1[[#This Row],[P.U. USD]]*Tabla1[[#This Row],[CANTIDADES DE REFERENCIA]]</f>
        <v>0</v>
      </c>
      <c r="K1415" s="36"/>
      <c r="L1415" s="36"/>
      <c r="M1415" s="36"/>
      <c r="N1415" s="37" t="s">
        <v>89</v>
      </c>
      <c r="O1415" s="37" t="s">
        <v>90</v>
      </c>
      <c r="P1415" s="38"/>
      <c r="Q1415" s="37" t="s">
        <v>3117</v>
      </c>
      <c r="R1415" s="37"/>
      <c r="S1415" s="37" t="s">
        <v>2142</v>
      </c>
      <c r="T1415" s="31"/>
    </row>
    <row r="1416" spans="1:20">
      <c r="A1416" s="31"/>
      <c r="B1416" s="32"/>
      <c r="C1416" s="33"/>
      <c r="D1416" s="32" t="s">
        <v>3118</v>
      </c>
      <c r="E1416" s="33" t="s">
        <v>135</v>
      </c>
      <c r="F1416" s="34">
        <v>1</v>
      </c>
      <c r="G1416" s="35">
        <v>0</v>
      </c>
      <c r="H1416" s="35">
        <v>0</v>
      </c>
      <c r="I1416" s="35">
        <f>Tabla1[[#This Row],[P.U. M.N.]]*Tabla1[[#This Row],[CANTIDADES DE REFERENCIA]]</f>
        <v>0</v>
      </c>
      <c r="J1416" s="35">
        <f>Tabla1[[#This Row],[P.U. USD]]*Tabla1[[#This Row],[CANTIDADES DE REFERENCIA]]</f>
        <v>0</v>
      </c>
      <c r="K1416" s="36"/>
      <c r="L1416" s="36"/>
      <c r="M1416" s="36"/>
      <c r="N1416" s="37" t="s">
        <v>89</v>
      </c>
      <c r="O1416" s="37" t="s">
        <v>90</v>
      </c>
      <c r="P1416" s="38"/>
      <c r="Q1416" s="37" t="s">
        <v>3119</v>
      </c>
      <c r="R1416" s="37"/>
      <c r="S1416" s="37" t="s">
        <v>2142</v>
      </c>
      <c r="T1416" s="31"/>
    </row>
    <row r="1417" spans="1:20">
      <c r="A1417" s="31"/>
      <c r="B1417" s="32"/>
      <c r="C1417" s="33"/>
      <c r="D1417" s="32" t="s">
        <v>3120</v>
      </c>
      <c r="E1417" s="33" t="s">
        <v>135</v>
      </c>
      <c r="F1417" s="34">
        <v>1</v>
      </c>
      <c r="G1417" s="35">
        <v>0</v>
      </c>
      <c r="H1417" s="35">
        <v>0</v>
      </c>
      <c r="I1417" s="35">
        <f>Tabla1[[#This Row],[P.U. M.N.]]*Tabla1[[#This Row],[CANTIDADES DE REFERENCIA]]</f>
        <v>0</v>
      </c>
      <c r="J1417" s="35">
        <f>Tabla1[[#This Row],[P.U. USD]]*Tabla1[[#This Row],[CANTIDADES DE REFERENCIA]]</f>
        <v>0</v>
      </c>
      <c r="K1417" s="36"/>
      <c r="L1417" s="36"/>
      <c r="M1417" s="36"/>
      <c r="N1417" s="37" t="s">
        <v>89</v>
      </c>
      <c r="O1417" s="37" t="s">
        <v>90</v>
      </c>
      <c r="P1417" s="38"/>
      <c r="Q1417" s="37" t="s">
        <v>3121</v>
      </c>
      <c r="R1417" s="37"/>
      <c r="S1417" s="37" t="s">
        <v>2142</v>
      </c>
      <c r="T1417" s="31"/>
    </row>
    <row r="1418" spans="1:20">
      <c r="A1418" s="31"/>
      <c r="B1418" s="32"/>
      <c r="C1418" s="33"/>
      <c r="D1418" s="32" t="s">
        <v>3122</v>
      </c>
      <c r="E1418" s="33" t="s">
        <v>135</v>
      </c>
      <c r="F1418" s="34">
        <v>1</v>
      </c>
      <c r="G1418" s="35">
        <v>0</v>
      </c>
      <c r="H1418" s="35">
        <v>0</v>
      </c>
      <c r="I1418" s="35">
        <f>Tabla1[[#This Row],[P.U. M.N.]]*Tabla1[[#This Row],[CANTIDADES DE REFERENCIA]]</f>
        <v>0</v>
      </c>
      <c r="J1418" s="35">
        <f>Tabla1[[#This Row],[P.U. USD]]*Tabla1[[#This Row],[CANTIDADES DE REFERENCIA]]</f>
        <v>0</v>
      </c>
      <c r="K1418" s="36"/>
      <c r="L1418" s="36"/>
      <c r="M1418" s="36"/>
      <c r="N1418" s="37" t="s">
        <v>89</v>
      </c>
      <c r="O1418" s="37" t="s">
        <v>90</v>
      </c>
      <c r="P1418" s="38"/>
      <c r="Q1418" s="37" t="s">
        <v>3123</v>
      </c>
      <c r="R1418" s="37"/>
      <c r="S1418" s="37" t="s">
        <v>2142</v>
      </c>
      <c r="T1418" s="31"/>
    </row>
    <row r="1419" spans="1:20">
      <c r="A1419" s="31"/>
      <c r="B1419" s="32"/>
      <c r="C1419" s="33"/>
      <c r="D1419" s="32" t="s">
        <v>3124</v>
      </c>
      <c r="E1419" s="33" t="s">
        <v>135</v>
      </c>
      <c r="F1419" s="34">
        <v>1</v>
      </c>
      <c r="G1419" s="35">
        <v>0</v>
      </c>
      <c r="H1419" s="35">
        <v>0</v>
      </c>
      <c r="I1419" s="35">
        <f>Tabla1[[#This Row],[P.U. M.N.]]*Tabla1[[#This Row],[CANTIDADES DE REFERENCIA]]</f>
        <v>0</v>
      </c>
      <c r="J1419" s="35">
        <f>Tabla1[[#This Row],[P.U. USD]]*Tabla1[[#This Row],[CANTIDADES DE REFERENCIA]]</f>
        <v>0</v>
      </c>
      <c r="K1419" s="36"/>
      <c r="L1419" s="36"/>
      <c r="M1419" s="36"/>
      <c r="N1419" s="37" t="s">
        <v>89</v>
      </c>
      <c r="O1419" s="37" t="s">
        <v>90</v>
      </c>
      <c r="P1419" s="38"/>
      <c r="Q1419" s="37" t="s">
        <v>3125</v>
      </c>
      <c r="R1419" s="37"/>
      <c r="S1419" s="37" t="s">
        <v>2142</v>
      </c>
      <c r="T1419" s="31"/>
    </row>
    <row r="1420" spans="1:20">
      <c r="A1420" s="31"/>
      <c r="B1420" s="32"/>
      <c r="C1420" s="33"/>
      <c r="D1420" s="32" t="s">
        <v>3126</v>
      </c>
      <c r="E1420" s="33" t="s">
        <v>135</v>
      </c>
      <c r="F1420" s="34">
        <v>1</v>
      </c>
      <c r="G1420" s="35">
        <v>0</v>
      </c>
      <c r="H1420" s="35">
        <v>0</v>
      </c>
      <c r="I1420" s="35">
        <f>Tabla1[[#This Row],[P.U. M.N.]]*Tabla1[[#This Row],[CANTIDADES DE REFERENCIA]]</f>
        <v>0</v>
      </c>
      <c r="J1420" s="35">
        <f>Tabla1[[#This Row],[P.U. USD]]*Tabla1[[#This Row],[CANTIDADES DE REFERENCIA]]</f>
        <v>0</v>
      </c>
      <c r="K1420" s="36"/>
      <c r="L1420" s="36"/>
      <c r="M1420" s="36"/>
      <c r="N1420" s="37" t="s">
        <v>89</v>
      </c>
      <c r="O1420" s="37" t="s">
        <v>90</v>
      </c>
      <c r="P1420" s="38"/>
      <c r="Q1420" s="37" t="s">
        <v>3127</v>
      </c>
      <c r="R1420" s="37"/>
      <c r="S1420" s="37" t="s">
        <v>2142</v>
      </c>
      <c r="T1420" s="31"/>
    </row>
    <row r="1421" spans="1:20">
      <c r="A1421" s="31"/>
      <c r="B1421" s="32"/>
      <c r="C1421" s="33"/>
      <c r="D1421" s="32" t="s">
        <v>3128</v>
      </c>
      <c r="E1421" s="33" t="s">
        <v>135</v>
      </c>
      <c r="F1421" s="34">
        <v>1</v>
      </c>
      <c r="G1421" s="35">
        <v>0</v>
      </c>
      <c r="H1421" s="35">
        <v>0</v>
      </c>
      <c r="I1421" s="35">
        <f>Tabla1[[#This Row],[P.U. M.N.]]*Tabla1[[#This Row],[CANTIDADES DE REFERENCIA]]</f>
        <v>0</v>
      </c>
      <c r="J1421" s="35">
        <f>Tabla1[[#This Row],[P.U. USD]]*Tabla1[[#This Row],[CANTIDADES DE REFERENCIA]]</f>
        <v>0</v>
      </c>
      <c r="K1421" s="36"/>
      <c r="L1421" s="36"/>
      <c r="M1421" s="36"/>
      <c r="N1421" s="37" t="s">
        <v>89</v>
      </c>
      <c r="O1421" s="37" t="s">
        <v>90</v>
      </c>
      <c r="P1421" s="38"/>
      <c r="Q1421" s="37" t="s">
        <v>3129</v>
      </c>
      <c r="R1421" s="37"/>
      <c r="S1421" s="37" t="s">
        <v>2142</v>
      </c>
      <c r="T1421" s="31"/>
    </row>
    <row r="1422" spans="1:20">
      <c r="A1422" s="31"/>
      <c r="B1422" s="32"/>
      <c r="C1422" s="33"/>
      <c r="D1422" s="32" t="s">
        <v>3130</v>
      </c>
      <c r="E1422" s="33" t="s">
        <v>135</v>
      </c>
      <c r="F1422" s="34">
        <v>1</v>
      </c>
      <c r="G1422" s="35">
        <v>0</v>
      </c>
      <c r="H1422" s="35">
        <v>0</v>
      </c>
      <c r="I1422" s="35">
        <f>Tabla1[[#This Row],[P.U. M.N.]]*Tabla1[[#This Row],[CANTIDADES DE REFERENCIA]]</f>
        <v>0</v>
      </c>
      <c r="J1422" s="35">
        <f>Tabla1[[#This Row],[P.U. USD]]*Tabla1[[#This Row],[CANTIDADES DE REFERENCIA]]</f>
        <v>0</v>
      </c>
      <c r="K1422" s="36"/>
      <c r="L1422" s="36"/>
      <c r="M1422" s="36"/>
      <c r="N1422" s="37" t="s">
        <v>89</v>
      </c>
      <c r="O1422" s="37" t="s">
        <v>90</v>
      </c>
      <c r="P1422" s="38"/>
      <c r="Q1422" s="37" t="s">
        <v>3131</v>
      </c>
      <c r="R1422" s="37"/>
      <c r="S1422" s="37" t="s">
        <v>2142</v>
      </c>
      <c r="T1422" s="31"/>
    </row>
    <row r="1423" spans="1:20">
      <c r="A1423" s="31"/>
      <c r="B1423" s="32"/>
      <c r="C1423" s="33"/>
      <c r="D1423" s="32" t="s">
        <v>3132</v>
      </c>
      <c r="E1423" s="33" t="s">
        <v>135</v>
      </c>
      <c r="F1423" s="34">
        <v>1</v>
      </c>
      <c r="G1423" s="35">
        <v>0</v>
      </c>
      <c r="H1423" s="35">
        <v>0</v>
      </c>
      <c r="I1423" s="35">
        <f>Tabla1[[#This Row],[P.U. M.N.]]*Tabla1[[#This Row],[CANTIDADES DE REFERENCIA]]</f>
        <v>0</v>
      </c>
      <c r="J1423" s="35">
        <f>Tabla1[[#This Row],[P.U. USD]]*Tabla1[[#This Row],[CANTIDADES DE REFERENCIA]]</f>
        <v>0</v>
      </c>
      <c r="K1423" s="36"/>
      <c r="L1423" s="36"/>
      <c r="M1423" s="36"/>
      <c r="N1423" s="37" t="s">
        <v>89</v>
      </c>
      <c r="O1423" s="37" t="s">
        <v>90</v>
      </c>
      <c r="P1423" s="38"/>
      <c r="Q1423" s="37" t="s">
        <v>3133</v>
      </c>
      <c r="R1423" s="37"/>
      <c r="S1423" s="37" t="s">
        <v>2142</v>
      </c>
      <c r="T1423" s="31"/>
    </row>
    <row r="1424" spans="1:20">
      <c r="A1424" s="31"/>
      <c r="B1424" s="32"/>
      <c r="C1424" s="33"/>
      <c r="D1424" s="32" t="s">
        <v>3134</v>
      </c>
      <c r="E1424" s="33" t="s">
        <v>135</v>
      </c>
      <c r="F1424" s="34">
        <v>1</v>
      </c>
      <c r="G1424" s="35">
        <v>0</v>
      </c>
      <c r="H1424" s="35">
        <v>0</v>
      </c>
      <c r="I1424" s="35">
        <f>Tabla1[[#This Row],[P.U. M.N.]]*Tabla1[[#This Row],[CANTIDADES DE REFERENCIA]]</f>
        <v>0</v>
      </c>
      <c r="J1424" s="35">
        <f>Tabla1[[#This Row],[P.U. USD]]*Tabla1[[#This Row],[CANTIDADES DE REFERENCIA]]</f>
        <v>0</v>
      </c>
      <c r="K1424" s="36"/>
      <c r="L1424" s="36"/>
      <c r="M1424" s="36"/>
      <c r="N1424" s="37" t="s">
        <v>89</v>
      </c>
      <c r="O1424" s="37" t="s">
        <v>90</v>
      </c>
      <c r="P1424" s="38"/>
      <c r="Q1424" s="37" t="s">
        <v>3135</v>
      </c>
      <c r="R1424" s="37"/>
      <c r="S1424" s="37" t="s">
        <v>2142</v>
      </c>
      <c r="T1424" s="31"/>
    </row>
    <row r="1425" spans="1:20">
      <c r="A1425" s="31"/>
      <c r="B1425" s="32"/>
      <c r="C1425" s="33"/>
      <c r="D1425" s="32" t="s">
        <v>3136</v>
      </c>
      <c r="E1425" s="33" t="s">
        <v>135</v>
      </c>
      <c r="F1425" s="34">
        <v>1</v>
      </c>
      <c r="G1425" s="35">
        <v>0</v>
      </c>
      <c r="H1425" s="35">
        <v>0</v>
      </c>
      <c r="I1425" s="35">
        <f>Tabla1[[#This Row],[P.U. M.N.]]*Tabla1[[#This Row],[CANTIDADES DE REFERENCIA]]</f>
        <v>0</v>
      </c>
      <c r="J1425" s="35">
        <f>Tabla1[[#This Row],[P.U. USD]]*Tabla1[[#This Row],[CANTIDADES DE REFERENCIA]]</f>
        <v>0</v>
      </c>
      <c r="K1425" s="36"/>
      <c r="L1425" s="36"/>
      <c r="M1425" s="36"/>
      <c r="N1425" s="37" t="s">
        <v>89</v>
      </c>
      <c r="O1425" s="37" t="s">
        <v>90</v>
      </c>
      <c r="P1425" s="38"/>
      <c r="Q1425" s="37" t="s">
        <v>3137</v>
      </c>
      <c r="R1425" s="37"/>
      <c r="S1425" s="37" t="s">
        <v>2142</v>
      </c>
      <c r="T1425" s="31"/>
    </row>
    <row r="1426" spans="1:20">
      <c r="A1426" s="31"/>
      <c r="B1426" s="32"/>
      <c r="C1426" s="33"/>
      <c r="D1426" s="32" t="s">
        <v>3138</v>
      </c>
      <c r="E1426" s="33" t="s">
        <v>135</v>
      </c>
      <c r="F1426" s="34">
        <v>1</v>
      </c>
      <c r="G1426" s="35">
        <v>0</v>
      </c>
      <c r="H1426" s="35">
        <v>0</v>
      </c>
      <c r="I1426" s="35">
        <f>Tabla1[[#This Row],[P.U. M.N.]]*Tabla1[[#This Row],[CANTIDADES DE REFERENCIA]]</f>
        <v>0</v>
      </c>
      <c r="J1426" s="35">
        <f>Tabla1[[#This Row],[P.U. USD]]*Tabla1[[#This Row],[CANTIDADES DE REFERENCIA]]</f>
        <v>0</v>
      </c>
      <c r="K1426" s="36"/>
      <c r="L1426" s="36"/>
      <c r="M1426" s="36"/>
      <c r="N1426" s="37" t="s">
        <v>89</v>
      </c>
      <c r="O1426" s="37" t="s">
        <v>90</v>
      </c>
      <c r="P1426" s="38"/>
      <c r="Q1426" s="37" t="s">
        <v>3139</v>
      </c>
      <c r="R1426" s="37"/>
      <c r="S1426" s="37" t="s">
        <v>2142</v>
      </c>
      <c r="T1426" s="31"/>
    </row>
    <row r="1427" spans="1:20">
      <c r="A1427" s="31"/>
      <c r="B1427" s="32"/>
      <c r="C1427" s="33"/>
      <c r="D1427" s="32" t="s">
        <v>3140</v>
      </c>
      <c r="E1427" s="33" t="s">
        <v>116</v>
      </c>
      <c r="F1427" s="34">
        <v>1</v>
      </c>
      <c r="G1427" s="35">
        <v>0</v>
      </c>
      <c r="H1427" s="35">
        <v>0</v>
      </c>
      <c r="I1427" s="35">
        <f>Tabla1[[#This Row],[P.U. M.N.]]*Tabla1[[#This Row],[CANTIDADES DE REFERENCIA]]</f>
        <v>0</v>
      </c>
      <c r="J1427" s="35">
        <f>Tabla1[[#This Row],[P.U. USD]]*Tabla1[[#This Row],[CANTIDADES DE REFERENCIA]]</f>
        <v>0</v>
      </c>
      <c r="K1427" s="36"/>
      <c r="L1427" s="36"/>
      <c r="M1427" s="36"/>
      <c r="N1427" s="37" t="s">
        <v>89</v>
      </c>
      <c r="O1427" s="37" t="s">
        <v>90</v>
      </c>
      <c r="P1427" s="38"/>
      <c r="Q1427" s="37" t="s">
        <v>3141</v>
      </c>
      <c r="R1427" s="37"/>
      <c r="S1427" s="37" t="s">
        <v>2142</v>
      </c>
      <c r="T1427" s="31"/>
    </row>
    <row r="1428" spans="1:20">
      <c r="A1428" s="31"/>
      <c r="B1428" s="32"/>
      <c r="C1428" s="33"/>
      <c r="D1428" s="32" t="s">
        <v>3142</v>
      </c>
      <c r="E1428" s="33" t="s">
        <v>116</v>
      </c>
      <c r="F1428" s="34">
        <v>1</v>
      </c>
      <c r="G1428" s="35">
        <v>0</v>
      </c>
      <c r="H1428" s="35">
        <v>0</v>
      </c>
      <c r="I1428" s="35">
        <f>Tabla1[[#This Row],[P.U. M.N.]]*Tabla1[[#This Row],[CANTIDADES DE REFERENCIA]]</f>
        <v>0</v>
      </c>
      <c r="J1428" s="35">
        <f>Tabla1[[#This Row],[P.U. USD]]*Tabla1[[#This Row],[CANTIDADES DE REFERENCIA]]</f>
        <v>0</v>
      </c>
      <c r="K1428" s="36"/>
      <c r="L1428" s="36"/>
      <c r="M1428" s="36"/>
      <c r="N1428" s="37" t="s">
        <v>89</v>
      </c>
      <c r="O1428" s="37" t="s">
        <v>90</v>
      </c>
      <c r="P1428" s="38"/>
      <c r="Q1428" s="37" t="s">
        <v>3143</v>
      </c>
      <c r="R1428" s="37"/>
      <c r="S1428" s="37" t="s">
        <v>2142</v>
      </c>
      <c r="T1428" s="31"/>
    </row>
    <row r="1429" spans="1:20">
      <c r="A1429" s="31"/>
      <c r="B1429" s="32"/>
      <c r="C1429" s="33"/>
      <c r="D1429" s="32" t="s">
        <v>3144</v>
      </c>
      <c r="E1429" s="33" t="s">
        <v>116</v>
      </c>
      <c r="F1429" s="34">
        <v>1</v>
      </c>
      <c r="G1429" s="35">
        <v>0</v>
      </c>
      <c r="H1429" s="35">
        <v>0</v>
      </c>
      <c r="I1429" s="35">
        <f>Tabla1[[#This Row],[P.U. M.N.]]*Tabla1[[#This Row],[CANTIDADES DE REFERENCIA]]</f>
        <v>0</v>
      </c>
      <c r="J1429" s="35">
        <f>Tabla1[[#This Row],[P.U. USD]]*Tabla1[[#This Row],[CANTIDADES DE REFERENCIA]]</f>
        <v>0</v>
      </c>
      <c r="K1429" s="36"/>
      <c r="L1429" s="36"/>
      <c r="M1429" s="36"/>
      <c r="N1429" s="37" t="s">
        <v>89</v>
      </c>
      <c r="O1429" s="37" t="s">
        <v>90</v>
      </c>
      <c r="P1429" s="38"/>
      <c r="Q1429" s="37" t="s">
        <v>3145</v>
      </c>
      <c r="R1429" s="37"/>
      <c r="S1429" s="37" t="s">
        <v>2142</v>
      </c>
      <c r="T1429" s="31"/>
    </row>
    <row r="1430" spans="1:20">
      <c r="A1430" s="31"/>
      <c r="B1430" s="32"/>
      <c r="C1430" s="33"/>
      <c r="D1430" s="32" t="s">
        <v>3146</v>
      </c>
      <c r="E1430" s="33" t="s">
        <v>116</v>
      </c>
      <c r="F1430" s="34">
        <v>1</v>
      </c>
      <c r="G1430" s="35">
        <v>0</v>
      </c>
      <c r="H1430" s="35">
        <v>0</v>
      </c>
      <c r="I1430" s="35">
        <f>Tabla1[[#This Row],[P.U. M.N.]]*Tabla1[[#This Row],[CANTIDADES DE REFERENCIA]]</f>
        <v>0</v>
      </c>
      <c r="J1430" s="35">
        <f>Tabla1[[#This Row],[P.U. USD]]*Tabla1[[#This Row],[CANTIDADES DE REFERENCIA]]</f>
        <v>0</v>
      </c>
      <c r="K1430" s="36"/>
      <c r="L1430" s="36"/>
      <c r="M1430" s="36"/>
      <c r="N1430" s="37" t="s">
        <v>89</v>
      </c>
      <c r="O1430" s="37" t="s">
        <v>90</v>
      </c>
      <c r="P1430" s="38"/>
      <c r="Q1430" s="37" t="s">
        <v>3147</v>
      </c>
      <c r="R1430" s="37"/>
      <c r="S1430" s="37" t="s">
        <v>2142</v>
      </c>
      <c r="T1430" s="31"/>
    </row>
    <row r="1431" spans="1:20">
      <c r="A1431" s="31"/>
      <c r="B1431" s="32"/>
      <c r="C1431" s="33"/>
      <c r="D1431" s="32" t="s">
        <v>3148</v>
      </c>
      <c r="E1431" s="33" t="s">
        <v>135</v>
      </c>
      <c r="F1431" s="34">
        <v>1</v>
      </c>
      <c r="G1431" s="35">
        <v>0</v>
      </c>
      <c r="H1431" s="35">
        <v>0</v>
      </c>
      <c r="I1431" s="35">
        <f>Tabla1[[#This Row],[P.U. M.N.]]*Tabla1[[#This Row],[CANTIDADES DE REFERENCIA]]</f>
        <v>0</v>
      </c>
      <c r="J1431" s="35">
        <f>Tabla1[[#This Row],[P.U. USD]]*Tabla1[[#This Row],[CANTIDADES DE REFERENCIA]]</f>
        <v>0</v>
      </c>
      <c r="K1431" s="36"/>
      <c r="L1431" s="36"/>
      <c r="M1431" s="36"/>
      <c r="N1431" s="37" t="s">
        <v>89</v>
      </c>
      <c r="O1431" s="37" t="s">
        <v>90</v>
      </c>
      <c r="P1431" s="38"/>
      <c r="Q1431" s="37" t="s">
        <v>3149</v>
      </c>
      <c r="R1431" s="37"/>
      <c r="S1431" s="37" t="s">
        <v>2142</v>
      </c>
      <c r="T1431" s="31"/>
    </row>
    <row r="1432" spans="1:20">
      <c r="A1432" s="31"/>
      <c r="B1432" s="32"/>
      <c r="C1432" s="33"/>
      <c r="D1432" s="32" t="s">
        <v>3150</v>
      </c>
      <c r="E1432" s="33" t="s">
        <v>135</v>
      </c>
      <c r="F1432" s="34">
        <v>1</v>
      </c>
      <c r="G1432" s="35">
        <v>0</v>
      </c>
      <c r="H1432" s="35">
        <v>0</v>
      </c>
      <c r="I1432" s="35">
        <f>Tabla1[[#This Row],[P.U. M.N.]]*Tabla1[[#This Row],[CANTIDADES DE REFERENCIA]]</f>
        <v>0</v>
      </c>
      <c r="J1432" s="35">
        <f>Tabla1[[#This Row],[P.U. USD]]*Tabla1[[#This Row],[CANTIDADES DE REFERENCIA]]</f>
        <v>0</v>
      </c>
      <c r="K1432" s="36"/>
      <c r="L1432" s="36"/>
      <c r="M1432" s="36"/>
      <c r="N1432" s="37" t="s">
        <v>89</v>
      </c>
      <c r="O1432" s="37" t="s">
        <v>90</v>
      </c>
      <c r="P1432" s="38"/>
      <c r="Q1432" s="37" t="s">
        <v>3151</v>
      </c>
      <c r="R1432" s="37"/>
      <c r="S1432" s="37" t="s">
        <v>2142</v>
      </c>
      <c r="T1432" s="31"/>
    </row>
    <row r="1433" spans="1:20">
      <c r="A1433" s="31"/>
      <c r="B1433" s="32"/>
      <c r="C1433" s="33"/>
      <c r="D1433" s="32" t="s">
        <v>3152</v>
      </c>
      <c r="E1433" s="33" t="s">
        <v>116</v>
      </c>
      <c r="F1433" s="34">
        <v>1</v>
      </c>
      <c r="G1433" s="35">
        <v>0</v>
      </c>
      <c r="H1433" s="35">
        <v>0</v>
      </c>
      <c r="I1433" s="35">
        <f>Tabla1[[#This Row],[P.U. M.N.]]*Tabla1[[#This Row],[CANTIDADES DE REFERENCIA]]</f>
        <v>0</v>
      </c>
      <c r="J1433" s="35">
        <f>Tabla1[[#This Row],[P.U. USD]]*Tabla1[[#This Row],[CANTIDADES DE REFERENCIA]]</f>
        <v>0</v>
      </c>
      <c r="K1433" s="36"/>
      <c r="L1433" s="36"/>
      <c r="M1433" s="36"/>
      <c r="N1433" s="37" t="s">
        <v>89</v>
      </c>
      <c r="O1433" s="37" t="s">
        <v>90</v>
      </c>
      <c r="P1433" s="38"/>
      <c r="Q1433" s="37" t="s">
        <v>3153</v>
      </c>
      <c r="R1433" s="37"/>
      <c r="S1433" s="37" t="s">
        <v>2142</v>
      </c>
      <c r="T1433" s="31"/>
    </row>
    <row r="1434" spans="1:20">
      <c r="A1434" s="31"/>
      <c r="B1434" s="32"/>
      <c r="C1434" s="33"/>
      <c r="D1434" s="32" t="s">
        <v>3154</v>
      </c>
      <c r="E1434" s="33" t="s">
        <v>116</v>
      </c>
      <c r="F1434" s="34">
        <v>1</v>
      </c>
      <c r="G1434" s="35">
        <v>0</v>
      </c>
      <c r="H1434" s="35">
        <v>0</v>
      </c>
      <c r="I1434" s="35">
        <f>Tabla1[[#This Row],[P.U. M.N.]]*Tabla1[[#This Row],[CANTIDADES DE REFERENCIA]]</f>
        <v>0</v>
      </c>
      <c r="J1434" s="35">
        <f>Tabla1[[#This Row],[P.U. USD]]*Tabla1[[#This Row],[CANTIDADES DE REFERENCIA]]</f>
        <v>0</v>
      </c>
      <c r="K1434" s="36"/>
      <c r="L1434" s="36"/>
      <c r="M1434" s="36"/>
      <c r="N1434" s="37" t="s">
        <v>89</v>
      </c>
      <c r="O1434" s="37" t="s">
        <v>90</v>
      </c>
      <c r="P1434" s="38"/>
      <c r="Q1434" s="37" t="s">
        <v>3155</v>
      </c>
      <c r="R1434" s="37"/>
      <c r="S1434" s="37" t="s">
        <v>2142</v>
      </c>
      <c r="T1434" s="31"/>
    </row>
    <row r="1435" spans="1:20">
      <c r="A1435" s="31"/>
      <c r="B1435" s="32"/>
      <c r="C1435" s="33"/>
      <c r="D1435" s="32" t="s">
        <v>3156</v>
      </c>
      <c r="E1435" s="33" t="s">
        <v>116</v>
      </c>
      <c r="F1435" s="34">
        <v>1</v>
      </c>
      <c r="G1435" s="35">
        <v>0</v>
      </c>
      <c r="H1435" s="35">
        <v>0</v>
      </c>
      <c r="I1435" s="35">
        <f>Tabla1[[#This Row],[P.U. M.N.]]*Tabla1[[#This Row],[CANTIDADES DE REFERENCIA]]</f>
        <v>0</v>
      </c>
      <c r="J1435" s="35">
        <f>Tabla1[[#This Row],[P.U. USD]]*Tabla1[[#This Row],[CANTIDADES DE REFERENCIA]]</f>
        <v>0</v>
      </c>
      <c r="K1435" s="36"/>
      <c r="L1435" s="36"/>
      <c r="M1435" s="36"/>
      <c r="N1435" s="37" t="s">
        <v>89</v>
      </c>
      <c r="O1435" s="37" t="s">
        <v>90</v>
      </c>
      <c r="P1435" s="38"/>
      <c r="Q1435" s="37" t="s">
        <v>3157</v>
      </c>
      <c r="R1435" s="37"/>
      <c r="S1435" s="37" t="s">
        <v>2142</v>
      </c>
      <c r="T1435" s="31"/>
    </row>
    <row r="1436" spans="1:20">
      <c r="A1436" s="31"/>
      <c r="B1436" s="32"/>
      <c r="C1436" s="33"/>
      <c r="D1436" s="32" t="s">
        <v>3158</v>
      </c>
      <c r="E1436" s="33" t="s">
        <v>116</v>
      </c>
      <c r="F1436" s="34">
        <v>1</v>
      </c>
      <c r="G1436" s="35">
        <v>0</v>
      </c>
      <c r="H1436" s="35">
        <v>0</v>
      </c>
      <c r="I1436" s="35">
        <f>Tabla1[[#This Row],[P.U. M.N.]]*Tabla1[[#This Row],[CANTIDADES DE REFERENCIA]]</f>
        <v>0</v>
      </c>
      <c r="J1436" s="35">
        <f>Tabla1[[#This Row],[P.U. USD]]*Tabla1[[#This Row],[CANTIDADES DE REFERENCIA]]</f>
        <v>0</v>
      </c>
      <c r="K1436" s="36"/>
      <c r="L1436" s="36"/>
      <c r="M1436" s="36"/>
      <c r="N1436" s="37" t="s">
        <v>89</v>
      </c>
      <c r="O1436" s="37" t="s">
        <v>90</v>
      </c>
      <c r="P1436" s="38"/>
      <c r="Q1436" s="37" t="s">
        <v>3159</v>
      </c>
      <c r="R1436" s="37"/>
      <c r="S1436" s="37" t="s">
        <v>2142</v>
      </c>
      <c r="T1436" s="31"/>
    </row>
    <row r="1437" spans="1:20">
      <c r="A1437" s="31"/>
      <c r="B1437" s="32"/>
      <c r="C1437" s="33"/>
      <c r="D1437" s="32" t="s">
        <v>3160</v>
      </c>
      <c r="E1437" s="33" t="s">
        <v>135</v>
      </c>
      <c r="F1437" s="34">
        <v>1</v>
      </c>
      <c r="G1437" s="35">
        <v>0</v>
      </c>
      <c r="H1437" s="35">
        <v>0</v>
      </c>
      <c r="I1437" s="35">
        <f>Tabla1[[#This Row],[P.U. M.N.]]*Tabla1[[#This Row],[CANTIDADES DE REFERENCIA]]</f>
        <v>0</v>
      </c>
      <c r="J1437" s="35">
        <f>Tabla1[[#This Row],[P.U. USD]]*Tabla1[[#This Row],[CANTIDADES DE REFERENCIA]]</f>
        <v>0</v>
      </c>
      <c r="K1437" s="36"/>
      <c r="L1437" s="36"/>
      <c r="M1437" s="36"/>
      <c r="N1437" s="37" t="s">
        <v>89</v>
      </c>
      <c r="O1437" s="37" t="s">
        <v>90</v>
      </c>
      <c r="P1437" s="38"/>
      <c r="Q1437" s="37" t="s">
        <v>3161</v>
      </c>
      <c r="R1437" s="37"/>
      <c r="S1437" s="37" t="s">
        <v>2142</v>
      </c>
      <c r="T1437" s="31"/>
    </row>
    <row r="1438" spans="1:20">
      <c r="A1438" s="31"/>
      <c r="B1438" s="32"/>
      <c r="C1438" s="33"/>
      <c r="D1438" s="32" t="s">
        <v>3162</v>
      </c>
      <c r="E1438" s="33" t="s">
        <v>135</v>
      </c>
      <c r="F1438" s="34">
        <v>1</v>
      </c>
      <c r="G1438" s="35">
        <v>0</v>
      </c>
      <c r="H1438" s="35">
        <v>0</v>
      </c>
      <c r="I1438" s="35">
        <f>Tabla1[[#This Row],[P.U. M.N.]]*Tabla1[[#This Row],[CANTIDADES DE REFERENCIA]]</f>
        <v>0</v>
      </c>
      <c r="J1438" s="35">
        <f>Tabla1[[#This Row],[P.U. USD]]*Tabla1[[#This Row],[CANTIDADES DE REFERENCIA]]</f>
        <v>0</v>
      </c>
      <c r="K1438" s="36"/>
      <c r="L1438" s="36"/>
      <c r="M1438" s="36"/>
      <c r="N1438" s="37" t="s">
        <v>89</v>
      </c>
      <c r="O1438" s="37" t="s">
        <v>90</v>
      </c>
      <c r="P1438" s="38"/>
      <c r="Q1438" s="37" t="s">
        <v>3163</v>
      </c>
      <c r="R1438" s="37"/>
      <c r="S1438" s="37" t="s">
        <v>2142</v>
      </c>
      <c r="T1438" s="31"/>
    </row>
    <row r="1439" spans="1:20">
      <c r="A1439" s="31"/>
      <c r="B1439" s="32"/>
      <c r="C1439" s="33"/>
      <c r="D1439" s="32" t="s">
        <v>3164</v>
      </c>
      <c r="E1439" s="33" t="s">
        <v>116</v>
      </c>
      <c r="F1439" s="34">
        <v>1</v>
      </c>
      <c r="G1439" s="35">
        <v>0</v>
      </c>
      <c r="H1439" s="35">
        <v>0</v>
      </c>
      <c r="I1439" s="35">
        <f>Tabla1[[#This Row],[P.U. M.N.]]*Tabla1[[#This Row],[CANTIDADES DE REFERENCIA]]</f>
        <v>0</v>
      </c>
      <c r="J1439" s="35">
        <f>Tabla1[[#This Row],[P.U. USD]]*Tabla1[[#This Row],[CANTIDADES DE REFERENCIA]]</f>
        <v>0</v>
      </c>
      <c r="K1439" s="36"/>
      <c r="L1439" s="36"/>
      <c r="M1439" s="36"/>
      <c r="N1439" s="37" t="s">
        <v>89</v>
      </c>
      <c r="O1439" s="37" t="s">
        <v>90</v>
      </c>
      <c r="P1439" s="38"/>
      <c r="Q1439" s="37" t="s">
        <v>3165</v>
      </c>
      <c r="R1439" s="37"/>
      <c r="S1439" s="37" t="s">
        <v>2142</v>
      </c>
      <c r="T1439" s="31"/>
    </row>
    <row r="1440" spans="1:20">
      <c r="A1440" s="31"/>
      <c r="B1440" s="32"/>
      <c r="C1440" s="33"/>
      <c r="D1440" s="32" t="s">
        <v>3166</v>
      </c>
      <c r="E1440" s="33" t="s">
        <v>116</v>
      </c>
      <c r="F1440" s="34">
        <v>1</v>
      </c>
      <c r="G1440" s="35">
        <v>0</v>
      </c>
      <c r="H1440" s="35">
        <v>0</v>
      </c>
      <c r="I1440" s="35">
        <f>Tabla1[[#This Row],[P.U. M.N.]]*Tabla1[[#This Row],[CANTIDADES DE REFERENCIA]]</f>
        <v>0</v>
      </c>
      <c r="J1440" s="35">
        <f>Tabla1[[#This Row],[P.U. USD]]*Tabla1[[#This Row],[CANTIDADES DE REFERENCIA]]</f>
        <v>0</v>
      </c>
      <c r="K1440" s="36"/>
      <c r="L1440" s="36"/>
      <c r="M1440" s="36"/>
      <c r="N1440" s="37" t="s">
        <v>89</v>
      </c>
      <c r="O1440" s="37" t="s">
        <v>90</v>
      </c>
      <c r="P1440" s="38"/>
      <c r="Q1440" s="37" t="s">
        <v>3167</v>
      </c>
      <c r="R1440" s="37"/>
      <c r="S1440" s="37" t="s">
        <v>2142</v>
      </c>
      <c r="T1440" s="31"/>
    </row>
    <row r="1441" spans="1:20">
      <c r="A1441" s="31"/>
      <c r="B1441" s="32"/>
      <c r="C1441" s="33"/>
      <c r="D1441" s="32" t="s">
        <v>3168</v>
      </c>
      <c r="E1441" s="33" t="s">
        <v>116</v>
      </c>
      <c r="F1441" s="34">
        <v>1</v>
      </c>
      <c r="G1441" s="35">
        <v>0</v>
      </c>
      <c r="H1441" s="35">
        <v>0</v>
      </c>
      <c r="I1441" s="35">
        <f>Tabla1[[#This Row],[P.U. M.N.]]*Tabla1[[#This Row],[CANTIDADES DE REFERENCIA]]</f>
        <v>0</v>
      </c>
      <c r="J1441" s="35">
        <f>Tabla1[[#This Row],[P.U. USD]]*Tabla1[[#This Row],[CANTIDADES DE REFERENCIA]]</f>
        <v>0</v>
      </c>
      <c r="K1441" s="36"/>
      <c r="L1441" s="36"/>
      <c r="M1441" s="36"/>
      <c r="N1441" s="37" t="s">
        <v>89</v>
      </c>
      <c r="O1441" s="37" t="s">
        <v>90</v>
      </c>
      <c r="P1441" s="38"/>
      <c r="Q1441" s="37" t="s">
        <v>3169</v>
      </c>
      <c r="R1441" s="37"/>
      <c r="S1441" s="37" t="s">
        <v>2142</v>
      </c>
      <c r="T1441" s="31"/>
    </row>
    <row r="1442" spans="1:20">
      <c r="A1442" s="31"/>
      <c r="B1442" s="32"/>
      <c r="C1442" s="33"/>
      <c r="D1442" s="32" t="s">
        <v>3170</v>
      </c>
      <c r="E1442" s="33" t="s">
        <v>116</v>
      </c>
      <c r="F1442" s="34">
        <v>1</v>
      </c>
      <c r="G1442" s="35">
        <v>0</v>
      </c>
      <c r="H1442" s="35">
        <v>0</v>
      </c>
      <c r="I1442" s="35">
        <f>Tabla1[[#This Row],[P.U. M.N.]]*Tabla1[[#This Row],[CANTIDADES DE REFERENCIA]]</f>
        <v>0</v>
      </c>
      <c r="J1442" s="35">
        <f>Tabla1[[#This Row],[P.U. USD]]*Tabla1[[#This Row],[CANTIDADES DE REFERENCIA]]</f>
        <v>0</v>
      </c>
      <c r="K1442" s="36"/>
      <c r="L1442" s="36"/>
      <c r="M1442" s="36"/>
      <c r="N1442" s="37" t="s">
        <v>89</v>
      </c>
      <c r="O1442" s="37" t="s">
        <v>90</v>
      </c>
      <c r="P1442" s="38"/>
      <c r="Q1442" s="37" t="s">
        <v>3171</v>
      </c>
      <c r="R1442" s="37"/>
      <c r="S1442" s="37" t="s">
        <v>2142</v>
      </c>
      <c r="T1442" s="31"/>
    </row>
    <row r="1443" spans="1:20">
      <c r="A1443" s="31"/>
      <c r="B1443" s="32"/>
      <c r="C1443" s="33"/>
      <c r="D1443" s="32" t="s">
        <v>3172</v>
      </c>
      <c r="E1443" s="33" t="s">
        <v>116</v>
      </c>
      <c r="F1443" s="34">
        <v>1</v>
      </c>
      <c r="G1443" s="35">
        <v>0</v>
      </c>
      <c r="H1443" s="35">
        <v>0</v>
      </c>
      <c r="I1443" s="35">
        <f>Tabla1[[#This Row],[P.U. M.N.]]*Tabla1[[#This Row],[CANTIDADES DE REFERENCIA]]</f>
        <v>0</v>
      </c>
      <c r="J1443" s="35">
        <f>Tabla1[[#This Row],[P.U. USD]]*Tabla1[[#This Row],[CANTIDADES DE REFERENCIA]]</f>
        <v>0</v>
      </c>
      <c r="K1443" s="36"/>
      <c r="L1443" s="36"/>
      <c r="M1443" s="36"/>
      <c r="N1443" s="37" t="s">
        <v>89</v>
      </c>
      <c r="O1443" s="37" t="s">
        <v>90</v>
      </c>
      <c r="P1443" s="38"/>
      <c r="Q1443" s="37" t="s">
        <v>3173</v>
      </c>
      <c r="R1443" s="37"/>
      <c r="S1443" s="37" t="s">
        <v>2142</v>
      </c>
      <c r="T1443" s="31"/>
    </row>
    <row r="1444" spans="1:20">
      <c r="A1444" s="31"/>
      <c r="B1444" s="32"/>
      <c r="C1444" s="33"/>
      <c r="D1444" s="32" t="s">
        <v>3174</v>
      </c>
      <c r="E1444" s="33" t="s">
        <v>116</v>
      </c>
      <c r="F1444" s="34">
        <v>1</v>
      </c>
      <c r="G1444" s="35">
        <v>0</v>
      </c>
      <c r="H1444" s="35">
        <v>0</v>
      </c>
      <c r="I1444" s="35">
        <f>Tabla1[[#This Row],[P.U. M.N.]]*Tabla1[[#This Row],[CANTIDADES DE REFERENCIA]]</f>
        <v>0</v>
      </c>
      <c r="J1444" s="35">
        <f>Tabla1[[#This Row],[P.U. USD]]*Tabla1[[#This Row],[CANTIDADES DE REFERENCIA]]</f>
        <v>0</v>
      </c>
      <c r="K1444" s="36"/>
      <c r="L1444" s="36"/>
      <c r="M1444" s="36"/>
      <c r="N1444" s="37" t="s">
        <v>89</v>
      </c>
      <c r="O1444" s="37" t="s">
        <v>90</v>
      </c>
      <c r="P1444" s="38"/>
      <c r="Q1444" s="37" t="s">
        <v>3175</v>
      </c>
      <c r="R1444" s="37"/>
      <c r="S1444" s="37" t="s">
        <v>2142</v>
      </c>
      <c r="T1444" s="31"/>
    </row>
    <row r="1445" spans="1:20">
      <c r="A1445" s="31"/>
      <c r="B1445" s="32"/>
      <c r="C1445" s="33"/>
      <c r="D1445" s="32" t="s">
        <v>3176</v>
      </c>
      <c r="E1445" s="33" t="s">
        <v>116</v>
      </c>
      <c r="F1445" s="34">
        <v>1</v>
      </c>
      <c r="G1445" s="35">
        <v>0</v>
      </c>
      <c r="H1445" s="35">
        <v>0</v>
      </c>
      <c r="I1445" s="35">
        <f>Tabla1[[#This Row],[P.U. M.N.]]*Tabla1[[#This Row],[CANTIDADES DE REFERENCIA]]</f>
        <v>0</v>
      </c>
      <c r="J1445" s="35">
        <f>Tabla1[[#This Row],[P.U. USD]]*Tabla1[[#This Row],[CANTIDADES DE REFERENCIA]]</f>
        <v>0</v>
      </c>
      <c r="K1445" s="36"/>
      <c r="L1445" s="36"/>
      <c r="M1445" s="36"/>
      <c r="N1445" s="37" t="s">
        <v>79</v>
      </c>
      <c r="O1445" s="37" t="s">
        <v>80</v>
      </c>
      <c r="P1445" s="38"/>
      <c r="Q1445" s="37" t="s">
        <v>3177</v>
      </c>
      <c r="R1445" s="37"/>
      <c r="S1445" s="37" t="s">
        <v>82</v>
      </c>
      <c r="T1445" s="31"/>
    </row>
    <row r="1446" spans="1:20">
      <c r="A1446" s="31"/>
      <c r="B1446" s="32"/>
      <c r="C1446" s="33"/>
      <c r="D1446" s="32" t="s">
        <v>3178</v>
      </c>
      <c r="E1446" s="33" t="s">
        <v>116</v>
      </c>
      <c r="F1446" s="34">
        <v>1</v>
      </c>
      <c r="G1446" s="35">
        <v>0</v>
      </c>
      <c r="H1446" s="35">
        <v>0</v>
      </c>
      <c r="I1446" s="35">
        <f>Tabla1[[#This Row],[P.U. M.N.]]*Tabla1[[#This Row],[CANTIDADES DE REFERENCIA]]</f>
        <v>0</v>
      </c>
      <c r="J1446" s="35">
        <f>Tabla1[[#This Row],[P.U. USD]]*Tabla1[[#This Row],[CANTIDADES DE REFERENCIA]]</f>
        <v>0</v>
      </c>
      <c r="K1446" s="36"/>
      <c r="L1446" s="36"/>
      <c r="M1446" s="36"/>
      <c r="N1446" s="37" t="s">
        <v>117</v>
      </c>
      <c r="O1446" s="37" t="s">
        <v>118</v>
      </c>
      <c r="P1446" s="38"/>
      <c r="Q1446" s="37" t="s">
        <v>3179</v>
      </c>
      <c r="R1446" s="37"/>
      <c r="S1446" s="37" t="s">
        <v>120</v>
      </c>
      <c r="T1446" s="31"/>
    </row>
    <row r="1447" spans="1:20">
      <c r="A1447" s="31"/>
      <c r="B1447" s="32"/>
      <c r="C1447" s="33"/>
      <c r="D1447" s="32" t="s">
        <v>3180</v>
      </c>
      <c r="E1447" s="33" t="s">
        <v>116</v>
      </c>
      <c r="F1447" s="34">
        <v>1</v>
      </c>
      <c r="G1447" s="35">
        <v>0</v>
      </c>
      <c r="H1447" s="35">
        <v>0</v>
      </c>
      <c r="I1447" s="35">
        <f>Tabla1[[#This Row],[P.U. M.N.]]*Tabla1[[#This Row],[CANTIDADES DE REFERENCIA]]</f>
        <v>0</v>
      </c>
      <c r="J1447" s="35">
        <f>Tabla1[[#This Row],[P.U. USD]]*Tabla1[[#This Row],[CANTIDADES DE REFERENCIA]]</f>
        <v>0</v>
      </c>
      <c r="K1447" s="36"/>
      <c r="L1447" s="36"/>
      <c r="M1447" s="36"/>
      <c r="N1447" s="37" t="s">
        <v>31</v>
      </c>
      <c r="O1447" s="37"/>
      <c r="P1447" s="38"/>
      <c r="Q1447" s="37" t="s">
        <v>3181</v>
      </c>
      <c r="R1447" s="37" t="s">
        <v>389</v>
      </c>
      <c r="S1447" s="37" t="s">
        <v>33</v>
      </c>
      <c r="T1447" s="31"/>
    </row>
    <row r="1448" spans="1:20">
      <c r="A1448" s="31"/>
      <c r="B1448" s="32"/>
      <c r="C1448" s="33"/>
      <c r="D1448" s="32" t="s">
        <v>3182</v>
      </c>
      <c r="E1448" s="33" t="s">
        <v>116</v>
      </c>
      <c r="F1448" s="34">
        <v>1</v>
      </c>
      <c r="G1448" s="35">
        <v>0</v>
      </c>
      <c r="H1448" s="35">
        <v>0</v>
      </c>
      <c r="I1448" s="35">
        <f>Tabla1[[#This Row],[P.U. M.N.]]*Tabla1[[#This Row],[CANTIDADES DE REFERENCIA]]</f>
        <v>0</v>
      </c>
      <c r="J1448" s="35">
        <f>Tabla1[[#This Row],[P.U. USD]]*Tabla1[[#This Row],[CANTIDADES DE REFERENCIA]]</f>
        <v>0</v>
      </c>
      <c r="K1448" s="36"/>
      <c r="L1448" s="36"/>
      <c r="M1448" s="36"/>
      <c r="N1448" s="37" t="s">
        <v>31</v>
      </c>
      <c r="O1448" s="37"/>
      <c r="P1448" s="38"/>
      <c r="Q1448" s="37" t="s">
        <v>3183</v>
      </c>
      <c r="R1448" s="37" t="s">
        <v>389</v>
      </c>
      <c r="S1448" s="37" t="s">
        <v>33</v>
      </c>
      <c r="T1448" s="31"/>
    </row>
    <row r="1449" spans="1:20">
      <c r="A1449" s="31"/>
      <c r="B1449" s="32"/>
      <c r="C1449" s="33"/>
      <c r="D1449" s="32" t="s">
        <v>3184</v>
      </c>
      <c r="E1449" s="33" t="s">
        <v>116</v>
      </c>
      <c r="F1449" s="34">
        <v>1</v>
      </c>
      <c r="G1449" s="35">
        <v>0</v>
      </c>
      <c r="H1449" s="35">
        <v>0</v>
      </c>
      <c r="I1449" s="35">
        <f>Tabla1[[#This Row],[P.U. M.N.]]*Tabla1[[#This Row],[CANTIDADES DE REFERENCIA]]</f>
        <v>0</v>
      </c>
      <c r="J1449" s="35">
        <f>Tabla1[[#This Row],[P.U. USD]]*Tabla1[[#This Row],[CANTIDADES DE REFERENCIA]]</f>
        <v>0</v>
      </c>
      <c r="K1449" s="36"/>
      <c r="L1449" s="36"/>
      <c r="M1449" s="36"/>
      <c r="N1449" s="37" t="s">
        <v>31</v>
      </c>
      <c r="O1449" s="37"/>
      <c r="P1449" s="38"/>
      <c r="Q1449" s="37" t="s">
        <v>3185</v>
      </c>
      <c r="R1449" s="37" t="s">
        <v>389</v>
      </c>
      <c r="S1449" s="37" t="s">
        <v>33</v>
      </c>
      <c r="T1449" s="31"/>
    </row>
    <row r="1450" spans="1:20">
      <c r="A1450" s="31"/>
      <c r="B1450" s="32"/>
      <c r="C1450" s="33"/>
      <c r="D1450" s="32" t="s">
        <v>3186</v>
      </c>
      <c r="E1450" s="33" t="s">
        <v>116</v>
      </c>
      <c r="F1450" s="34">
        <v>1</v>
      </c>
      <c r="G1450" s="35">
        <v>0</v>
      </c>
      <c r="H1450" s="35">
        <v>0</v>
      </c>
      <c r="I1450" s="35">
        <f>Tabla1[[#This Row],[P.U. M.N.]]*Tabla1[[#This Row],[CANTIDADES DE REFERENCIA]]</f>
        <v>0</v>
      </c>
      <c r="J1450" s="35">
        <f>Tabla1[[#This Row],[P.U. USD]]*Tabla1[[#This Row],[CANTIDADES DE REFERENCIA]]</f>
        <v>0</v>
      </c>
      <c r="K1450" s="36"/>
      <c r="L1450" s="36"/>
      <c r="M1450" s="36"/>
      <c r="N1450" s="37" t="s">
        <v>31</v>
      </c>
      <c r="O1450" s="37"/>
      <c r="P1450" s="38"/>
      <c r="Q1450" s="37" t="s">
        <v>3187</v>
      </c>
      <c r="R1450" s="37" t="s">
        <v>389</v>
      </c>
      <c r="S1450" s="37" t="s">
        <v>33</v>
      </c>
      <c r="T1450" s="31"/>
    </row>
    <row r="1451" spans="1:20">
      <c r="A1451" s="31"/>
      <c r="B1451" s="32"/>
      <c r="C1451" s="33"/>
      <c r="D1451" s="32" t="s">
        <v>3188</v>
      </c>
      <c r="E1451" s="33" t="s">
        <v>116</v>
      </c>
      <c r="F1451" s="34">
        <v>1</v>
      </c>
      <c r="G1451" s="35">
        <v>0</v>
      </c>
      <c r="H1451" s="35">
        <v>0</v>
      </c>
      <c r="I1451" s="35">
        <f>Tabla1[[#This Row],[P.U. M.N.]]*Tabla1[[#This Row],[CANTIDADES DE REFERENCIA]]</f>
        <v>0</v>
      </c>
      <c r="J1451" s="35">
        <f>Tabla1[[#This Row],[P.U. USD]]*Tabla1[[#This Row],[CANTIDADES DE REFERENCIA]]</f>
        <v>0</v>
      </c>
      <c r="K1451" s="36"/>
      <c r="L1451" s="36"/>
      <c r="M1451" s="36"/>
      <c r="N1451" s="37" t="s">
        <v>31</v>
      </c>
      <c r="O1451" s="37"/>
      <c r="P1451" s="38"/>
      <c r="Q1451" s="37" t="s">
        <v>3189</v>
      </c>
      <c r="R1451" s="37" t="s">
        <v>389</v>
      </c>
      <c r="S1451" s="37" t="s">
        <v>33</v>
      </c>
      <c r="T1451" s="31"/>
    </row>
    <row r="1452" spans="1:20">
      <c r="A1452" s="31"/>
      <c r="B1452" s="32"/>
      <c r="C1452" s="33"/>
      <c r="D1452" s="32" t="s">
        <v>3190</v>
      </c>
      <c r="E1452" s="33" t="s">
        <v>116</v>
      </c>
      <c r="F1452" s="34">
        <v>1</v>
      </c>
      <c r="G1452" s="35">
        <v>0</v>
      </c>
      <c r="H1452" s="35">
        <v>0</v>
      </c>
      <c r="I1452" s="35">
        <f>Tabla1[[#This Row],[P.U. M.N.]]*Tabla1[[#This Row],[CANTIDADES DE REFERENCIA]]</f>
        <v>0</v>
      </c>
      <c r="J1452" s="35">
        <f>Tabla1[[#This Row],[P.U. USD]]*Tabla1[[#This Row],[CANTIDADES DE REFERENCIA]]</f>
        <v>0</v>
      </c>
      <c r="K1452" s="36"/>
      <c r="L1452" s="36"/>
      <c r="M1452" s="36"/>
      <c r="N1452" s="37" t="s">
        <v>31</v>
      </c>
      <c r="O1452" s="37"/>
      <c r="P1452" s="38"/>
      <c r="Q1452" s="37" t="s">
        <v>3191</v>
      </c>
      <c r="R1452" s="37" t="s">
        <v>389</v>
      </c>
      <c r="S1452" s="37" t="s">
        <v>33</v>
      </c>
      <c r="T1452" s="31"/>
    </row>
    <row r="1453" spans="1:20">
      <c r="A1453" s="31"/>
      <c r="B1453" s="32"/>
      <c r="C1453" s="33"/>
      <c r="D1453" s="32" t="s">
        <v>3192</v>
      </c>
      <c r="E1453" s="33" t="s">
        <v>116</v>
      </c>
      <c r="F1453" s="34">
        <v>1</v>
      </c>
      <c r="G1453" s="35">
        <v>0</v>
      </c>
      <c r="H1453" s="35">
        <v>0</v>
      </c>
      <c r="I1453" s="35">
        <f>Tabla1[[#This Row],[P.U. M.N.]]*Tabla1[[#This Row],[CANTIDADES DE REFERENCIA]]</f>
        <v>0</v>
      </c>
      <c r="J1453" s="35">
        <f>Tabla1[[#This Row],[P.U. USD]]*Tabla1[[#This Row],[CANTIDADES DE REFERENCIA]]</f>
        <v>0</v>
      </c>
      <c r="K1453" s="36"/>
      <c r="L1453" s="36"/>
      <c r="M1453" s="36"/>
      <c r="N1453" s="37" t="s">
        <v>31</v>
      </c>
      <c r="O1453" s="37"/>
      <c r="P1453" s="38"/>
      <c r="Q1453" s="37" t="s">
        <v>3193</v>
      </c>
      <c r="R1453" s="37" t="s">
        <v>389</v>
      </c>
      <c r="S1453" s="37" t="s">
        <v>33</v>
      </c>
      <c r="T1453" s="31"/>
    </row>
    <row r="1454" spans="1:20">
      <c r="A1454" s="31"/>
      <c r="B1454" s="32"/>
      <c r="C1454" s="33"/>
      <c r="D1454" s="32" t="s">
        <v>3194</v>
      </c>
      <c r="E1454" s="33" t="s">
        <v>116</v>
      </c>
      <c r="F1454" s="34">
        <v>1</v>
      </c>
      <c r="G1454" s="35">
        <v>0</v>
      </c>
      <c r="H1454" s="35">
        <v>0</v>
      </c>
      <c r="I1454" s="35">
        <f>Tabla1[[#This Row],[P.U. M.N.]]*Tabla1[[#This Row],[CANTIDADES DE REFERENCIA]]</f>
        <v>0</v>
      </c>
      <c r="J1454" s="35">
        <f>Tabla1[[#This Row],[P.U. USD]]*Tabla1[[#This Row],[CANTIDADES DE REFERENCIA]]</f>
        <v>0</v>
      </c>
      <c r="K1454" s="36"/>
      <c r="L1454" s="36"/>
      <c r="M1454" s="36"/>
      <c r="N1454" s="37" t="s">
        <v>31</v>
      </c>
      <c r="O1454" s="37"/>
      <c r="P1454" s="38"/>
      <c r="Q1454" s="37" t="s">
        <v>3195</v>
      </c>
      <c r="R1454" s="37" t="s">
        <v>389</v>
      </c>
      <c r="S1454" s="37" t="s">
        <v>33</v>
      </c>
      <c r="T1454" s="31"/>
    </row>
    <row r="1455" spans="1:20">
      <c r="A1455" s="31"/>
      <c r="B1455" s="32"/>
      <c r="C1455" s="33"/>
      <c r="D1455" s="32" t="s">
        <v>3196</v>
      </c>
      <c r="E1455" s="33" t="s">
        <v>116</v>
      </c>
      <c r="F1455" s="34">
        <v>1</v>
      </c>
      <c r="G1455" s="35">
        <v>0</v>
      </c>
      <c r="H1455" s="35">
        <v>0</v>
      </c>
      <c r="I1455" s="35">
        <f>Tabla1[[#This Row],[P.U. M.N.]]*Tabla1[[#This Row],[CANTIDADES DE REFERENCIA]]</f>
        <v>0</v>
      </c>
      <c r="J1455" s="35">
        <f>Tabla1[[#This Row],[P.U. USD]]*Tabla1[[#This Row],[CANTIDADES DE REFERENCIA]]</f>
        <v>0</v>
      </c>
      <c r="K1455" s="36"/>
      <c r="L1455" s="36"/>
      <c r="M1455" s="36"/>
      <c r="N1455" s="37" t="s">
        <v>31</v>
      </c>
      <c r="O1455" s="37"/>
      <c r="P1455" s="38"/>
      <c r="Q1455" s="37" t="s">
        <v>3197</v>
      </c>
      <c r="R1455" s="37" t="s">
        <v>389</v>
      </c>
      <c r="S1455" s="37" t="s">
        <v>33</v>
      </c>
      <c r="T1455" s="31"/>
    </row>
    <row r="1456" spans="1:20">
      <c r="A1456" s="31"/>
      <c r="B1456" s="32"/>
      <c r="C1456" s="33"/>
      <c r="D1456" s="32" t="s">
        <v>3198</v>
      </c>
      <c r="E1456" s="33" t="s">
        <v>42</v>
      </c>
      <c r="F1456" s="34">
        <v>1</v>
      </c>
      <c r="G1456" s="35">
        <v>0</v>
      </c>
      <c r="H1456" s="35">
        <v>0</v>
      </c>
      <c r="I1456" s="35">
        <f>Tabla1[[#This Row],[P.U. M.N.]]*Tabla1[[#This Row],[CANTIDADES DE REFERENCIA]]</f>
        <v>0</v>
      </c>
      <c r="J1456" s="35">
        <f>Tabla1[[#This Row],[P.U. USD]]*Tabla1[[#This Row],[CANTIDADES DE REFERENCIA]]</f>
        <v>0</v>
      </c>
      <c r="K1456" s="36"/>
      <c r="L1456" s="36"/>
      <c r="M1456" s="36"/>
      <c r="N1456" s="37" t="s">
        <v>2647</v>
      </c>
      <c r="O1456" s="37" t="s">
        <v>2648</v>
      </c>
      <c r="P1456" s="38"/>
      <c r="Q1456" s="37" t="s">
        <v>3199</v>
      </c>
      <c r="R1456" s="37" t="s">
        <v>58</v>
      </c>
      <c r="S1456" s="37" t="s">
        <v>2207</v>
      </c>
      <c r="T1456" s="31"/>
    </row>
    <row r="1457" spans="1:20">
      <c r="A1457" s="31"/>
      <c r="B1457" s="32"/>
      <c r="C1457" s="33"/>
      <c r="D1457" s="32" t="s">
        <v>3200</v>
      </c>
      <c r="E1457" s="33" t="s">
        <v>116</v>
      </c>
      <c r="F1457" s="34">
        <v>1</v>
      </c>
      <c r="G1457" s="35">
        <v>0</v>
      </c>
      <c r="H1457" s="35">
        <v>0</v>
      </c>
      <c r="I1457" s="35">
        <f>Tabla1[[#This Row],[P.U. M.N.]]*Tabla1[[#This Row],[CANTIDADES DE REFERENCIA]]</f>
        <v>0</v>
      </c>
      <c r="J1457" s="35">
        <f>Tabla1[[#This Row],[P.U. USD]]*Tabla1[[#This Row],[CANTIDADES DE REFERENCIA]]</f>
        <v>0</v>
      </c>
      <c r="K1457" s="36"/>
      <c r="L1457" s="36"/>
      <c r="M1457" s="36"/>
      <c r="N1457" s="37" t="s">
        <v>89</v>
      </c>
      <c r="O1457" s="37" t="s">
        <v>90</v>
      </c>
      <c r="P1457" s="38"/>
      <c r="Q1457" s="37" t="s">
        <v>3201</v>
      </c>
      <c r="R1457" s="37" t="s">
        <v>58</v>
      </c>
      <c r="S1457" s="37" t="s">
        <v>92</v>
      </c>
      <c r="T1457" s="31"/>
    </row>
    <row r="1458" spans="1:20">
      <c r="A1458" s="31"/>
      <c r="B1458" s="32"/>
      <c r="C1458" s="33"/>
      <c r="D1458" s="32" t="s">
        <v>3202</v>
      </c>
      <c r="E1458" s="33" t="s">
        <v>116</v>
      </c>
      <c r="F1458" s="34">
        <v>1</v>
      </c>
      <c r="G1458" s="35">
        <v>0</v>
      </c>
      <c r="H1458" s="35">
        <v>0</v>
      </c>
      <c r="I1458" s="35">
        <f>Tabla1[[#This Row],[P.U. M.N.]]*Tabla1[[#This Row],[CANTIDADES DE REFERENCIA]]</f>
        <v>0</v>
      </c>
      <c r="J1458" s="35">
        <f>Tabla1[[#This Row],[P.U. USD]]*Tabla1[[#This Row],[CANTIDADES DE REFERENCIA]]</f>
        <v>0</v>
      </c>
      <c r="K1458" s="36"/>
      <c r="L1458" s="36"/>
      <c r="M1458" s="36"/>
      <c r="N1458" s="37" t="s">
        <v>117</v>
      </c>
      <c r="O1458" s="37" t="s">
        <v>118</v>
      </c>
      <c r="P1458" s="38"/>
      <c r="Q1458" s="37" t="s">
        <v>3203</v>
      </c>
      <c r="R1458" s="37"/>
      <c r="S1458" s="37" t="s">
        <v>120</v>
      </c>
      <c r="T1458" s="31"/>
    </row>
    <row r="1459" spans="1:20">
      <c r="A1459" s="31"/>
      <c r="B1459" s="32"/>
      <c r="C1459" s="33"/>
      <c r="D1459" s="32" t="s">
        <v>3204</v>
      </c>
      <c r="E1459" s="33" t="s">
        <v>116</v>
      </c>
      <c r="F1459" s="34">
        <v>1</v>
      </c>
      <c r="G1459" s="35">
        <v>0</v>
      </c>
      <c r="H1459" s="35">
        <v>0</v>
      </c>
      <c r="I1459" s="35">
        <f>Tabla1[[#This Row],[P.U. M.N.]]*Tabla1[[#This Row],[CANTIDADES DE REFERENCIA]]</f>
        <v>0</v>
      </c>
      <c r="J1459" s="35">
        <f>Tabla1[[#This Row],[P.U. USD]]*Tabla1[[#This Row],[CANTIDADES DE REFERENCIA]]</f>
        <v>0</v>
      </c>
      <c r="K1459" s="36"/>
      <c r="L1459" s="36"/>
      <c r="M1459" s="36"/>
      <c r="N1459" s="37" t="s">
        <v>89</v>
      </c>
      <c r="O1459" s="37" t="s">
        <v>90</v>
      </c>
      <c r="P1459" s="38"/>
      <c r="Q1459" s="37" t="s">
        <v>3205</v>
      </c>
      <c r="R1459" s="37" t="s">
        <v>58</v>
      </c>
      <c r="S1459" s="37" t="s">
        <v>92</v>
      </c>
      <c r="T1459" s="31"/>
    </row>
    <row r="1460" spans="1:20">
      <c r="A1460" s="31"/>
      <c r="B1460" s="32"/>
      <c r="C1460" s="33"/>
      <c r="D1460" s="32" t="s">
        <v>3206</v>
      </c>
      <c r="E1460" s="33" t="s">
        <v>116</v>
      </c>
      <c r="F1460" s="34">
        <v>1</v>
      </c>
      <c r="G1460" s="35">
        <v>0</v>
      </c>
      <c r="H1460" s="35">
        <v>0</v>
      </c>
      <c r="I1460" s="35">
        <f>Tabla1[[#This Row],[P.U. M.N.]]*Tabla1[[#This Row],[CANTIDADES DE REFERENCIA]]</f>
        <v>0</v>
      </c>
      <c r="J1460" s="35">
        <f>Tabla1[[#This Row],[P.U. USD]]*Tabla1[[#This Row],[CANTIDADES DE REFERENCIA]]</f>
        <v>0</v>
      </c>
      <c r="K1460" s="36"/>
      <c r="L1460" s="36"/>
      <c r="M1460" s="36"/>
      <c r="N1460" s="37" t="s">
        <v>89</v>
      </c>
      <c r="O1460" s="37" t="s">
        <v>90</v>
      </c>
      <c r="P1460" s="38"/>
      <c r="Q1460" s="37" t="s">
        <v>3207</v>
      </c>
      <c r="R1460" s="37"/>
      <c r="S1460" s="37" t="s">
        <v>2142</v>
      </c>
      <c r="T1460" s="31"/>
    </row>
    <row r="1461" spans="1:20">
      <c r="A1461" s="31"/>
      <c r="B1461" s="32"/>
      <c r="C1461" s="33"/>
      <c r="D1461" s="32" t="s">
        <v>3208</v>
      </c>
      <c r="E1461" s="33" t="s">
        <v>367</v>
      </c>
      <c r="F1461" s="34">
        <v>1</v>
      </c>
      <c r="G1461" s="35">
        <v>0</v>
      </c>
      <c r="H1461" s="35">
        <v>0</v>
      </c>
      <c r="I1461" s="35">
        <f>Tabla1[[#This Row],[P.U. M.N.]]*Tabla1[[#This Row],[CANTIDADES DE REFERENCIA]]</f>
        <v>0</v>
      </c>
      <c r="J1461" s="35">
        <f>Tabla1[[#This Row],[P.U. USD]]*Tabla1[[#This Row],[CANTIDADES DE REFERENCIA]]</f>
        <v>0</v>
      </c>
      <c r="K1461" s="36"/>
      <c r="L1461" s="36"/>
      <c r="M1461" s="36"/>
      <c r="N1461" s="37" t="s">
        <v>117</v>
      </c>
      <c r="O1461" s="37" t="s">
        <v>118</v>
      </c>
      <c r="P1461" s="38"/>
      <c r="Q1461" s="37" t="s">
        <v>3209</v>
      </c>
      <c r="R1461" s="37"/>
      <c r="S1461" s="37" t="s">
        <v>120</v>
      </c>
      <c r="T1461" s="31"/>
    </row>
    <row r="1462" spans="1:20">
      <c r="A1462" s="31"/>
      <c r="B1462" s="32"/>
      <c r="C1462" s="33"/>
      <c r="D1462" s="32" t="s">
        <v>3210</v>
      </c>
      <c r="E1462" s="33" t="s">
        <v>116</v>
      </c>
      <c r="F1462" s="34">
        <v>1</v>
      </c>
      <c r="G1462" s="35">
        <v>0</v>
      </c>
      <c r="H1462" s="35">
        <v>0</v>
      </c>
      <c r="I1462" s="35">
        <f>Tabla1[[#This Row],[P.U. M.N.]]*Tabla1[[#This Row],[CANTIDADES DE REFERENCIA]]</f>
        <v>0</v>
      </c>
      <c r="J1462" s="35">
        <f>Tabla1[[#This Row],[P.U. USD]]*Tabla1[[#This Row],[CANTIDADES DE REFERENCIA]]</f>
        <v>0</v>
      </c>
      <c r="K1462" s="36"/>
      <c r="L1462" s="36"/>
      <c r="M1462" s="36"/>
      <c r="N1462" s="37" t="s">
        <v>89</v>
      </c>
      <c r="O1462" s="37" t="s">
        <v>90</v>
      </c>
      <c r="P1462" s="38"/>
      <c r="Q1462" s="37" t="s">
        <v>3211</v>
      </c>
      <c r="R1462" s="37"/>
      <c r="S1462" s="37" t="s">
        <v>2142</v>
      </c>
      <c r="T1462" s="31"/>
    </row>
    <row r="1463" spans="1:20">
      <c r="A1463" s="31"/>
      <c r="B1463" s="32"/>
      <c r="C1463" s="33"/>
      <c r="D1463" s="32" t="s">
        <v>3212</v>
      </c>
      <c r="E1463" s="33" t="s">
        <v>116</v>
      </c>
      <c r="F1463" s="34">
        <v>1</v>
      </c>
      <c r="G1463" s="35">
        <v>0</v>
      </c>
      <c r="H1463" s="35">
        <v>0</v>
      </c>
      <c r="I1463" s="35">
        <f>Tabla1[[#This Row],[P.U. M.N.]]*Tabla1[[#This Row],[CANTIDADES DE REFERENCIA]]</f>
        <v>0</v>
      </c>
      <c r="J1463" s="35">
        <f>Tabla1[[#This Row],[P.U. USD]]*Tabla1[[#This Row],[CANTIDADES DE REFERENCIA]]</f>
        <v>0</v>
      </c>
      <c r="K1463" s="36"/>
      <c r="L1463" s="36"/>
      <c r="M1463" s="36"/>
      <c r="N1463" s="37" t="s">
        <v>89</v>
      </c>
      <c r="O1463" s="37" t="s">
        <v>90</v>
      </c>
      <c r="P1463" s="38"/>
      <c r="Q1463" s="37" t="s">
        <v>3213</v>
      </c>
      <c r="R1463" s="37"/>
      <c r="S1463" s="37" t="s">
        <v>2142</v>
      </c>
      <c r="T1463" s="31"/>
    </row>
    <row r="1464" spans="1:20">
      <c r="A1464" s="31"/>
      <c r="B1464" s="32"/>
      <c r="C1464" s="33"/>
      <c r="D1464" s="32" t="s">
        <v>3214</v>
      </c>
      <c r="E1464" s="33" t="s">
        <v>116</v>
      </c>
      <c r="F1464" s="34">
        <v>1</v>
      </c>
      <c r="G1464" s="35">
        <v>0</v>
      </c>
      <c r="H1464" s="35">
        <v>0</v>
      </c>
      <c r="I1464" s="35">
        <f>Tabla1[[#This Row],[P.U. M.N.]]*Tabla1[[#This Row],[CANTIDADES DE REFERENCIA]]</f>
        <v>0</v>
      </c>
      <c r="J1464" s="35">
        <f>Tabla1[[#This Row],[P.U. USD]]*Tabla1[[#This Row],[CANTIDADES DE REFERENCIA]]</f>
        <v>0</v>
      </c>
      <c r="K1464" s="36"/>
      <c r="L1464" s="36"/>
      <c r="M1464" s="36"/>
      <c r="N1464" s="37" t="s">
        <v>89</v>
      </c>
      <c r="O1464" s="37" t="s">
        <v>90</v>
      </c>
      <c r="P1464" s="38"/>
      <c r="Q1464" s="37" t="s">
        <v>3215</v>
      </c>
      <c r="R1464" s="37"/>
      <c r="S1464" s="37" t="s">
        <v>2142</v>
      </c>
      <c r="T1464" s="31"/>
    </row>
    <row r="1465" spans="1:20">
      <c r="A1465" s="31"/>
      <c r="B1465" s="32"/>
      <c r="C1465" s="33"/>
      <c r="D1465" s="32" t="s">
        <v>3216</v>
      </c>
      <c r="E1465" s="33" t="s">
        <v>116</v>
      </c>
      <c r="F1465" s="34">
        <v>1</v>
      </c>
      <c r="G1465" s="35">
        <v>0</v>
      </c>
      <c r="H1465" s="35">
        <v>0</v>
      </c>
      <c r="I1465" s="35">
        <f>Tabla1[[#This Row],[P.U. M.N.]]*Tabla1[[#This Row],[CANTIDADES DE REFERENCIA]]</f>
        <v>0</v>
      </c>
      <c r="J1465" s="35">
        <f>Tabla1[[#This Row],[P.U. USD]]*Tabla1[[#This Row],[CANTIDADES DE REFERENCIA]]</f>
        <v>0</v>
      </c>
      <c r="K1465" s="36"/>
      <c r="L1465" s="36"/>
      <c r="M1465" s="36"/>
      <c r="N1465" s="37" t="s">
        <v>89</v>
      </c>
      <c r="O1465" s="37" t="s">
        <v>90</v>
      </c>
      <c r="P1465" s="38"/>
      <c r="Q1465" s="37" t="s">
        <v>3217</v>
      </c>
      <c r="R1465" s="37"/>
      <c r="S1465" s="37" t="s">
        <v>2142</v>
      </c>
      <c r="T1465" s="31"/>
    </row>
    <row r="1466" spans="1:20">
      <c r="A1466" s="31"/>
      <c r="B1466" s="32"/>
      <c r="C1466" s="33"/>
      <c r="D1466" s="32" t="s">
        <v>3216</v>
      </c>
      <c r="E1466" s="33" t="s">
        <v>116</v>
      </c>
      <c r="F1466" s="34">
        <v>1</v>
      </c>
      <c r="G1466" s="35">
        <v>0</v>
      </c>
      <c r="H1466" s="35">
        <v>0</v>
      </c>
      <c r="I1466" s="35">
        <f>Tabla1[[#This Row],[P.U. M.N.]]*Tabla1[[#This Row],[CANTIDADES DE REFERENCIA]]</f>
        <v>0</v>
      </c>
      <c r="J1466" s="35">
        <f>Tabla1[[#This Row],[P.U. USD]]*Tabla1[[#This Row],[CANTIDADES DE REFERENCIA]]</f>
        <v>0</v>
      </c>
      <c r="K1466" s="36"/>
      <c r="L1466" s="36"/>
      <c r="M1466" s="36"/>
      <c r="N1466" s="37" t="s">
        <v>89</v>
      </c>
      <c r="O1466" s="37" t="s">
        <v>90</v>
      </c>
      <c r="P1466" s="38"/>
      <c r="Q1466" s="37" t="s">
        <v>3218</v>
      </c>
      <c r="R1466" s="37"/>
      <c r="S1466" s="37" t="s">
        <v>2142</v>
      </c>
      <c r="T1466" s="31"/>
    </row>
    <row r="1467" spans="1:20">
      <c r="A1467" s="31"/>
      <c r="B1467" s="32"/>
      <c r="C1467" s="33"/>
      <c r="D1467" s="32" t="s">
        <v>3219</v>
      </c>
      <c r="E1467" s="33" t="s">
        <v>116</v>
      </c>
      <c r="F1467" s="34">
        <v>1</v>
      </c>
      <c r="G1467" s="35">
        <v>0</v>
      </c>
      <c r="H1467" s="35">
        <v>0</v>
      </c>
      <c r="I1467" s="35">
        <f>Tabla1[[#This Row],[P.U. M.N.]]*Tabla1[[#This Row],[CANTIDADES DE REFERENCIA]]</f>
        <v>0</v>
      </c>
      <c r="J1467" s="35">
        <f>Tabla1[[#This Row],[P.U. USD]]*Tabla1[[#This Row],[CANTIDADES DE REFERENCIA]]</f>
        <v>0</v>
      </c>
      <c r="K1467" s="36"/>
      <c r="L1467" s="36"/>
      <c r="M1467" s="36"/>
      <c r="N1467" s="37" t="s">
        <v>89</v>
      </c>
      <c r="O1467" s="37" t="s">
        <v>90</v>
      </c>
      <c r="P1467" s="38"/>
      <c r="Q1467" s="37" t="s">
        <v>3220</v>
      </c>
      <c r="R1467" s="37"/>
      <c r="S1467" s="37" t="s">
        <v>2142</v>
      </c>
      <c r="T1467" s="31"/>
    </row>
    <row r="1468" spans="1:20">
      <c r="A1468" s="31"/>
      <c r="B1468" s="32"/>
      <c r="C1468" s="33"/>
      <c r="D1468" s="32" t="s">
        <v>3221</v>
      </c>
      <c r="E1468" s="33" t="s">
        <v>116</v>
      </c>
      <c r="F1468" s="34">
        <v>1</v>
      </c>
      <c r="G1468" s="35">
        <v>0</v>
      </c>
      <c r="H1468" s="35">
        <v>0</v>
      </c>
      <c r="I1468" s="35">
        <f>Tabla1[[#This Row],[P.U. M.N.]]*Tabla1[[#This Row],[CANTIDADES DE REFERENCIA]]</f>
        <v>0</v>
      </c>
      <c r="J1468" s="35">
        <f>Tabla1[[#This Row],[P.U. USD]]*Tabla1[[#This Row],[CANTIDADES DE REFERENCIA]]</f>
        <v>0</v>
      </c>
      <c r="K1468" s="36"/>
      <c r="L1468" s="36"/>
      <c r="M1468" s="36"/>
      <c r="N1468" s="37" t="s">
        <v>89</v>
      </c>
      <c r="O1468" s="37" t="s">
        <v>90</v>
      </c>
      <c r="P1468" s="38"/>
      <c r="Q1468" s="37" t="s">
        <v>3222</v>
      </c>
      <c r="R1468" s="37"/>
      <c r="S1468" s="37" t="s">
        <v>2142</v>
      </c>
      <c r="T1468" s="31"/>
    </row>
    <row r="1469" spans="1:20">
      <c r="A1469" s="31"/>
      <c r="B1469" s="32"/>
      <c r="C1469" s="33"/>
      <c r="D1469" s="32" t="s">
        <v>3223</v>
      </c>
      <c r="E1469" s="33" t="s">
        <v>116</v>
      </c>
      <c r="F1469" s="34">
        <v>1</v>
      </c>
      <c r="G1469" s="35">
        <v>0</v>
      </c>
      <c r="H1469" s="35">
        <v>0</v>
      </c>
      <c r="I1469" s="35">
        <f>Tabla1[[#This Row],[P.U. M.N.]]*Tabla1[[#This Row],[CANTIDADES DE REFERENCIA]]</f>
        <v>0</v>
      </c>
      <c r="J1469" s="35">
        <f>Tabla1[[#This Row],[P.U. USD]]*Tabla1[[#This Row],[CANTIDADES DE REFERENCIA]]</f>
        <v>0</v>
      </c>
      <c r="K1469" s="36"/>
      <c r="L1469" s="36"/>
      <c r="M1469" s="36"/>
      <c r="N1469" s="37" t="s">
        <v>89</v>
      </c>
      <c r="O1469" s="37" t="s">
        <v>90</v>
      </c>
      <c r="P1469" s="38"/>
      <c r="Q1469" s="37" t="s">
        <v>3224</v>
      </c>
      <c r="R1469" s="37"/>
      <c r="S1469" s="37" t="s">
        <v>2142</v>
      </c>
      <c r="T1469" s="31"/>
    </row>
    <row r="1470" spans="1:20">
      <c r="A1470" s="31"/>
      <c r="B1470" s="32"/>
      <c r="C1470" s="33"/>
      <c r="D1470" s="32" t="s">
        <v>3225</v>
      </c>
      <c r="E1470" s="33" t="s">
        <v>42</v>
      </c>
      <c r="F1470" s="34">
        <v>1</v>
      </c>
      <c r="G1470" s="35">
        <v>0</v>
      </c>
      <c r="H1470" s="35">
        <v>0</v>
      </c>
      <c r="I1470" s="35">
        <f>Tabla1[[#This Row],[P.U. M.N.]]*Tabla1[[#This Row],[CANTIDADES DE REFERENCIA]]</f>
        <v>0</v>
      </c>
      <c r="J1470" s="35">
        <f>Tabla1[[#This Row],[P.U. USD]]*Tabla1[[#This Row],[CANTIDADES DE REFERENCIA]]</f>
        <v>0</v>
      </c>
      <c r="K1470" s="36"/>
      <c r="L1470" s="36"/>
      <c r="M1470" s="36"/>
      <c r="N1470" s="37" t="s">
        <v>628</v>
      </c>
      <c r="O1470" s="37" t="s">
        <v>629</v>
      </c>
      <c r="P1470" s="38"/>
      <c r="Q1470" s="37" t="s">
        <v>3226</v>
      </c>
      <c r="R1470" s="37"/>
      <c r="S1470" s="37" t="s">
        <v>631</v>
      </c>
      <c r="T1470" s="31"/>
    </row>
    <row r="1471" spans="1:20">
      <c r="A1471" s="31"/>
      <c r="B1471" s="32"/>
      <c r="C1471" s="33"/>
      <c r="D1471" s="32" t="s">
        <v>3227</v>
      </c>
      <c r="E1471" s="33" t="s">
        <v>42</v>
      </c>
      <c r="F1471" s="34">
        <v>1</v>
      </c>
      <c r="G1471" s="35">
        <v>0</v>
      </c>
      <c r="H1471" s="35">
        <v>0</v>
      </c>
      <c r="I1471" s="35">
        <f>Tabla1[[#This Row],[P.U. M.N.]]*Tabla1[[#This Row],[CANTIDADES DE REFERENCIA]]</f>
        <v>0</v>
      </c>
      <c r="J1471" s="35">
        <f>Tabla1[[#This Row],[P.U. USD]]*Tabla1[[#This Row],[CANTIDADES DE REFERENCIA]]</f>
        <v>0</v>
      </c>
      <c r="K1471" s="36"/>
      <c r="L1471" s="36"/>
      <c r="M1471" s="36"/>
      <c r="N1471" s="37" t="s">
        <v>31</v>
      </c>
      <c r="O1471" s="37"/>
      <c r="P1471" s="38"/>
      <c r="Q1471" s="37" t="s">
        <v>3228</v>
      </c>
      <c r="R1471" s="37" t="s">
        <v>389</v>
      </c>
      <c r="S1471" s="37" t="s">
        <v>33</v>
      </c>
      <c r="T1471" s="31"/>
    </row>
    <row r="1472" spans="1:20">
      <c r="A1472" s="31"/>
      <c r="B1472" s="32"/>
      <c r="C1472" s="33"/>
      <c r="D1472" s="32" t="s">
        <v>3229</v>
      </c>
      <c r="E1472" s="33" t="s">
        <v>23</v>
      </c>
      <c r="F1472" s="34">
        <v>1</v>
      </c>
      <c r="G1472" s="35">
        <v>0</v>
      </c>
      <c r="H1472" s="35">
        <v>0</v>
      </c>
      <c r="I1472" s="35">
        <f>Tabla1[[#This Row],[P.U. M.N.]]*Tabla1[[#This Row],[CANTIDADES DE REFERENCIA]]</f>
        <v>0</v>
      </c>
      <c r="J1472" s="35">
        <f>Tabla1[[#This Row],[P.U. USD]]*Tabla1[[#This Row],[CANTIDADES DE REFERENCIA]]</f>
        <v>0</v>
      </c>
      <c r="K1472" s="36"/>
      <c r="L1472" s="36"/>
      <c r="M1472" s="36"/>
      <c r="N1472" s="37" t="s">
        <v>31</v>
      </c>
      <c r="O1472" s="37"/>
      <c r="P1472" s="38"/>
      <c r="Q1472" s="37" t="s">
        <v>3230</v>
      </c>
      <c r="R1472" s="37" t="s">
        <v>389</v>
      </c>
      <c r="S1472" s="37" t="s">
        <v>33</v>
      </c>
      <c r="T1472" s="31"/>
    </row>
    <row r="1473" spans="1:20">
      <c r="A1473" s="31"/>
      <c r="B1473" s="32"/>
      <c r="C1473" s="33"/>
      <c r="D1473" s="32" t="s">
        <v>3231</v>
      </c>
      <c r="E1473" s="33" t="s">
        <v>2699</v>
      </c>
      <c r="F1473" s="34">
        <v>1</v>
      </c>
      <c r="G1473" s="35">
        <v>0</v>
      </c>
      <c r="H1473" s="35">
        <v>0</v>
      </c>
      <c r="I1473" s="35">
        <f>Tabla1[[#This Row],[P.U. M.N.]]*Tabla1[[#This Row],[CANTIDADES DE REFERENCIA]]</f>
        <v>0</v>
      </c>
      <c r="J1473" s="35">
        <f>Tabla1[[#This Row],[P.U. USD]]*Tabla1[[#This Row],[CANTIDADES DE REFERENCIA]]</f>
        <v>0</v>
      </c>
      <c r="K1473" s="36"/>
      <c r="L1473" s="36"/>
      <c r="M1473" s="36"/>
      <c r="N1473" s="37" t="s">
        <v>31</v>
      </c>
      <c r="O1473" s="37"/>
      <c r="P1473" s="38"/>
      <c r="Q1473" s="37" t="s">
        <v>3232</v>
      </c>
      <c r="R1473" s="37" t="s">
        <v>389</v>
      </c>
      <c r="S1473" s="37" t="s">
        <v>33</v>
      </c>
      <c r="T1473" s="31"/>
    </row>
    <row r="1474" spans="1:20">
      <c r="A1474" s="31"/>
      <c r="B1474" s="32"/>
      <c r="C1474" s="33"/>
      <c r="D1474" s="32" t="s">
        <v>3233</v>
      </c>
      <c r="E1474" s="33" t="s">
        <v>2699</v>
      </c>
      <c r="F1474" s="34">
        <v>1</v>
      </c>
      <c r="G1474" s="35">
        <v>0</v>
      </c>
      <c r="H1474" s="35">
        <v>0</v>
      </c>
      <c r="I1474" s="35">
        <f>Tabla1[[#This Row],[P.U. M.N.]]*Tabla1[[#This Row],[CANTIDADES DE REFERENCIA]]</f>
        <v>0</v>
      </c>
      <c r="J1474" s="35">
        <f>Tabla1[[#This Row],[P.U. USD]]*Tabla1[[#This Row],[CANTIDADES DE REFERENCIA]]</f>
        <v>0</v>
      </c>
      <c r="K1474" s="36"/>
      <c r="L1474" s="36"/>
      <c r="M1474" s="36"/>
      <c r="N1474" s="37" t="s">
        <v>31</v>
      </c>
      <c r="O1474" s="37"/>
      <c r="P1474" s="38"/>
      <c r="Q1474" s="37" t="s">
        <v>3234</v>
      </c>
      <c r="R1474" s="37" t="s">
        <v>389</v>
      </c>
      <c r="S1474" s="37" t="s">
        <v>33</v>
      </c>
      <c r="T1474" s="31"/>
    </row>
    <row r="1475" spans="1:20">
      <c r="A1475" s="31"/>
      <c r="B1475" s="32"/>
      <c r="C1475" s="33"/>
      <c r="D1475" s="32" t="s">
        <v>3235</v>
      </c>
      <c r="E1475" s="33" t="s">
        <v>2699</v>
      </c>
      <c r="F1475" s="34">
        <v>1</v>
      </c>
      <c r="G1475" s="35">
        <v>0</v>
      </c>
      <c r="H1475" s="35">
        <v>0</v>
      </c>
      <c r="I1475" s="35">
        <f>Tabla1[[#This Row],[P.U. M.N.]]*Tabla1[[#This Row],[CANTIDADES DE REFERENCIA]]</f>
        <v>0</v>
      </c>
      <c r="J1475" s="35">
        <f>Tabla1[[#This Row],[P.U. USD]]*Tabla1[[#This Row],[CANTIDADES DE REFERENCIA]]</f>
        <v>0</v>
      </c>
      <c r="K1475" s="36"/>
      <c r="L1475" s="36"/>
      <c r="M1475" s="36"/>
      <c r="N1475" s="37" t="s">
        <v>31</v>
      </c>
      <c r="O1475" s="37"/>
      <c r="P1475" s="38"/>
      <c r="Q1475" s="37" t="s">
        <v>3236</v>
      </c>
      <c r="R1475" s="37" t="s">
        <v>389</v>
      </c>
      <c r="S1475" s="37" t="s">
        <v>33</v>
      </c>
      <c r="T1475" s="31"/>
    </row>
    <row r="1476" spans="1:20">
      <c r="A1476" s="31"/>
      <c r="B1476" s="32"/>
      <c r="C1476" s="33"/>
      <c r="D1476" s="32" t="s">
        <v>3237</v>
      </c>
      <c r="E1476" s="33" t="s">
        <v>2699</v>
      </c>
      <c r="F1476" s="34">
        <v>1</v>
      </c>
      <c r="G1476" s="35">
        <v>0</v>
      </c>
      <c r="H1476" s="35">
        <v>0</v>
      </c>
      <c r="I1476" s="35">
        <f>Tabla1[[#This Row],[P.U. M.N.]]*Tabla1[[#This Row],[CANTIDADES DE REFERENCIA]]</f>
        <v>0</v>
      </c>
      <c r="J1476" s="35">
        <f>Tabla1[[#This Row],[P.U. USD]]*Tabla1[[#This Row],[CANTIDADES DE REFERENCIA]]</f>
        <v>0</v>
      </c>
      <c r="K1476" s="36"/>
      <c r="L1476" s="36"/>
      <c r="M1476" s="36"/>
      <c r="N1476" s="37" t="s">
        <v>31</v>
      </c>
      <c r="O1476" s="37"/>
      <c r="P1476" s="38"/>
      <c r="Q1476" s="37" t="s">
        <v>3238</v>
      </c>
      <c r="R1476" s="37" t="s">
        <v>389</v>
      </c>
      <c r="S1476" s="37" t="s">
        <v>33</v>
      </c>
      <c r="T1476" s="31"/>
    </row>
    <row r="1477" spans="1:20">
      <c r="A1477" s="31"/>
      <c r="B1477" s="32"/>
      <c r="C1477" s="33"/>
      <c r="D1477" s="32" t="s">
        <v>3239</v>
      </c>
      <c r="E1477" s="33" t="s">
        <v>42</v>
      </c>
      <c r="F1477" s="34">
        <v>1</v>
      </c>
      <c r="G1477" s="35">
        <v>0</v>
      </c>
      <c r="H1477" s="35">
        <v>0</v>
      </c>
      <c r="I1477" s="35">
        <f>Tabla1[[#This Row],[P.U. M.N.]]*Tabla1[[#This Row],[CANTIDADES DE REFERENCIA]]</f>
        <v>0</v>
      </c>
      <c r="J1477" s="35">
        <f>Tabla1[[#This Row],[P.U. USD]]*Tabla1[[#This Row],[CANTIDADES DE REFERENCIA]]</f>
        <v>0</v>
      </c>
      <c r="K1477" s="36"/>
      <c r="L1477" s="36"/>
      <c r="M1477" s="36"/>
      <c r="N1477" s="37" t="s">
        <v>31</v>
      </c>
      <c r="O1477" s="37"/>
      <c r="P1477" s="38"/>
      <c r="Q1477" s="37" t="s">
        <v>3240</v>
      </c>
      <c r="R1477" s="37" t="s">
        <v>389</v>
      </c>
      <c r="S1477" s="37" t="s">
        <v>33</v>
      </c>
      <c r="T1477" s="31"/>
    </row>
    <row r="1478" spans="1:20">
      <c r="A1478" s="31"/>
      <c r="B1478" s="32"/>
      <c r="C1478" s="33"/>
      <c r="D1478" s="32" t="s">
        <v>3241</v>
      </c>
      <c r="E1478" s="33" t="s">
        <v>42</v>
      </c>
      <c r="F1478" s="34">
        <v>1</v>
      </c>
      <c r="G1478" s="35">
        <v>0</v>
      </c>
      <c r="H1478" s="35">
        <v>0</v>
      </c>
      <c r="I1478" s="35">
        <f>Tabla1[[#This Row],[P.U. M.N.]]*Tabla1[[#This Row],[CANTIDADES DE REFERENCIA]]</f>
        <v>0</v>
      </c>
      <c r="J1478" s="35">
        <f>Tabla1[[#This Row],[P.U. USD]]*Tabla1[[#This Row],[CANTIDADES DE REFERENCIA]]</f>
        <v>0</v>
      </c>
      <c r="K1478" s="36"/>
      <c r="L1478" s="36"/>
      <c r="M1478" s="36"/>
      <c r="N1478" s="37" t="s">
        <v>31</v>
      </c>
      <c r="O1478" s="37"/>
      <c r="P1478" s="38"/>
      <c r="Q1478" s="37" t="s">
        <v>3242</v>
      </c>
      <c r="R1478" s="37" t="s">
        <v>389</v>
      </c>
      <c r="S1478" s="37" t="s">
        <v>33</v>
      </c>
      <c r="T1478" s="31"/>
    </row>
    <row r="1479" spans="1:20">
      <c r="A1479" s="31"/>
      <c r="B1479" s="32"/>
      <c r="C1479" s="33"/>
      <c r="D1479" s="32" t="s">
        <v>3243</v>
      </c>
      <c r="E1479" s="33" t="s">
        <v>42</v>
      </c>
      <c r="F1479" s="34">
        <v>1</v>
      </c>
      <c r="G1479" s="35">
        <v>0</v>
      </c>
      <c r="H1479" s="35">
        <v>0</v>
      </c>
      <c r="I1479" s="35">
        <f>Tabla1[[#This Row],[P.U. M.N.]]*Tabla1[[#This Row],[CANTIDADES DE REFERENCIA]]</f>
        <v>0</v>
      </c>
      <c r="J1479" s="35">
        <f>Tabla1[[#This Row],[P.U. USD]]*Tabla1[[#This Row],[CANTIDADES DE REFERENCIA]]</f>
        <v>0</v>
      </c>
      <c r="K1479" s="36"/>
      <c r="L1479" s="36"/>
      <c r="M1479" s="36"/>
      <c r="N1479" s="37" t="s">
        <v>31</v>
      </c>
      <c r="O1479" s="37"/>
      <c r="P1479" s="38"/>
      <c r="Q1479" s="37" t="s">
        <v>3244</v>
      </c>
      <c r="R1479" s="37" t="s">
        <v>389</v>
      </c>
      <c r="S1479" s="37" t="s">
        <v>33</v>
      </c>
      <c r="T1479" s="31"/>
    </row>
    <row r="1480" spans="1:20">
      <c r="A1480" s="31"/>
      <c r="B1480" s="32"/>
      <c r="C1480" s="33"/>
      <c r="D1480" s="32" t="s">
        <v>3245</v>
      </c>
      <c r="E1480" s="33" t="s">
        <v>42</v>
      </c>
      <c r="F1480" s="34">
        <v>1</v>
      </c>
      <c r="G1480" s="35">
        <v>0</v>
      </c>
      <c r="H1480" s="35">
        <v>0</v>
      </c>
      <c r="I1480" s="35">
        <f>Tabla1[[#This Row],[P.U. M.N.]]*Tabla1[[#This Row],[CANTIDADES DE REFERENCIA]]</f>
        <v>0</v>
      </c>
      <c r="J1480" s="35">
        <f>Tabla1[[#This Row],[P.U. USD]]*Tabla1[[#This Row],[CANTIDADES DE REFERENCIA]]</f>
        <v>0</v>
      </c>
      <c r="K1480" s="36"/>
      <c r="L1480" s="36"/>
      <c r="M1480" s="36"/>
      <c r="N1480" s="37" t="s">
        <v>31</v>
      </c>
      <c r="O1480" s="37"/>
      <c r="P1480" s="38"/>
      <c r="Q1480" s="37" t="s">
        <v>3246</v>
      </c>
      <c r="R1480" s="37" t="s">
        <v>389</v>
      </c>
      <c r="S1480" s="37" t="s">
        <v>33</v>
      </c>
      <c r="T1480" s="31"/>
    </row>
    <row r="1481" spans="1:20">
      <c r="A1481" s="31"/>
      <c r="B1481" s="32"/>
      <c r="C1481" s="33"/>
      <c r="D1481" s="32" t="s">
        <v>3247</v>
      </c>
      <c r="E1481" s="33" t="s">
        <v>42</v>
      </c>
      <c r="F1481" s="34">
        <v>1</v>
      </c>
      <c r="G1481" s="35">
        <v>0</v>
      </c>
      <c r="H1481" s="35">
        <v>0</v>
      </c>
      <c r="I1481" s="35">
        <f>Tabla1[[#This Row],[P.U. M.N.]]*Tabla1[[#This Row],[CANTIDADES DE REFERENCIA]]</f>
        <v>0</v>
      </c>
      <c r="J1481" s="35">
        <f>Tabla1[[#This Row],[P.U. USD]]*Tabla1[[#This Row],[CANTIDADES DE REFERENCIA]]</f>
        <v>0</v>
      </c>
      <c r="K1481" s="36"/>
      <c r="L1481" s="36"/>
      <c r="M1481" s="36"/>
      <c r="N1481" s="37" t="s">
        <v>31</v>
      </c>
      <c r="O1481" s="37"/>
      <c r="P1481" s="38"/>
      <c r="Q1481" s="37" t="s">
        <v>3248</v>
      </c>
      <c r="R1481" s="37" t="s">
        <v>389</v>
      </c>
      <c r="S1481" s="37" t="s">
        <v>33</v>
      </c>
      <c r="T1481" s="31"/>
    </row>
    <row r="1482" spans="1:20">
      <c r="A1482" s="31"/>
      <c r="B1482" s="32"/>
      <c r="C1482" s="33"/>
      <c r="D1482" s="32" t="s">
        <v>3249</v>
      </c>
      <c r="E1482" s="33" t="s">
        <v>42</v>
      </c>
      <c r="F1482" s="34">
        <v>1</v>
      </c>
      <c r="G1482" s="35">
        <v>0</v>
      </c>
      <c r="H1482" s="35">
        <v>0</v>
      </c>
      <c r="I1482" s="35">
        <f>Tabla1[[#This Row],[P.U. M.N.]]*Tabla1[[#This Row],[CANTIDADES DE REFERENCIA]]</f>
        <v>0</v>
      </c>
      <c r="J1482" s="35">
        <f>Tabla1[[#This Row],[P.U. USD]]*Tabla1[[#This Row],[CANTIDADES DE REFERENCIA]]</f>
        <v>0</v>
      </c>
      <c r="K1482" s="36"/>
      <c r="L1482" s="36"/>
      <c r="M1482" s="36"/>
      <c r="N1482" s="37" t="s">
        <v>31</v>
      </c>
      <c r="O1482" s="37"/>
      <c r="P1482" s="38"/>
      <c r="Q1482" s="37" t="s">
        <v>3250</v>
      </c>
      <c r="R1482" s="37" t="s">
        <v>389</v>
      </c>
      <c r="S1482" s="37" t="s">
        <v>33</v>
      </c>
      <c r="T1482" s="31"/>
    </row>
    <row r="1483" spans="1:20">
      <c r="A1483" s="31"/>
      <c r="B1483" s="32"/>
      <c r="C1483" s="33"/>
      <c r="D1483" s="32" t="s">
        <v>3251</v>
      </c>
      <c r="E1483" s="33" t="s">
        <v>42</v>
      </c>
      <c r="F1483" s="34">
        <v>1</v>
      </c>
      <c r="G1483" s="35">
        <v>0</v>
      </c>
      <c r="H1483" s="35">
        <v>0</v>
      </c>
      <c r="I1483" s="35">
        <f>Tabla1[[#This Row],[P.U. M.N.]]*Tabla1[[#This Row],[CANTIDADES DE REFERENCIA]]</f>
        <v>0</v>
      </c>
      <c r="J1483" s="35">
        <f>Tabla1[[#This Row],[P.U. USD]]*Tabla1[[#This Row],[CANTIDADES DE REFERENCIA]]</f>
        <v>0</v>
      </c>
      <c r="K1483" s="36"/>
      <c r="L1483" s="36"/>
      <c r="M1483" s="36"/>
      <c r="N1483" s="37" t="s">
        <v>31</v>
      </c>
      <c r="O1483" s="37"/>
      <c r="P1483" s="38"/>
      <c r="Q1483" s="37" t="s">
        <v>3252</v>
      </c>
      <c r="R1483" s="37" t="s">
        <v>389</v>
      </c>
      <c r="S1483" s="37" t="s">
        <v>33</v>
      </c>
      <c r="T1483" s="31"/>
    </row>
    <row r="1484" spans="1:20">
      <c r="A1484" s="31"/>
      <c r="B1484" s="32"/>
      <c r="C1484" s="33"/>
      <c r="D1484" s="32" t="s">
        <v>3253</v>
      </c>
      <c r="E1484" s="33" t="s">
        <v>42</v>
      </c>
      <c r="F1484" s="34">
        <v>1</v>
      </c>
      <c r="G1484" s="35">
        <v>0</v>
      </c>
      <c r="H1484" s="35">
        <v>0</v>
      </c>
      <c r="I1484" s="35">
        <f>Tabla1[[#This Row],[P.U. M.N.]]*Tabla1[[#This Row],[CANTIDADES DE REFERENCIA]]</f>
        <v>0</v>
      </c>
      <c r="J1484" s="35">
        <f>Tabla1[[#This Row],[P.U. USD]]*Tabla1[[#This Row],[CANTIDADES DE REFERENCIA]]</f>
        <v>0</v>
      </c>
      <c r="K1484" s="36"/>
      <c r="L1484" s="36"/>
      <c r="M1484" s="36"/>
      <c r="N1484" s="37" t="s">
        <v>31</v>
      </c>
      <c r="O1484" s="37"/>
      <c r="P1484" s="38"/>
      <c r="Q1484" s="37" t="s">
        <v>3254</v>
      </c>
      <c r="R1484" s="37" t="s">
        <v>389</v>
      </c>
      <c r="S1484" s="37" t="s">
        <v>33</v>
      </c>
      <c r="T1484" s="31"/>
    </row>
    <row r="1485" spans="1:20">
      <c r="A1485" s="31"/>
      <c r="B1485" s="32"/>
      <c r="C1485" s="33"/>
      <c r="D1485" s="32" t="s">
        <v>3255</v>
      </c>
      <c r="E1485" s="33" t="s">
        <v>42</v>
      </c>
      <c r="F1485" s="34">
        <v>1</v>
      </c>
      <c r="G1485" s="35">
        <v>0</v>
      </c>
      <c r="H1485" s="35">
        <v>0</v>
      </c>
      <c r="I1485" s="35">
        <f>Tabla1[[#This Row],[P.U. M.N.]]*Tabla1[[#This Row],[CANTIDADES DE REFERENCIA]]</f>
        <v>0</v>
      </c>
      <c r="J1485" s="35">
        <f>Tabla1[[#This Row],[P.U. USD]]*Tabla1[[#This Row],[CANTIDADES DE REFERENCIA]]</f>
        <v>0</v>
      </c>
      <c r="K1485" s="36"/>
      <c r="L1485" s="36"/>
      <c r="M1485" s="36"/>
      <c r="N1485" s="37" t="s">
        <v>31</v>
      </c>
      <c r="O1485" s="37"/>
      <c r="P1485" s="38"/>
      <c r="Q1485" s="37" t="s">
        <v>3256</v>
      </c>
      <c r="R1485" s="37" t="s">
        <v>389</v>
      </c>
      <c r="S1485" s="37" t="s">
        <v>33</v>
      </c>
      <c r="T1485" s="31"/>
    </row>
    <row r="1486" spans="1:20">
      <c r="A1486" s="31"/>
      <c r="B1486" s="32"/>
      <c r="C1486" s="33"/>
      <c r="D1486" s="32" t="s">
        <v>3257</v>
      </c>
      <c r="E1486" s="33" t="s">
        <v>42</v>
      </c>
      <c r="F1486" s="34">
        <v>1</v>
      </c>
      <c r="G1486" s="35">
        <v>0</v>
      </c>
      <c r="H1486" s="35">
        <v>0</v>
      </c>
      <c r="I1486" s="35">
        <f>Tabla1[[#This Row],[P.U. M.N.]]*Tabla1[[#This Row],[CANTIDADES DE REFERENCIA]]</f>
        <v>0</v>
      </c>
      <c r="J1486" s="35">
        <f>Tabla1[[#This Row],[P.U. USD]]*Tabla1[[#This Row],[CANTIDADES DE REFERENCIA]]</f>
        <v>0</v>
      </c>
      <c r="K1486" s="36"/>
      <c r="L1486" s="36"/>
      <c r="M1486" s="36"/>
      <c r="N1486" s="37" t="s">
        <v>31</v>
      </c>
      <c r="O1486" s="37"/>
      <c r="P1486" s="38"/>
      <c r="Q1486" s="37" t="s">
        <v>3258</v>
      </c>
      <c r="R1486" s="37" t="s">
        <v>389</v>
      </c>
      <c r="S1486" s="37" t="s">
        <v>33</v>
      </c>
      <c r="T1486" s="31"/>
    </row>
    <row r="1487" spans="1:20">
      <c r="A1487" s="31"/>
      <c r="B1487" s="32"/>
      <c r="C1487" s="33"/>
      <c r="D1487" s="32" t="s">
        <v>3259</v>
      </c>
      <c r="E1487" s="33" t="s">
        <v>42</v>
      </c>
      <c r="F1487" s="34">
        <v>1</v>
      </c>
      <c r="G1487" s="35">
        <v>0</v>
      </c>
      <c r="H1487" s="35">
        <v>0</v>
      </c>
      <c r="I1487" s="35">
        <f>Tabla1[[#This Row],[P.U. M.N.]]*Tabla1[[#This Row],[CANTIDADES DE REFERENCIA]]</f>
        <v>0</v>
      </c>
      <c r="J1487" s="35">
        <f>Tabla1[[#This Row],[P.U. USD]]*Tabla1[[#This Row],[CANTIDADES DE REFERENCIA]]</f>
        <v>0</v>
      </c>
      <c r="K1487" s="36"/>
      <c r="L1487" s="36"/>
      <c r="M1487" s="36"/>
      <c r="N1487" s="37" t="s">
        <v>31</v>
      </c>
      <c r="O1487" s="37"/>
      <c r="P1487" s="38"/>
      <c r="Q1487" s="37" t="s">
        <v>3260</v>
      </c>
      <c r="R1487" s="37" t="s">
        <v>389</v>
      </c>
      <c r="S1487" s="37" t="s">
        <v>33</v>
      </c>
      <c r="T1487" s="31"/>
    </row>
    <row r="1488" spans="1:20">
      <c r="A1488" s="31"/>
      <c r="B1488" s="32"/>
      <c r="C1488" s="33"/>
      <c r="D1488" s="32" t="s">
        <v>3261</v>
      </c>
      <c r="E1488" s="33" t="s">
        <v>42</v>
      </c>
      <c r="F1488" s="34">
        <v>1</v>
      </c>
      <c r="G1488" s="35">
        <v>0</v>
      </c>
      <c r="H1488" s="35">
        <v>0</v>
      </c>
      <c r="I1488" s="35">
        <f>Tabla1[[#This Row],[P.U. M.N.]]*Tabla1[[#This Row],[CANTIDADES DE REFERENCIA]]</f>
        <v>0</v>
      </c>
      <c r="J1488" s="35">
        <f>Tabla1[[#This Row],[P.U. USD]]*Tabla1[[#This Row],[CANTIDADES DE REFERENCIA]]</f>
        <v>0</v>
      </c>
      <c r="K1488" s="36"/>
      <c r="L1488" s="36"/>
      <c r="M1488" s="36"/>
      <c r="N1488" s="37" t="s">
        <v>31</v>
      </c>
      <c r="O1488" s="37"/>
      <c r="P1488" s="38"/>
      <c r="Q1488" s="37" t="s">
        <v>3262</v>
      </c>
      <c r="R1488" s="37" t="s">
        <v>389</v>
      </c>
      <c r="S1488" s="37" t="s">
        <v>33</v>
      </c>
      <c r="T1488" s="31"/>
    </row>
    <row r="1489" spans="1:20">
      <c r="A1489" s="31"/>
      <c r="B1489" s="32"/>
      <c r="C1489" s="33"/>
      <c r="D1489" s="32" t="s">
        <v>3263</v>
      </c>
      <c r="E1489" s="33" t="s">
        <v>42</v>
      </c>
      <c r="F1489" s="34">
        <v>1</v>
      </c>
      <c r="G1489" s="35">
        <v>0</v>
      </c>
      <c r="H1489" s="35">
        <v>0</v>
      </c>
      <c r="I1489" s="35">
        <f>Tabla1[[#This Row],[P.U. M.N.]]*Tabla1[[#This Row],[CANTIDADES DE REFERENCIA]]</f>
        <v>0</v>
      </c>
      <c r="J1489" s="35">
        <f>Tabla1[[#This Row],[P.U. USD]]*Tabla1[[#This Row],[CANTIDADES DE REFERENCIA]]</f>
        <v>0</v>
      </c>
      <c r="K1489" s="36"/>
      <c r="L1489" s="36"/>
      <c r="M1489" s="36"/>
      <c r="N1489" s="37" t="s">
        <v>31</v>
      </c>
      <c r="O1489" s="37"/>
      <c r="P1489" s="38"/>
      <c r="Q1489" s="37" t="s">
        <v>3264</v>
      </c>
      <c r="R1489" s="37" t="s">
        <v>389</v>
      </c>
      <c r="S1489" s="37" t="s">
        <v>33</v>
      </c>
      <c r="T1489" s="31"/>
    </row>
    <row r="1490" spans="1:20">
      <c r="A1490" s="31"/>
      <c r="B1490" s="32"/>
      <c r="C1490" s="33"/>
      <c r="D1490" s="32" t="s">
        <v>3265</v>
      </c>
      <c r="E1490" s="33" t="s">
        <v>42</v>
      </c>
      <c r="F1490" s="34">
        <v>1</v>
      </c>
      <c r="G1490" s="35">
        <v>0</v>
      </c>
      <c r="H1490" s="35">
        <v>0</v>
      </c>
      <c r="I1490" s="35">
        <f>Tabla1[[#This Row],[P.U. M.N.]]*Tabla1[[#This Row],[CANTIDADES DE REFERENCIA]]</f>
        <v>0</v>
      </c>
      <c r="J1490" s="35">
        <f>Tabla1[[#This Row],[P.U. USD]]*Tabla1[[#This Row],[CANTIDADES DE REFERENCIA]]</f>
        <v>0</v>
      </c>
      <c r="K1490" s="36"/>
      <c r="L1490" s="36"/>
      <c r="M1490" s="36"/>
      <c r="N1490" s="37" t="s">
        <v>31</v>
      </c>
      <c r="O1490" s="37"/>
      <c r="P1490" s="38"/>
      <c r="Q1490" s="37" t="s">
        <v>3266</v>
      </c>
      <c r="R1490" s="37" t="s">
        <v>389</v>
      </c>
      <c r="S1490" s="37" t="s">
        <v>33</v>
      </c>
      <c r="T1490" s="31"/>
    </row>
    <row r="1491" spans="1:20">
      <c r="A1491" s="31"/>
      <c r="B1491" s="32"/>
      <c r="C1491" s="33"/>
      <c r="D1491" s="32" t="s">
        <v>3267</v>
      </c>
      <c r="E1491" s="33" t="s">
        <v>3268</v>
      </c>
      <c r="F1491" s="34">
        <v>1</v>
      </c>
      <c r="G1491" s="35">
        <v>0</v>
      </c>
      <c r="H1491" s="35">
        <v>0</v>
      </c>
      <c r="I1491" s="35">
        <f>Tabla1[[#This Row],[P.U. M.N.]]*Tabla1[[#This Row],[CANTIDADES DE REFERENCIA]]</f>
        <v>0</v>
      </c>
      <c r="J1491" s="35">
        <f>Tabla1[[#This Row],[P.U. USD]]*Tabla1[[#This Row],[CANTIDADES DE REFERENCIA]]</f>
        <v>0</v>
      </c>
      <c r="K1491" s="36"/>
      <c r="L1491" s="36"/>
      <c r="M1491" s="36"/>
      <c r="N1491" s="37" t="s">
        <v>31</v>
      </c>
      <c r="O1491" s="37"/>
      <c r="P1491" s="38"/>
      <c r="Q1491" s="37" t="s">
        <v>3269</v>
      </c>
      <c r="R1491" s="37" t="s">
        <v>389</v>
      </c>
      <c r="S1491" s="37" t="s">
        <v>33</v>
      </c>
      <c r="T1491" s="31"/>
    </row>
    <row r="1492" spans="1:20">
      <c r="A1492" s="31"/>
      <c r="B1492" s="32"/>
      <c r="C1492" s="33"/>
      <c r="D1492" s="32" t="s">
        <v>3270</v>
      </c>
      <c r="E1492" s="33" t="s">
        <v>3268</v>
      </c>
      <c r="F1492" s="34">
        <v>1</v>
      </c>
      <c r="G1492" s="35">
        <v>0</v>
      </c>
      <c r="H1492" s="35">
        <v>0</v>
      </c>
      <c r="I1492" s="35">
        <f>Tabla1[[#This Row],[P.U. M.N.]]*Tabla1[[#This Row],[CANTIDADES DE REFERENCIA]]</f>
        <v>0</v>
      </c>
      <c r="J1492" s="35">
        <f>Tabla1[[#This Row],[P.U. USD]]*Tabla1[[#This Row],[CANTIDADES DE REFERENCIA]]</f>
        <v>0</v>
      </c>
      <c r="K1492" s="36"/>
      <c r="L1492" s="36"/>
      <c r="M1492" s="36"/>
      <c r="N1492" s="37" t="s">
        <v>31</v>
      </c>
      <c r="O1492" s="37"/>
      <c r="P1492" s="38"/>
      <c r="Q1492" s="37" t="s">
        <v>3271</v>
      </c>
      <c r="R1492" s="37" t="s">
        <v>389</v>
      </c>
      <c r="S1492" s="37" t="s">
        <v>33</v>
      </c>
      <c r="T1492" s="31"/>
    </row>
    <row r="1493" spans="1:20">
      <c r="A1493" s="31"/>
      <c r="B1493" s="32"/>
      <c r="C1493" s="33"/>
      <c r="D1493" s="32" t="s">
        <v>3272</v>
      </c>
      <c r="E1493" s="33" t="s">
        <v>3268</v>
      </c>
      <c r="F1493" s="34">
        <v>1</v>
      </c>
      <c r="G1493" s="35">
        <v>0</v>
      </c>
      <c r="H1493" s="35">
        <v>0</v>
      </c>
      <c r="I1493" s="35">
        <f>Tabla1[[#This Row],[P.U. M.N.]]*Tabla1[[#This Row],[CANTIDADES DE REFERENCIA]]</f>
        <v>0</v>
      </c>
      <c r="J1493" s="35">
        <f>Tabla1[[#This Row],[P.U. USD]]*Tabla1[[#This Row],[CANTIDADES DE REFERENCIA]]</f>
        <v>0</v>
      </c>
      <c r="K1493" s="36"/>
      <c r="L1493" s="36"/>
      <c r="M1493" s="36"/>
      <c r="N1493" s="37" t="s">
        <v>31</v>
      </c>
      <c r="O1493" s="37"/>
      <c r="P1493" s="38"/>
      <c r="Q1493" s="37" t="s">
        <v>3273</v>
      </c>
      <c r="R1493" s="37" t="s">
        <v>389</v>
      </c>
      <c r="S1493" s="37" t="s">
        <v>33</v>
      </c>
      <c r="T1493" s="31"/>
    </row>
    <row r="1494" spans="1:20">
      <c r="A1494" s="31"/>
      <c r="B1494" s="32"/>
      <c r="C1494" s="33"/>
      <c r="D1494" s="32" t="s">
        <v>3274</v>
      </c>
      <c r="E1494" s="33" t="s">
        <v>116</v>
      </c>
      <c r="F1494" s="34">
        <v>1</v>
      </c>
      <c r="G1494" s="35">
        <v>0</v>
      </c>
      <c r="H1494" s="35">
        <v>0</v>
      </c>
      <c r="I1494" s="35">
        <f>Tabla1[[#This Row],[P.U. M.N.]]*Tabla1[[#This Row],[CANTIDADES DE REFERENCIA]]</f>
        <v>0</v>
      </c>
      <c r="J1494" s="35">
        <f>Tabla1[[#This Row],[P.U. USD]]*Tabla1[[#This Row],[CANTIDADES DE REFERENCIA]]</f>
        <v>0</v>
      </c>
      <c r="K1494" s="36"/>
      <c r="L1494" s="36"/>
      <c r="M1494" s="36"/>
      <c r="N1494" s="37"/>
      <c r="O1494" s="37"/>
      <c r="P1494" s="38"/>
      <c r="Q1494" s="37" t="s">
        <v>3275</v>
      </c>
      <c r="R1494" s="37" t="s">
        <v>389</v>
      </c>
      <c r="S1494" s="37" t="s">
        <v>390</v>
      </c>
      <c r="T1494" s="31"/>
    </row>
    <row r="1495" spans="1:20">
      <c r="A1495" s="31"/>
      <c r="B1495" s="32"/>
      <c r="C1495" s="33"/>
      <c r="D1495" s="32" t="s">
        <v>3276</v>
      </c>
      <c r="E1495" s="33" t="s">
        <v>116</v>
      </c>
      <c r="F1495" s="34">
        <v>1</v>
      </c>
      <c r="G1495" s="35">
        <v>0</v>
      </c>
      <c r="H1495" s="35">
        <v>0</v>
      </c>
      <c r="I1495" s="35">
        <f>Tabla1[[#This Row],[P.U. M.N.]]*Tabla1[[#This Row],[CANTIDADES DE REFERENCIA]]</f>
        <v>0</v>
      </c>
      <c r="J1495" s="35">
        <f>Tabla1[[#This Row],[P.U. USD]]*Tabla1[[#This Row],[CANTIDADES DE REFERENCIA]]</f>
        <v>0</v>
      </c>
      <c r="K1495" s="36"/>
      <c r="L1495" s="36"/>
      <c r="M1495" s="36"/>
      <c r="N1495" s="37"/>
      <c r="O1495" s="37"/>
      <c r="P1495" s="38"/>
      <c r="Q1495" s="37" t="s">
        <v>3277</v>
      </c>
      <c r="R1495" s="37" t="s">
        <v>389</v>
      </c>
      <c r="S1495" s="37" t="s">
        <v>390</v>
      </c>
      <c r="T1495" s="31"/>
    </row>
    <row r="1496" spans="1:20">
      <c r="A1496" s="31"/>
      <c r="B1496" s="32"/>
      <c r="C1496" s="33"/>
      <c r="D1496" s="32" t="s">
        <v>3278</v>
      </c>
      <c r="E1496" s="33" t="s">
        <v>116</v>
      </c>
      <c r="F1496" s="34">
        <v>1</v>
      </c>
      <c r="G1496" s="35">
        <v>0</v>
      </c>
      <c r="H1496" s="35">
        <v>0</v>
      </c>
      <c r="I1496" s="35">
        <f>Tabla1[[#This Row],[P.U. M.N.]]*Tabla1[[#This Row],[CANTIDADES DE REFERENCIA]]</f>
        <v>0</v>
      </c>
      <c r="J1496" s="35">
        <f>Tabla1[[#This Row],[P.U. USD]]*Tabla1[[#This Row],[CANTIDADES DE REFERENCIA]]</f>
        <v>0</v>
      </c>
      <c r="K1496" s="36"/>
      <c r="L1496" s="36"/>
      <c r="M1496" s="36"/>
      <c r="N1496" s="37"/>
      <c r="O1496" s="37"/>
      <c r="P1496" s="38"/>
      <c r="Q1496" s="37" t="s">
        <v>3279</v>
      </c>
      <c r="R1496" s="37" t="s">
        <v>389</v>
      </c>
      <c r="S1496" s="37" t="s">
        <v>390</v>
      </c>
      <c r="T1496" s="31"/>
    </row>
    <row r="1497" spans="1:20">
      <c r="A1497" s="31"/>
      <c r="B1497" s="32"/>
      <c r="C1497" s="33"/>
      <c r="D1497" s="32" t="s">
        <v>3280</v>
      </c>
      <c r="E1497" s="33" t="s">
        <v>116</v>
      </c>
      <c r="F1497" s="34">
        <v>1</v>
      </c>
      <c r="G1497" s="35">
        <v>0</v>
      </c>
      <c r="H1497" s="35">
        <v>0</v>
      </c>
      <c r="I1497" s="35">
        <f>Tabla1[[#This Row],[P.U. M.N.]]*Tabla1[[#This Row],[CANTIDADES DE REFERENCIA]]</f>
        <v>0</v>
      </c>
      <c r="J1497" s="35">
        <f>Tabla1[[#This Row],[P.U. USD]]*Tabla1[[#This Row],[CANTIDADES DE REFERENCIA]]</f>
        <v>0</v>
      </c>
      <c r="K1497" s="36"/>
      <c r="L1497" s="36"/>
      <c r="M1497" s="36"/>
      <c r="N1497" s="37"/>
      <c r="O1497" s="37"/>
      <c r="P1497" s="38"/>
      <c r="Q1497" s="37" t="s">
        <v>3281</v>
      </c>
      <c r="R1497" s="37" t="s">
        <v>389</v>
      </c>
      <c r="S1497" s="37" t="s">
        <v>390</v>
      </c>
      <c r="T1497" s="31"/>
    </row>
    <row r="1498" spans="1:20">
      <c r="A1498" s="31"/>
      <c r="B1498" s="32"/>
      <c r="C1498" s="33"/>
      <c r="D1498" s="32" t="s">
        <v>3282</v>
      </c>
      <c r="E1498" s="33" t="s">
        <v>116</v>
      </c>
      <c r="F1498" s="34">
        <v>1</v>
      </c>
      <c r="G1498" s="35">
        <v>0</v>
      </c>
      <c r="H1498" s="35">
        <v>0</v>
      </c>
      <c r="I1498" s="35">
        <f>Tabla1[[#This Row],[P.U. M.N.]]*Tabla1[[#This Row],[CANTIDADES DE REFERENCIA]]</f>
        <v>0</v>
      </c>
      <c r="J1498" s="35">
        <f>Tabla1[[#This Row],[P.U. USD]]*Tabla1[[#This Row],[CANTIDADES DE REFERENCIA]]</f>
        <v>0</v>
      </c>
      <c r="K1498" s="36"/>
      <c r="L1498" s="36"/>
      <c r="M1498" s="36"/>
      <c r="N1498" s="37"/>
      <c r="O1498" s="37"/>
      <c r="P1498" s="38"/>
      <c r="Q1498" s="37" t="s">
        <v>3283</v>
      </c>
      <c r="R1498" s="37" t="s">
        <v>389</v>
      </c>
      <c r="S1498" s="37" t="s">
        <v>390</v>
      </c>
      <c r="T1498" s="31"/>
    </row>
    <row r="1499" spans="1:20">
      <c r="A1499" s="31"/>
      <c r="B1499" s="32"/>
      <c r="C1499" s="33"/>
      <c r="D1499" s="32" t="s">
        <v>3284</v>
      </c>
      <c r="E1499" s="33" t="s">
        <v>135</v>
      </c>
      <c r="F1499" s="34">
        <v>1</v>
      </c>
      <c r="G1499" s="35">
        <v>0</v>
      </c>
      <c r="H1499" s="35">
        <v>0</v>
      </c>
      <c r="I1499" s="35">
        <f>Tabla1[[#This Row],[P.U. M.N.]]*Tabla1[[#This Row],[CANTIDADES DE REFERENCIA]]</f>
        <v>0</v>
      </c>
      <c r="J1499" s="35">
        <f>Tabla1[[#This Row],[P.U. USD]]*Tabla1[[#This Row],[CANTIDADES DE REFERENCIA]]</f>
        <v>0</v>
      </c>
      <c r="K1499" s="36"/>
      <c r="L1499" s="36"/>
      <c r="M1499" s="36"/>
      <c r="N1499" s="37"/>
      <c r="O1499" s="37"/>
      <c r="P1499" s="38"/>
      <c r="Q1499" s="37" t="s">
        <v>3285</v>
      </c>
      <c r="R1499" s="37" t="s">
        <v>389</v>
      </c>
      <c r="S1499" s="37" t="s">
        <v>390</v>
      </c>
      <c r="T1499" s="31"/>
    </row>
    <row r="1500" spans="1:20">
      <c r="A1500" s="31"/>
      <c r="B1500" s="32"/>
      <c r="C1500" s="33"/>
      <c r="D1500" s="32" t="s">
        <v>3286</v>
      </c>
      <c r="E1500" s="33" t="s">
        <v>116</v>
      </c>
      <c r="F1500" s="34">
        <v>1</v>
      </c>
      <c r="G1500" s="35">
        <v>0</v>
      </c>
      <c r="H1500" s="35">
        <v>0</v>
      </c>
      <c r="I1500" s="35">
        <f>Tabla1[[#This Row],[P.U. M.N.]]*Tabla1[[#This Row],[CANTIDADES DE REFERENCIA]]</f>
        <v>0</v>
      </c>
      <c r="J1500" s="35">
        <f>Tabla1[[#This Row],[P.U. USD]]*Tabla1[[#This Row],[CANTIDADES DE REFERENCIA]]</f>
        <v>0</v>
      </c>
      <c r="K1500" s="36"/>
      <c r="L1500" s="36"/>
      <c r="M1500" s="36"/>
      <c r="N1500" s="37"/>
      <c r="O1500" s="37"/>
      <c r="P1500" s="38"/>
      <c r="Q1500" s="37" t="s">
        <v>3287</v>
      </c>
      <c r="R1500" s="37" t="s">
        <v>389</v>
      </c>
      <c r="S1500" s="37" t="s">
        <v>390</v>
      </c>
      <c r="T1500" s="31"/>
    </row>
    <row r="1501" spans="1:20">
      <c r="A1501" s="31"/>
      <c r="B1501" s="32"/>
      <c r="C1501" s="33"/>
      <c r="D1501" s="32" t="s">
        <v>3288</v>
      </c>
      <c r="E1501" s="33" t="s">
        <v>116</v>
      </c>
      <c r="F1501" s="34">
        <v>1</v>
      </c>
      <c r="G1501" s="35">
        <v>0</v>
      </c>
      <c r="H1501" s="35">
        <v>0</v>
      </c>
      <c r="I1501" s="35">
        <f>Tabla1[[#This Row],[P.U. M.N.]]*Tabla1[[#This Row],[CANTIDADES DE REFERENCIA]]</f>
        <v>0</v>
      </c>
      <c r="J1501" s="35">
        <f>Tabla1[[#This Row],[P.U. USD]]*Tabla1[[#This Row],[CANTIDADES DE REFERENCIA]]</f>
        <v>0</v>
      </c>
      <c r="K1501" s="36"/>
      <c r="L1501" s="36"/>
      <c r="M1501" s="36"/>
      <c r="N1501" s="37"/>
      <c r="O1501" s="37"/>
      <c r="P1501" s="38"/>
      <c r="Q1501" s="37" t="s">
        <v>3289</v>
      </c>
      <c r="R1501" s="37" t="s">
        <v>389</v>
      </c>
      <c r="S1501" s="37" t="s">
        <v>390</v>
      </c>
      <c r="T1501" s="31"/>
    </row>
    <row r="1502" spans="1:20">
      <c r="A1502" s="31"/>
      <c r="B1502" s="32"/>
      <c r="C1502" s="33"/>
      <c r="D1502" s="32" t="s">
        <v>3290</v>
      </c>
      <c r="E1502" s="33" t="s">
        <v>116</v>
      </c>
      <c r="F1502" s="34">
        <v>1</v>
      </c>
      <c r="G1502" s="35">
        <v>0</v>
      </c>
      <c r="H1502" s="35">
        <v>0</v>
      </c>
      <c r="I1502" s="35">
        <f>Tabla1[[#This Row],[P.U. M.N.]]*Tabla1[[#This Row],[CANTIDADES DE REFERENCIA]]</f>
        <v>0</v>
      </c>
      <c r="J1502" s="35">
        <f>Tabla1[[#This Row],[P.U. USD]]*Tabla1[[#This Row],[CANTIDADES DE REFERENCIA]]</f>
        <v>0</v>
      </c>
      <c r="K1502" s="36"/>
      <c r="L1502" s="36"/>
      <c r="M1502" s="36"/>
      <c r="N1502" s="37"/>
      <c r="O1502" s="37"/>
      <c r="P1502" s="38"/>
      <c r="Q1502" s="37" t="s">
        <v>3291</v>
      </c>
      <c r="R1502" s="37" t="s">
        <v>389</v>
      </c>
      <c r="S1502" s="37" t="s">
        <v>390</v>
      </c>
      <c r="T1502" s="31"/>
    </row>
    <row r="1503" spans="1:20">
      <c r="A1503" s="31"/>
      <c r="B1503" s="32"/>
      <c r="C1503" s="33"/>
      <c r="D1503" s="32" t="s">
        <v>3292</v>
      </c>
      <c r="E1503" s="33" t="s">
        <v>116</v>
      </c>
      <c r="F1503" s="34">
        <v>1</v>
      </c>
      <c r="G1503" s="35">
        <v>0</v>
      </c>
      <c r="H1503" s="35">
        <v>0</v>
      </c>
      <c r="I1503" s="35">
        <f>Tabla1[[#This Row],[P.U. M.N.]]*Tabla1[[#This Row],[CANTIDADES DE REFERENCIA]]</f>
        <v>0</v>
      </c>
      <c r="J1503" s="35">
        <f>Tabla1[[#This Row],[P.U. USD]]*Tabla1[[#This Row],[CANTIDADES DE REFERENCIA]]</f>
        <v>0</v>
      </c>
      <c r="K1503" s="36"/>
      <c r="L1503" s="36"/>
      <c r="M1503" s="36"/>
      <c r="N1503" s="37"/>
      <c r="O1503" s="37"/>
      <c r="P1503" s="38"/>
      <c r="Q1503" s="37" t="s">
        <v>3293</v>
      </c>
      <c r="R1503" s="37" t="s">
        <v>389</v>
      </c>
      <c r="S1503" s="37" t="s">
        <v>390</v>
      </c>
      <c r="T1503" s="31"/>
    </row>
    <row r="1504" spans="1:20">
      <c r="A1504" s="31"/>
      <c r="B1504" s="32"/>
      <c r="C1504" s="33"/>
      <c r="D1504" s="32" t="s">
        <v>3294</v>
      </c>
      <c r="E1504" s="33" t="s">
        <v>116</v>
      </c>
      <c r="F1504" s="34">
        <v>1</v>
      </c>
      <c r="G1504" s="35">
        <v>0</v>
      </c>
      <c r="H1504" s="35">
        <v>0</v>
      </c>
      <c r="I1504" s="35">
        <f>Tabla1[[#This Row],[P.U. M.N.]]*Tabla1[[#This Row],[CANTIDADES DE REFERENCIA]]</f>
        <v>0</v>
      </c>
      <c r="J1504" s="35">
        <f>Tabla1[[#This Row],[P.U. USD]]*Tabla1[[#This Row],[CANTIDADES DE REFERENCIA]]</f>
        <v>0</v>
      </c>
      <c r="K1504" s="36"/>
      <c r="L1504" s="36"/>
      <c r="M1504" s="36"/>
      <c r="N1504" s="37"/>
      <c r="O1504" s="37"/>
      <c r="P1504" s="38"/>
      <c r="Q1504" s="37" t="s">
        <v>3295</v>
      </c>
      <c r="R1504" s="37" t="s">
        <v>389</v>
      </c>
      <c r="S1504" s="37" t="s">
        <v>390</v>
      </c>
      <c r="T1504" s="31"/>
    </row>
    <row r="1505" spans="1:20">
      <c r="A1505" s="31"/>
      <c r="B1505" s="32"/>
      <c r="C1505" s="33"/>
      <c r="D1505" s="32" t="s">
        <v>3296</v>
      </c>
      <c r="E1505" s="33" t="s">
        <v>116</v>
      </c>
      <c r="F1505" s="34">
        <v>1</v>
      </c>
      <c r="G1505" s="35">
        <v>0</v>
      </c>
      <c r="H1505" s="35">
        <v>0</v>
      </c>
      <c r="I1505" s="35">
        <f>Tabla1[[#This Row],[P.U. M.N.]]*Tabla1[[#This Row],[CANTIDADES DE REFERENCIA]]</f>
        <v>0</v>
      </c>
      <c r="J1505" s="35">
        <f>Tabla1[[#This Row],[P.U. USD]]*Tabla1[[#This Row],[CANTIDADES DE REFERENCIA]]</f>
        <v>0</v>
      </c>
      <c r="K1505" s="36"/>
      <c r="L1505" s="36"/>
      <c r="M1505" s="36"/>
      <c r="N1505" s="37"/>
      <c r="O1505" s="37"/>
      <c r="P1505" s="38"/>
      <c r="Q1505" s="37" t="s">
        <v>3297</v>
      </c>
      <c r="R1505" s="37" t="s">
        <v>389</v>
      </c>
      <c r="S1505" s="37" t="s">
        <v>390</v>
      </c>
      <c r="T1505" s="31"/>
    </row>
    <row r="1506" spans="1:20">
      <c r="A1506" s="31"/>
      <c r="B1506" s="32"/>
      <c r="C1506" s="33"/>
      <c r="D1506" s="32" t="s">
        <v>3298</v>
      </c>
      <c r="E1506" s="33" t="s">
        <v>116</v>
      </c>
      <c r="F1506" s="34">
        <v>1</v>
      </c>
      <c r="G1506" s="35">
        <v>0</v>
      </c>
      <c r="H1506" s="35">
        <v>0</v>
      </c>
      <c r="I1506" s="35">
        <f>Tabla1[[#This Row],[P.U. M.N.]]*Tabla1[[#This Row],[CANTIDADES DE REFERENCIA]]</f>
        <v>0</v>
      </c>
      <c r="J1506" s="35">
        <f>Tabla1[[#This Row],[P.U. USD]]*Tabla1[[#This Row],[CANTIDADES DE REFERENCIA]]</f>
        <v>0</v>
      </c>
      <c r="K1506" s="36"/>
      <c r="L1506" s="36"/>
      <c r="M1506" s="36"/>
      <c r="N1506" s="37"/>
      <c r="O1506" s="37"/>
      <c r="P1506" s="38"/>
      <c r="Q1506" s="37" t="s">
        <v>3299</v>
      </c>
      <c r="R1506" s="37" t="s">
        <v>389</v>
      </c>
      <c r="S1506" s="37" t="s">
        <v>390</v>
      </c>
      <c r="T1506" s="31"/>
    </row>
    <row r="1507" spans="1:20">
      <c r="A1507" s="31"/>
      <c r="B1507" s="32"/>
      <c r="C1507" s="33"/>
      <c r="D1507" s="32" t="s">
        <v>3300</v>
      </c>
      <c r="E1507" s="33" t="s">
        <v>116</v>
      </c>
      <c r="F1507" s="34">
        <v>1</v>
      </c>
      <c r="G1507" s="35">
        <v>0</v>
      </c>
      <c r="H1507" s="35">
        <v>0</v>
      </c>
      <c r="I1507" s="35">
        <f>Tabla1[[#This Row],[P.U. M.N.]]*Tabla1[[#This Row],[CANTIDADES DE REFERENCIA]]</f>
        <v>0</v>
      </c>
      <c r="J1507" s="35">
        <f>Tabla1[[#This Row],[P.U. USD]]*Tabla1[[#This Row],[CANTIDADES DE REFERENCIA]]</f>
        <v>0</v>
      </c>
      <c r="K1507" s="36"/>
      <c r="L1507" s="36"/>
      <c r="M1507" s="36"/>
      <c r="N1507" s="37"/>
      <c r="O1507" s="37"/>
      <c r="P1507" s="38"/>
      <c r="Q1507" s="37" t="s">
        <v>3301</v>
      </c>
      <c r="R1507" s="37" t="s">
        <v>389</v>
      </c>
      <c r="S1507" s="37" t="s">
        <v>390</v>
      </c>
      <c r="T1507" s="31"/>
    </row>
    <row r="1508" spans="1:20">
      <c r="A1508" s="31"/>
      <c r="B1508" s="32"/>
      <c r="C1508" s="33"/>
      <c r="D1508" s="32" t="s">
        <v>3302</v>
      </c>
      <c r="E1508" s="33" t="s">
        <v>61</v>
      </c>
      <c r="F1508" s="34">
        <v>1</v>
      </c>
      <c r="G1508" s="35">
        <v>0</v>
      </c>
      <c r="H1508" s="35">
        <v>0</v>
      </c>
      <c r="I1508" s="35">
        <f>Tabla1[[#This Row],[P.U. M.N.]]*Tabla1[[#This Row],[CANTIDADES DE REFERENCIA]]</f>
        <v>0</v>
      </c>
      <c r="J1508" s="35">
        <f>Tabla1[[#This Row],[P.U. USD]]*Tabla1[[#This Row],[CANTIDADES DE REFERENCIA]]</f>
        <v>0</v>
      </c>
      <c r="K1508" s="36"/>
      <c r="L1508" s="36"/>
      <c r="M1508" s="36"/>
      <c r="N1508" s="37"/>
      <c r="O1508" s="37"/>
      <c r="P1508" s="38"/>
      <c r="Q1508" s="37" t="s">
        <v>3303</v>
      </c>
      <c r="R1508" s="37" t="s">
        <v>389</v>
      </c>
      <c r="S1508" s="37" t="s">
        <v>390</v>
      </c>
      <c r="T1508" s="31"/>
    </row>
    <row r="1509" spans="1:20">
      <c r="A1509" s="31"/>
      <c r="B1509" s="32"/>
      <c r="C1509" s="33"/>
      <c r="D1509" s="32" t="s">
        <v>3304</v>
      </c>
      <c r="E1509" s="33" t="s">
        <v>116</v>
      </c>
      <c r="F1509" s="34">
        <v>1</v>
      </c>
      <c r="G1509" s="35">
        <v>0</v>
      </c>
      <c r="H1509" s="35">
        <v>0</v>
      </c>
      <c r="I1509" s="35">
        <f>Tabla1[[#This Row],[P.U. M.N.]]*Tabla1[[#This Row],[CANTIDADES DE REFERENCIA]]</f>
        <v>0</v>
      </c>
      <c r="J1509" s="35">
        <f>Tabla1[[#This Row],[P.U. USD]]*Tabla1[[#This Row],[CANTIDADES DE REFERENCIA]]</f>
        <v>0</v>
      </c>
      <c r="K1509" s="36"/>
      <c r="L1509" s="36"/>
      <c r="M1509" s="36"/>
      <c r="N1509" s="37"/>
      <c r="O1509" s="37"/>
      <c r="P1509" s="38"/>
      <c r="Q1509" s="37" t="s">
        <v>3305</v>
      </c>
      <c r="R1509" s="37" t="s">
        <v>389</v>
      </c>
      <c r="S1509" s="37" t="s">
        <v>390</v>
      </c>
      <c r="T1509" s="31"/>
    </row>
    <row r="1510" spans="1:20">
      <c r="A1510" s="31"/>
      <c r="B1510" s="32"/>
      <c r="C1510" s="33"/>
      <c r="D1510" s="32" t="s">
        <v>3306</v>
      </c>
      <c r="E1510" s="33" t="s">
        <v>116</v>
      </c>
      <c r="F1510" s="34">
        <v>1</v>
      </c>
      <c r="G1510" s="35">
        <v>0</v>
      </c>
      <c r="H1510" s="35">
        <v>0</v>
      </c>
      <c r="I1510" s="35">
        <f>Tabla1[[#This Row],[P.U. M.N.]]*Tabla1[[#This Row],[CANTIDADES DE REFERENCIA]]</f>
        <v>0</v>
      </c>
      <c r="J1510" s="35">
        <f>Tabla1[[#This Row],[P.U. USD]]*Tabla1[[#This Row],[CANTIDADES DE REFERENCIA]]</f>
        <v>0</v>
      </c>
      <c r="K1510" s="36"/>
      <c r="L1510" s="36"/>
      <c r="M1510" s="36"/>
      <c r="N1510" s="37"/>
      <c r="O1510" s="37"/>
      <c r="P1510" s="38"/>
      <c r="Q1510" s="37" t="s">
        <v>3307</v>
      </c>
      <c r="R1510" s="37" t="s">
        <v>389</v>
      </c>
      <c r="S1510" s="37" t="s">
        <v>390</v>
      </c>
      <c r="T1510" s="31"/>
    </row>
    <row r="1511" spans="1:20">
      <c r="A1511" s="31"/>
      <c r="B1511" s="32"/>
      <c r="C1511" s="33"/>
      <c r="D1511" s="32" t="s">
        <v>3308</v>
      </c>
      <c r="E1511" s="33" t="s">
        <v>116</v>
      </c>
      <c r="F1511" s="34">
        <v>1</v>
      </c>
      <c r="G1511" s="35">
        <v>0</v>
      </c>
      <c r="H1511" s="35">
        <v>0</v>
      </c>
      <c r="I1511" s="35">
        <f>Tabla1[[#This Row],[P.U. M.N.]]*Tabla1[[#This Row],[CANTIDADES DE REFERENCIA]]</f>
        <v>0</v>
      </c>
      <c r="J1511" s="35">
        <f>Tabla1[[#This Row],[P.U. USD]]*Tabla1[[#This Row],[CANTIDADES DE REFERENCIA]]</f>
        <v>0</v>
      </c>
      <c r="K1511" s="36"/>
      <c r="L1511" s="36"/>
      <c r="M1511" s="36"/>
      <c r="N1511" s="37"/>
      <c r="O1511" s="37"/>
      <c r="P1511" s="38"/>
      <c r="Q1511" s="37" t="s">
        <v>3309</v>
      </c>
      <c r="R1511" s="37" t="s">
        <v>58</v>
      </c>
      <c r="S1511" s="37" t="s">
        <v>390</v>
      </c>
      <c r="T1511" s="31"/>
    </row>
    <row r="1512" spans="1:20">
      <c r="A1512" s="31"/>
      <c r="B1512" s="32"/>
      <c r="C1512" s="33"/>
      <c r="D1512" s="32" t="s">
        <v>3310</v>
      </c>
      <c r="E1512" s="33" t="s">
        <v>116</v>
      </c>
      <c r="F1512" s="34">
        <v>1</v>
      </c>
      <c r="G1512" s="35">
        <v>0</v>
      </c>
      <c r="H1512" s="35">
        <v>0</v>
      </c>
      <c r="I1512" s="35">
        <f>Tabla1[[#This Row],[P.U. M.N.]]*Tabla1[[#This Row],[CANTIDADES DE REFERENCIA]]</f>
        <v>0</v>
      </c>
      <c r="J1512" s="35">
        <f>Tabla1[[#This Row],[P.U. USD]]*Tabla1[[#This Row],[CANTIDADES DE REFERENCIA]]</f>
        <v>0</v>
      </c>
      <c r="K1512" s="36"/>
      <c r="L1512" s="36"/>
      <c r="M1512" s="36"/>
      <c r="N1512" s="37"/>
      <c r="O1512" s="37"/>
      <c r="P1512" s="38"/>
      <c r="Q1512" s="37" t="s">
        <v>3311</v>
      </c>
      <c r="R1512" s="37" t="s">
        <v>389</v>
      </c>
      <c r="S1512" s="37" t="s">
        <v>390</v>
      </c>
      <c r="T1512" s="31"/>
    </row>
    <row r="1513" spans="1:20">
      <c r="A1513" s="31"/>
      <c r="B1513" s="32"/>
      <c r="C1513" s="33"/>
      <c r="D1513" s="32" t="s">
        <v>3312</v>
      </c>
      <c r="E1513" s="33" t="s">
        <v>116</v>
      </c>
      <c r="F1513" s="34">
        <v>1</v>
      </c>
      <c r="G1513" s="35">
        <v>0</v>
      </c>
      <c r="H1513" s="35">
        <v>0</v>
      </c>
      <c r="I1513" s="35">
        <f>Tabla1[[#This Row],[P.U. M.N.]]*Tabla1[[#This Row],[CANTIDADES DE REFERENCIA]]</f>
        <v>0</v>
      </c>
      <c r="J1513" s="35">
        <f>Tabla1[[#This Row],[P.U. USD]]*Tabla1[[#This Row],[CANTIDADES DE REFERENCIA]]</f>
        <v>0</v>
      </c>
      <c r="K1513" s="36"/>
      <c r="L1513" s="36"/>
      <c r="M1513" s="36"/>
      <c r="N1513" s="37"/>
      <c r="O1513" s="37"/>
      <c r="P1513" s="38"/>
      <c r="Q1513" s="37" t="s">
        <v>3313</v>
      </c>
      <c r="R1513" s="37" t="s">
        <v>389</v>
      </c>
      <c r="S1513" s="37" t="s">
        <v>390</v>
      </c>
      <c r="T1513" s="31"/>
    </row>
    <row r="1514" spans="1:20">
      <c r="A1514" s="31"/>
      <c r="B1514" s="32"/>
      <c r="C1514" s="33"/>
      <c r="D1514" s="32" t="s">
        <v>3314</v>
      </c>
      <c r="E1514" s="33" t="s">
        <v>116</v>
      </c>
      <c r="F1514" s="34">
        <v>1</v>
      </c>
      <c r="G1514" s="35">
        <v>0</v>
      </c>
      <c r="H1514" s="35">
        <v>0</v>
      </c>
      <c r="I1514" s="35">
        <f>Tabla1[[#This Row],[P.U. M.N.]]*Tabla1[[#This Row],[CANTIDADES DE REFERENCIA]]</f>
        <v>0</v>
      </c>
      <c r="J1514" s="35">
        <f>Tabla1[[#This Row],[P.U. USD]]*Tabla1[[#This Row],[CANTIDADES DE REFERENCIA]]</f>
        <v>0</v>
      </c>
      <c r="K1514" s="36"/>
      <c r="L1514" s="36"/>
      <c r="M1514" s="36"/>
      <c r="N1514" s="37"/>
      <c r="O1514" s="37"/>
      <c r="P1514" s="38"/>
      <c r="Q1514" s="37" t="s">
        <v>3315</v>
      </c>
      <c r="R1514" s="37" t="s">
        <v>389</v>
      </c>
      <c r="S1514" s="37" t="s">
        <v>390</v>
      </c>
      <c r="T1514" s="31"/>
    </row>
    <row r="1515" spans="1:20">
      <c r="A1515" s="31"/>
      <c r="B1515" s="32"/>
      <c r="C1515" s="33"/>
      <c r="D1515" s="32" t="s">
        <v>3316</v>
      </c>
      <c r="E1515" s="33" t="s">
        <v>116</v>
      </c>
      <c r="F1515" s="34">
        <v>1</v>
      </c>
      <c r="G1515" s="35">
        <v>0</v>
      </c>
      <c r="H1515" s="35">
        <v>0</v>
      </c>
      <c r="I1515" s="35">
        <f>Tabla1[[#This Row],[P.U. M.N.]]*Tabla1[[#This Row],[CANTIDADES DE REFERENCIA]]</f>
        <v>0</v>
      </c>
      <c r="J1515" s="35">
        <f>Tabla1[[#This Row],[P.U. USD]]*Tabla1[[#This Row],[CANTIDADES DE REFERENCIA]]</f>
        <v>0</v>
      </c>
      <c r="K1515" s="36"/>
      <c r="L1515" s="36"/>
      <c r="M1515" s="36"/>
      <c r="N1515" s="37"/>
      <c r="O1515" s="37"/>
      <c r="P1515" s="38"/>
      <c r="Q1515" s="37" t="s">
        <v>3317</v>
      </c>
      <c r="R1515" s="37" t="s">
        <v>389</v>
      </c>
      <c r="S1515" s="37" t="s">
        <v>390</v>
      </c>
      <c r="T1515" s="31"/>
    </row>
    <row r="1516" spans="1:20">
      <c r="A1516" s="31"/>
      <c r="B1516" s="32"/>
      <c r="C1516" s="33"/>
      <c r="D1516" s="32" t="s">
        <v>3318</v>
      </c>
      <c r="E1516" s="33" t="s">
        <v>116</v>
      </c>
      <c r="F1516" s="34">
        <v>1</v>
      </c>
      <c r="G1516" s="35">
        <v>0</v>
      </c>
      <c r="H1516" s="35">
        <v>0</v>
      </c>
      <c r="I1516" s="35">
        <f>Tabla1[[#This Row],[P.U. M.N.]]*Tabla1[[#This Row],[CANTIDADES DE REFERENCIA]]</f>
        <v>0</v>
      </c>
      <c r="J1516" s="35">
        <f>Tabla1[[#This Row],[P.U. USD]]*Tabla1[[#This Row],[CANTIDADES DE REFERENCIA]]</f>
        <v>0</v>
      </c>
      <c r="K1516" s="36"/>
      <c r="L1516" s="36"/>
      <c r="M1516" s="36"/>
      <c r="N1516" s="37"/>
      <c r="O1516" s="37"/>
      <c r="P1516" s="38"/>
      <c r="Q1516" s="37" t="s">
        <v>3319</v>
      </c>
      <c r="R1516" s="37" t="s">
        <v>389</v>
      </c>
      <c r="S1516" s="37" t="s">
        <v>390</v>
      </c>
      <c r="T1516" s="31"/>
    </row>
    <row r="1517" spans="1:20">
      <c r="A1517" s="31"/>
      <c r="B1517" s="32"/>
      <c r="C1517" s="33"/>
      <c r="D1517" s="32" t="s">
        <v>3320</v>
      </c>
      <c r="E1517" s="33" t="s">
        <v>116</v>
      </c>
      <c r="F1517" s="34">
        <v>1</v>
      </c>
      <c r="G1517" s="35">
        <v>0</v>
      </c>
      <c r="H1517" s="35">
        <v>0</v>
      </c>
      <c r="I1517" s="35">
        <f>Tabla1[[#This Row],[P.U. M.N.]]*Tabla1[[#This Row],[CANTIDADES DE REFERENCIA]]</f>
        <v>0</v>
      </c>
      <c r="J1517" s="35">
        <f>Tabla1[[#This Row],[P.U. USD]]*Tabla1[[#This Row],[CANTIDADES DE REFERENCIA]]</f>
        <v>0</v>
      </c>
      <c r="K1517" s="36"/>
      <c r="L1517" s="36"/>
      <c r="M1517" s="36"/>
      <c r="N1517" s="37"/>
      <c r="O1517" s="37"/>
      <c r="P1517" s="38"/>
      <c r="Q1517" s="37" t="s">
        <v>3321</v>
      </c>
      <c r="R1517" s="37" t="s">
        <v>389</v>
      </c>
      <c r="S1517" s="37" t="s">
        <v>390</v>
      </c>
      <c r="T1517" s="31"/>
    </row>
    <row r="1518" spans="1:20">
      <c r="A1518" s="31"/>
      <c r="B1518" s="32"/>
      <c r="C1518" s="33"/>
      <c r="D1518" s="32" t="s">
        <v>3322</v>
      </c>
      <c r="E1518" s="33" t="s">
        <v>116</v>
      </c>
      <c r="F1518" s="34">
        <v>1</v>
      </c>
      <c r="G1518" s="35">
        <v>0</v>
      </c>
      <c r="H1518" s="35">
        <v>0</v>
      </c>
      <c r="I1518" s="35">
        <f>Tabla1[[#This Row],[P.U. M.N.]]*Tabla1[[#This Row],[CANTIDADES DE REFERENCIA]]</f>
        <v>0</v>
      </c>
      <c r="J1518" s="35">
        <f>Tabla1[[#This Row],[P.U. USD]]*Tabla1[[#This Row],[CANTIDADES DE REFERENCIA]]</f>
        <v>0</v>
      </c>
      <c r="K1518" s="36"/>
      <c r="L1518" s="36"/>
      <c r="M1518" s="36"/>
      <c r="N1518" s="37"/>
      <c r="O1518" s="37"/>
      <c r="P1518" s="38"/>
      <c r="Q1518" s="37" t="s">
        <v>3323</v>
      </c>
      <c r="R1518" s="37" t="s">
        <v>389</v>
      </c>
      <c r="S1518" s="37" t="s">
        <v>390</v>
      </c>
      <c r="T1518" s="31"/>
    </row>
    <row r="1519" spans="1:20">
      <c r="A1519" s="31"/>
      <c r="B1519" s="32"/>
      <c r="C1519" s="33"/>
      <c r="D1519" s="32" t="s">
        <v>3324</v>
      </c>
      <c r="E1519" s="33" t="s">
        <v>116</v>
      </c>
      <c r="F1519" s="34">
        <v>1</v>
      </c>
      <c r="G1519" s="35">
        <v>0</v>
      </c>
      <c r="H1519" s="35">
        <v>0</v>
      </c>
      <c r="I1519" s="35">
        <f>Tabla1[[#This Row],[P.U. M.N.]]*Tabla1[[#This Row],[CANTIDADES DE REFERENCIA]]</f>
        <v>0</v>
      </c>
      <c r="J1519" s="35">
        <f>Tabla1[[#This Row],[P.U. USD]]*Tabla1[[#This Row],[CANTIDADES DE REFERENCIA]]</f>
        <v>0</v>
      </c>
      <c r="K1519" s="36"/>
      <c r="L1519" s="36"/>
      <c r="M1519" s="36"/>
      <c r="N1519" s="37"/>
      <c r="O1519" s="37"/>
      <c r="P1519" s="38"/>
      <c r="Q1519" s="37" t="s">
        <v>3325</v>
      </c>
      <c r="R1519" s="37" t="s">
        <v>389</v>
      </c>
      <c r="S1519" s="37" t="s">
        <v>390</v>
      </c>
      <c r="T1519" s="31"/>
    </row>
    <row r="1520" spans="1:20">
      <c r="A1520" s="31"/>
      <c r="B1520" s="32"/>
      <c r="C1520" s="33"/>
      <c r="D1520" s="32" t="s">
        <v>3326</v>
      </c>
      <c r="E1520" s="33" t="s">
        <v>116</v>
      </c>
      <c r="F1520" s="34">
        <v>1</v>
      </c>
      <c r="G1520" s="35">
        <v>0</v>
      </c>
      <c r="H1520" s="35">
        <v>0</v>
      </c>
      <c r="I1520" s="35">
        <f>Tabla1[[#This Row],[P.U. M.N.]]*Tabla1[[#This Row],[CANTIDADES DE REFERENCIA]]</f>
        <v>0</v>
      </c>
      <c r="J1520" s="35">
        <f>Tabla1[[#This Row],[P.U. USD]]*Tabla1[[#This Row],[CANTIDADES DE REFERENCIA]]</f>
        <v>0</v>
      </c>
      <c r="K1520" s="36"/>
      <c r="L1520" s="36"/>
      <c r="M1520" s="36"/>
      <c r="N1520" s="37"/>
      <c r="O1520" s="37"/>
      <c r="P1520" s="38"/>
      <c r="Q1520" s="37" t="s">
        <v>3327</v>
      </c>
      <c r="R1520" s="37" t="s">
        <v>389</v>
      </c>
      <c r="S1520" s="37" t="s">
        <v>390</v>
      </c>
      <c r="T1520" s="31"/>
    </row>
    <row r="1521" spans="1:20">
      <c r="A1521" s="31"/>
      <c r="B1521" s="32"/>
      <c r="C1521" s="33"/>
      <c r="D1521" s="32" t="s">
        <v>3328</v>
      </c>
      <c r="E1521" s="33" t="s">
        <v>116</v>
      </c>
      <c r="F1521" s="34">
        <v>1</v>
      </c>
      <c r="G1521" s="35">
        <v>0</v>
      </c>
      <c r="H1521" s="35">
        <v>0</v>
      </c>
      <c r="I1521" s="35">
        <f>Tabla1[[#This Row],[P.U. M.N.]]*Tabla1[[#This Row],[CANTIDADES DE REFERENCIA]]</f>
        <v>0</v>
      </c>
      <c r="J1521" s="35">
        <f>Tabla1[[#This Row],[P.U. USD]]*Tabla1[[#This Row],[CANTIDADES DE REFERENCIA]]</f>
        <v>0</v>
      </c>
      <c r="K1521" s="36"/>
      <c r="L1521" s="36"/>
      <c r="M1521" s="36"/>
      <c r="N1521" s="37"/>
      <c r="O1521" s="37"/>
      <c r="P1521" s="38"/>
      <c r="Q1521" s="37" t="s">
        <v>3329</v>
      </c>
      <c r="R1521" s="37" t="s">
        <v>389</v>
      </c>
      <c r="S1521" s="37" t="s">
        <v>390</v>
      </c>
      <c r="T1521" s="31"/>
    </row>
    <row r="1522" spans="1:20">
      <c r="A1522" s="31"/>
      <c r="B1522" s="32"/>
      <c r="C1522" s="33"/>
      <c r="D1522" s="32" t="s">
        <v>3330</v>
      </c>
      <c r="E1522" s="33" t="s">
        <v>116</v>
      </c>
      <c r="F1522" s="34">
        <v>1</v>
      </c>
      <c r="G1522" s="35">
        <v>0</v>
      </c>
      <c r="H1522" s="35">
        <v>0</v>
      </c>
      <c r="I1522" s="35">
        <f>Tabla1[[#This Row],[P.U. M.N.]]*Tabla1[[#This Row],[CANTIDADES DE REFERENCIA]]</f>
        <v>0</v>
      </c>
      <c r="J1522" s="35">
        <f>Tabla1[[#This Row],[P.U. USD]]*Tabla1[[#This Row],[CANTIDADES DE REFERENCIA]]</f>
        <v>0</v>
      </c>
      <c r="K1522" s="36"/>
      <c r="L1522" s="36"/>
      <c r="M1522" s="36"/>
      <c r="N1522" s="37"/>
      <c r="O1522" s="37"/>
      <c r="P1522" s="38"/>
      <c r="Q1522" s="37" t="s">
        <v>3331</v>
      </c>
      <c r="R1522" s="37" t="s">
        <v>389</v>
      </c>
      <c r="S1522" s="37" t="s">
        <v>390</v>
      </c>
      <c r="T1522" s="31"/>
    </row>
    <row r="1523" spans="1:20">
      <c r="A1523" s="31"/>
      <c r="B1523" s="32"/>
      <c r="C1523" s="33"/>
      <c r="D1523" s="32" t="s">
        <v>3332</v>
      </c>
      <c r="E1523" s="33" t="s">
        <v>116</v>
      </c>
      <c r="F1523" s="34">
        <v>1</v>
      </c>
      <c r="G1523" s="35">
        <v>0</v>
      </c>
      <c r="H1523" s="35">
        <v>0</v>
      </c>
      <c r="I1523" s="35">
        <f>Tabla1[[#This Row],[P.U. M.N.]]*Tabla1[[#This Row],[CANTIDADES DE REFERENCIA]]</f>
        <v>0</v>
      </c>
      <c r="J1523" s="35">
        <f>Tabla1[[#This Row],[P.U. USD]]*Tabla1[[#This Row],[CANTIDADES DE REFERENCIA]]</f>
        <v>0</v>
      </c>
      <c r="K1523" s="36"/>
      <c r="L1523" s="36"/>
      <c r="M1523" s="36"/>
      <c r="N1523" s="37"/>
      <c r="O1523" s="37"/>
      <c r="P1523" s="38"/>
      <c r="Q1523" s="37" t="s">
        <v>3333</v>
      </c>
      <c r="R1523" s="37" t="s">
        <v>389</v>
      </c>
      <c r="S1523" s="37" t="s">
        <v>390</v>
      </c>
      <c r="T1523" s="31"/>
    </row>
    <row r="1524" spans="1:20">
      <c r="A1524" s="31"/>
      <c r="B1524" s="32"/>
      <c r="C1524" s="33"/>
      <c r="D1524" s="32" t="s">
        <v>3334</v>
      </c>
      <c r="E1524" s="33" t="s">
        <v>116</v>
      </c>
      <c r="F1524" s="34">
        <v>1</v>
      </c>
      <c r="G1524" s="35">
        <v>0</v>
      </c>
      <c r="H1524" s="35">
        <v>0</v>
      </c>
      <c r="I1524" s="35">
        <f>Tabla1[[#This Row],[P.U. M.N.]]*Tabla1[[#This Row],[CANTIDADES DE REFERENCIA]]</f>
        <v>0</v>
      </c>
      <c r="J1524" s="35">
        <f>Tabla1[[#This Row],[P.U. USD]]*Tabla1[[#This Row],[CANTIDADES DE REFERENCIA]]</f>
        <v>0</v>
      </c>
      <c r="K1524" s="36"/>
      <c r="L1524" s="36"/>
      <c r="M1524" s="36"/>
      <c r="N1524" s="37"/>
      <c r="O1524" s="37"/>
      <c r="P1524" s="38"/>
      <c r="Q1524" s="37" t="s">
        <v>3335</v>
      </c>
      <c r="R1524" s="37" t="s">
        <v>389</v>
      </c>
      <c r="S1524" s="37" t="s">
        <v>390</v>
      </c>
      <c r="T1524" s="31"/>
    </row>
    <row r="1525" spans="1:20">
      <c r="A1525" s="31"/>
      <c r="B1525" s="32"/>
      <c r="C1525" s="33"/>
      <c r="D1525" s="32" t="s">
        <v>3336</v>
      </c>
      <c r="E1525" s="33" t="s">
        <v>116</v>
      </c>
      <c r="F1525" s="34">
        <v>1</v>
      </c>
      <c r="G1525" s="35">
        <v>0</v>
      </c>
      <c r="H1525" s="35">
        <v>0</v>
      </c>
      <c r="I1525" s="35">
        <f>Tabla1[[#This Row],[P.U. M.N.]]*Tabla1[[#This Row],[CANTIDADES DE REFERENCIA]]</f>
        <v>0</v>
      </c>
      <c r="J1525" s="35">
        <f>Tabla1[[#This Row],[P.U. USD]]*Tabla1[[#This Row],[CANTIDADES DE REFERENCIA]]</f>
        <v>0</v>
      </c>
      <c r="K1525" s="36"/>
      <c r="L1525" s="36"/>
      <c r="M1525" s="36"/>
      <c r="N1525" s="37"/>
      <c r="O1525" s="37"/>
      <c r="P1525" s="38"/>
      <c r="Q1525" s="37" t="s">
        <v>3337</v>
      </c>
      <c r="R1525" s="37" t="s">
        <v>389</v>
      </c>
      <c r="S1525" s="37" t="s">
        <v>390</v>
      </c>
      <c r="T1525" s="31"/>
    </row>
    <row r="1526" spans="1:20">
      <c r="A1526" s="31"/>
      <c r="B1526" s="32"/>
      <c r="C1526" s="33"/>
      <c r="D1526" s="32" t="s">
        <v>3338</v>
      </c>
      <c r="E1526" s="33" t="s">
        <v>116</v>
      </c>
      <c r="F1526" s="34">
        <v>1</v>
      </c>
      <c r="G1526" s="35">
        <v>0</v>
      </c>
      <c r="H1526" s="35">
        <v>0</v>
      </c>
      <c r="I1526" s="35">
        <f>Tabla1[[#This Row],[P.U. M.N.]]*Tabla1[[#This Row],[CANTIDADES DE REFERENCIA]]</f>
        <v>0</v>
      </c>
      <c r="J1526" s="35">
        <f>Tabla1[[#This Row],[P.U. USD]]*Tabla1[[#This Row],[CANTIDADES DE REFERENCIA]]</f>
        <v>0</v>
      </c>
      <c r="K1526" s="36"/>
      <c r="L1526" s="36"/>
      <c r="M1526" s="36"/>
      <c r="N1526" s="37"/>
      <c r="O1526" s="37"/>
      <c r="P1526" s="38"/>
      <c r="Q1526" s="37" t="s">
        <v>3339</v>
      </c>
      <c r="R1526" s="37" t="s">
        <v>389</v>
      </c>
      <c r="S1526" s="37" t="s">
        <v>390</v>
      </c>
      <c r="T1526" s="31"/>
    </row>
    <row r="1527" spans="1:20">
      <c r="A1527" s="31"/>
      <c r="B1527" s="32"/>
      <c r="C1527" s="33"/>
      <c r="D1527" s="32" t="s">
        <v>3340</v>
      </c>
      <c r="E1527" s="33" t="s">
        <v>116</v>
      </c>
      <c r="F1527" s="34">
        <v>1</v>
      </c>
      <c r="G1527" s="35">
        <v>0</v>
      </c>
      <c r="H1527" s="35">
        <v>0</v>
      </c>
      <c r="I1527" s="35">
        <f>Tabla1[[#This Row],[P.U. M.N.]]*Tabla1[[#This Row],[CANTIDADES DE REFERENCIA]]</f>
        <v>0</v>
      </c>
      <c r="J1527" s="35">
        <f>Tabla1[[#This Row],[P.U. USD]]*Tabla1[[#This Row],[CANTIDADES DE REFERENCIA]]</f>
        <v>0</v>
      </c>
      <c r="K1527" s="36"/>
      <c r="L1527" s="36"/>
      <c r="M1527" s="36"/>
      <c r="N1527" s="37"/>
      <c r="O1527" s="37"/>
      <c r="P1527" s="38"/>
      <c r="Q1527" s="37" t="s">
        <v>3341</v>
      </c>
      <c r="R1527" s="37" t="s">
        <v>389</v>
      </c>
      <c r="S1527" s="37" t="s">
        <v>390</v>
      </c>
      <c r="T1527" s="31"/>
    </row>
    <row r="1528" spans="1:20">
      <c r="A1528" s="31"/>
      <c r="B1528" s="32"/>
      <c r="C1528" s="33"/>
      <c r="D1528" s="32" t="s">
        <v>3342</v>
      </c>
      <c r="E1528" s="33" t="s">
        <v>116</v>
      </c>
      <c r="F1528" s="34">
        <v>1</v>
      </c>
      <c r="G1528" s="35">
        <v>0</v>
      </c>
      <c r="H1528" s="35">
        <v>0</v>
      </c>
      <c r="I1528" s="35">
        <f>Tabla1[[#This Row],[P.U. M.N.]]*Tabla1[[#This Row],[CANTIDADES DE REFERENCIA]]</f>
        <v>0</v>
      </c>
      <c r="J1528" s="35">
        <f>Tabla1[[#This Row],[P.U. USD]]*Tabla1[[#This Row],[CANTIDADES DE REFERENCIA]]</f>
        <v>0</v>
      </c>
      <c r="K1528" s="36"/>
      <c r="L1528" s="36"/>
      <c r="M1528" s="36"/>
      <c r="N1528" s="37"/>
      <c r="O1528" s="37"/>
      <c r="P1528" s="38"/>
      <c r="Q1528" s="37" t="s">
        <v>3343</v>
      </c>
      <c r="R1528" s="37" t="s">
        <v>389</v>
      </c>
      <c r="S1528" s="37" t="s">
        <v>390</v>
      </c>
      <c r="T1528" s="31"/>
    </row>
    <row r="1529" spans="1:20">
      <c r="A1529" s="31"/>
      <c r="B1529" s="32"/>
      <c r="C1529" s="33"/>
      <c r="D1529" s="32" t="s">
        <v>3344</v>
      </c>
      <c r="E1529" s="33" t="s">
        <v>116</v>
      </c>
      <c r="F1529" s="34">
        <v>1</v>
      </c>
      <c r="G1529" s="35">
        <v>0</v>
      </c>
      <c r="H1529" s="35">
        <v>0</v>
      </c>
      <c r="I1529" s="35">
        <f>Tabla1[[#This Row],[P.U. M.N.]]*Tabla1[[#This Row],[CANTIDADES DE REFERENCIA]]</f>
        <v>0</v>
      </c>
      <c r="J1529" s="35">
        <f>Tabla1[[#This Row],[P.U. USD]]*Tabla1[[#This Row],[CANTIDADES DE REFERENCIA]]</f>
        <v>0</v>
      </c>
      <c r="K1529" s="36"/>
      <c r="L1529" s="36"/>
      <c r="M1529" s="36"/>
      <c r="N1529" s="37"/>
      <c r="O1529" s="37"/>
      <c r="P1529" s="38"/>
      <c r="Q1529" s="37" t="s">
        <v>3345</v>
      </c>
      <c r="R1529" s="37" t="s">
        <v>389</v>
      </c>
      <c r="S1529" s="37" t="s">
        <v>390</v>
      </c>
      <c r="T1529" s="31"/>
    </row>
    <row r="1530" spans="1:20">
      <c r="A1530" s="31"/>
      <c r="B1530" s="32"/>
      <c r="C1530" s="33"/>
      <c r="D1530" s="32" t="s">
        <v>3346</v>
      </c>
      <c r="E1530" s="33" t="s">
        <v>116</v>
      </c>
      <c r="F1530" s="34">
        <v>1</v>
      </c>
      <c r="G1530" s="35">
        <v>0</v>
      </c>
      <c r="H1530" s="35">
        <v>0</v>
      </c>
      <c r="I1530" s="35">
        <f>Tabla1[[#This Row],[P.U. M.N.]]*Tabla1[[#This Row],[CANTIDADES DE REFERENCIA]]</f>
        <v>0</v>
      </c>
      <c r="J1530" s="35">
        <f>Tabla1[[#This Row],[P.U. USD]]*Tabla1[[#This Row],[CANTIDADES DE REFERENCIA]]</f>
        <v>0</v>
      </c>
      <c r="K1530" s="36"/>
      <c r="L1530" s="36"/>
      <c r="M1530" s="36"/>
      <c r="N1530" s="37"/>
      <c r="O1530" s="37"/>
      <c r="P1530" s="38"/>
      <c r="Q1530" s="37" t="s">
        <v>3347</v>
      </c>
      <c r="R1530" s="37" t="s">
        <v>389</v>
      </c>
      <c r="S1530" s="37" t="s">
        <v>390</v>
      </c>
      <c r="T1530" s="31"/>
    </row>
    <row r="1531" spans="1:20">
      <c r="A1531" s="31"/>
      <c r="B1531" s="32"/>
      <c r="C1531" s="33"/>
      <c r="D1531" s="32" t="s">
        <v>3348</v>
      </c>
      <c r="E1531" s="33" t="s">
        <v>116</v>
      </c>
      <c r="F1531" s="34">
        <v>1</v>
      </c>
      <c r="G1531" s="35">
        <v>0</v>
      </c>
      <c r="H1531" s="35">
        <v>0</v>
      </c>
      <c r="I1531" s="35">
        <f>Tabla1[[#This Row],[P.U. M.N.]]*Tabla1[[#This Row],[CANTIDADES DE REFERENCIA]]</f>
        <v>0</v>
      </c>
      <c r="J1531" s="35">
        <f>Tabla1[[#This Row],[P.U. USD]]*Tabla1[[#This Row],[CANTIDADES DE REFERENCIA]]</f>
        <v>0</v>
      </c>
      <c r="K1531" s="36"/>
      <c r="L1531" s="36"/>
      <c r="M1531" s="36"/>
      <c r="N1531" s="37"/>
      <c r="O1531" s="37"/>
      <c r="P1531" s="38"/>
      <c r="Q1531" s="37" t="s">
        <v>3349</v>
      </c>
      <c r="R1531" s="37" t="s">
        <v>58</v>
      </c>
      <c r="S1531" s="37" t="s">
        <v>390</v>
      </c>
      <c r="T1531" s="31"/>
    </row>
    <row r="1532" spans="1:20">
      <c r="A1532" s="31"/>
      <c r="B1532" s="32"/>
      <c r="C1532" s="33"/>
      <c r="D1532" s="32" t="s">
        <v>3350</v>
      </c>
      <c r="E1532" s="33" t="s">
        <v>116</v>
      </c>
      <c r="F1532" s="34">
        <v>1</v>
      </c>
      <c r="G1532" s="35">
        <v>0</v>
      </c>
      <c r="H1532" s="35">
        <v>0</v>
      </c>
      <c r="I1532" s="35">
        <f>Tabla1[[#This Row],[P.U. M.N.]]*Tabla1[[#This Row],[CANTIDADES DE REFERENCIA]]</f>
        <v>0</v>
      </c>
      <c r="J1532" s="35">
        <f>Tabla1[[#This Row],[P.U. USD]]*Tabla1[[#This Row],[CANTIDADES DE REFERENCIA]]</f>
        <v>0</v>
      </c>
      <c r="K1532" s="36"/>
      <c r="L1532" s="36"/>
      <c r="M1532" s="36"/>
      <c r="N1532" s="37"/>
      <c r="O1532" s="37"/>
      <c r="P1532" s="38"/>
      <c r="Q1532" s="37" t="s">
        <v>3351</v>
      </c>
      <c r="R1532" s="37" t="s">
        <v>389</v>
      </c>
      <c r="S1532" s="37" t="s">
        <v>390</v>
      </c>
      <c r="T1532" s="31"/>
    </row>
    <row r="1533" spans="1:20">
      <c r="A1533" s="31"/>
      <c r="B1533" s="32"/>
      <c r="C1533" s="33"/>
      <c r="D1533" s="32" t="s">
        <v>3352</v>
      </c>
      <c r="E1533" s="33" t="s">
        <v>116</v>
      </c>
      <c r="F1533" s="34">
        <v>1</v>
      </c>
      <c r="G1533" s="35">
        <v>0</v>
      </c>
      <c r="H1533" s="35">
        <v>0</v>
      </c>
      <c r="I1533" s="35">
        <f>Tabla1[[#This Row],[P.U. M.N.]]*Tabla1[[#This Row],[CANTIDADES DE REFERENCIA]]</f>
        <v>0</v>
      </c>
      <c r="J1533" s="35">
        <f>Tabla1[[#This Row],[P.U. USD]]*Tabla1[[#This Row],[CANTIDADES DE REFERENCIA]]</f>
        <v>0</v>
      </c>
      <c r="K1533" s="36"/>
      <c r="L1533" s="36"/>
      <c r="M1533" s="36"/>
      <c r="N1533" s="37"/>
      <c r="O1533" s="37"/>
      <c r="P1533" s="38"/>
      <c r="Q1533" s="37" t="s">
        <v>3353</v>
      </c>
      <c r="R1533" s="37" t="s">
        <v>389</v>
      </c>
      <c r="S1533" s="37" t="s">
        <v>390</v>
      </c>
      <c r="T1533" s="31"/>
    </row>
    <row r="1534" spans="1:20" s="23" customFormat="1">
      <c r="A1534" s="31"/>
      <c r="B1534" s="32"/>
      <c r="C1534" s="33"/>
      <c r="D1534" s="32" t="s">
        <v>3354</v>
      </c>
      <c r="E1534" s="33" t="s">
        <v>116</v>
      </c>
      <c r="F1534" s="34">
        <v>1</v>
      </c>
      <c r="G1534" s="35">
        <v>0</v>
      </c>
      <c r="H1534" s="35">
        <v>0</v>
      </c>
      <c r="I1534" s="35">
        <f>Tabla1[[#This Row],[P.U. M.N.]]*Tabla1[[#This Row],[CANTIDADES DE REFERENCIA]]</f>
        <v>0</v>
      </c>
      <c r="J1534" s="35">
        <f>Tabla1[[#This Row],[P.U. USD]]*Tabla1[[#This Row],[CANTIDADES DE REFERENCIA]]</f>
        <v>0</v>
      </c>
      <c r="K1534" s="36"/>
      <c r="L1534" s="36"/>
      <c r="M1534" s="36"/>
      <c r="N1534" s="37"/>
      <c r="O1534" s="37"/>
      <c r="P1534" s="41"/>
      <c r="Q1534" s="37" t="s">
        <v>3355</v>
      </c>
      <c r="R1534" s="37" t="s">
        <v>58</v>
      </c>
      <c r="S1534" s="37" t="s">
        <v>390</v>
      </c>
      <c r="T1534" s="31"/>
    </row>
    <row r="1535" spans="1:20">
      <c r="A1535" s="31"/>
      <c r="B1535" s="32"/>
      <c r="C1535" s="33"/>
      <c r="D1535" s="32" t="s">
        <v>3356</v>
      </c>
      <c r="E1535" s="33" t="s">
        <v>116</v>
      </c>
      <c r="F1535" s="34">
        <v>1</v>
      </c>
      <c r="G1535" s="35">
        <v>0</v>
      </c>
      <c r="H1535" s="35">
        <v>0</v>
      </c>
      <c r="I1535" s="35">
        <f>Tabla1[[#This Row],[P.U. M.N.]]*Tabla1[[#This Row],[CANTIDADES DE REFERENCIA]]</f>
        <v>0</v>
      </c>
      <c r="J1535" s="35">
        <f>Tabla1[[#This Row],[P.U. USD]]*Tabla1[[#This Row],[CANTIDADES DE REFERENCIA]]</f>
        <v>0</v>
      </c>
      <c r="K1535" s="36"/>
      <c r="L1535" s="36"/>
      <c r="M1535" s="36"/>
      <c r="N1535" s="37"/>
      <c r="O1535" s="37"/>
      <c r="P1535" s="38"/>
      <c r="Q1535" s="37" t="s">
        <v>3357</v>
      </c>
      <c r="R1535" s="37" t="s">
        <v>389</v>
      </c>
      <c r="S1535" s="37" t="s">
        <v>390</v>
      </c>
      <c r="T1535" s="31"/>
    </row>
    <row r="1536" spans="1:20">
      <c r="A1536" s="31"/>
      <c r="B1536" s="32"/>
      <c r="C1536" s="33"/>
      <c r="D1536" s="32" t="s">
        <v>3358</v>
      </c>
      <c r="E1536" s="33" t="s">
        <v>42</v>
      </c>
      <c r="F1536" s="34">
        <v>1</v>
      </c>
      <c r="G1536" s="35">
        <v>0</v>
      </c>
      <c r="H1536" s="35">
        <v>0</v>
      </c>
      <c r="I1536" s="35">
        <f>Tabla1[[#This Row],[P.U. M.N.]]*Tabla1[[#This Row],[CANTIDADES DE REFERENCIA]]</f>
        <v>0</v>
      </c>
      <c r="J1536" s="35">
        <f>Tabla1[[#This Row],[P.U. USD]]*Tabla1[[#This Row],[CANTIDADES DE REFERENCIA]]</f>
        <v>0</v>
      </c>
      <c r="K1536" s="36"/>
      <c r="L1536" s="36"/>
      <c r="M1536" s="36"/>
      <c r="N1536" s="37" t="s">
        <v>31</v>
      </c>
      <c r="O1536" s="37"/>
      <c r="P1536" s="38"/>
      <c r="Q1536" s="37" t="s">
        <v>3359</v>
      </c>
      <c r="R1536" s="37" t="s">
        <v>389</v>
      </c>
      <c r="S1536" s="37" t="s">
        <v>33</v>
      </c>
      <c r="T1536" s="31"/>
    </row>
    <row r="1537" spans="1:20">
      <c r="A1537" s="31"/>
      <c r="B1537" s="32"/>
      <c r="C1537" s="33"/>
      <c r="D1537" s="32" t="s">
        <v>3360</v>
      </c>
      <c r="E1537" s="33" t="s">
        <v>116</v>
      </c>
      <c r="F1537" s="34">
        <v>1</v>
      </c>
      <c r="G1537" s="35">
        <v>0</v>
      </c>
      <c r="H1537" s="35">
        <v>0</v>
      </c>
      <c r="I1537" s="35">
        <f>Tabla1[[#This Row],[P.U. M.N.]]*Tabla1[[#This Row],[CANTIDADES DE REFERENCIA]]</f>
        <v>0</v>
      </c>
      <c r="J1537" s="35">
        <f>Tabla1[[#This Row],[P.U. USD]]*Tabla1[[#This Row],[CANTIDADES DE REFERENCIA]]</f>
        <v>0</v>
      </c>
      <c r="K1537" s="36"/>
      <c r="L1537" s="36"/>
      <c r="M1537" s="36"/>
      <c r="N1537" s="37"/>
      <c r="O1537" s="37"/>
      <c r="P1537" s="38"/>
      <c r="Q1537" s="37" t="s">
        <v>3361</v>
      </c>
      <c r="R1537" s="37" t="s">
        <v>389</v>
      </c>
      <c r="S1537" s="37" t="s">
        <v>390</v>
      </c>
      <c r="T1537" s="31"/>
    </row>
    <row r="1538" spans="1:20">
      <c r="A1538" s="31"/>
      <c r="B1538" s="32"/>
      <c r="C1538" s="33"/>
      <c r="D1538" s="32" t="s">
        <v>3362</v>
      </c>
      <c r="E1538" s="33" t="s">
        <v>116</v>
      </c>
      <c r="F1538" s="34">
        <v>1</v>
      </c>
      <c r="G1538" s="35">
        <v>0</v>
      </c>
      <c r="H1538" s="35">
        <v>0</v>
      </c>
      <c r="I1538" s="35">
        <f>Tabla1[[#This Row],[P.U. M.N.]]*Tabla1[[#This Row],[CANTIDADES DE REFERENCIA]]</f>
        <v>0</v>
      </c>
      <c r="J1538" s="35">
        <f>Tabla1[[#This Row],[P.U. USD]]*Tabla1[[#This Row],[CANTIDADES DE REFERENCIA]]</f>
        <v>0</v>
      </c>
      <c r="K1538" s="36"/>
      <c r="L1538" s="36"/>
      <c r="M1538" s="36"/>
      <c r="N1538" s="37" t="s">
        <v>455</v>
      </c>
      <c r="O1538" s="37" t="s">
        <v>456</v>
      </c>
      <c r="P1538" s="38"/>
      <c r="Q1538" s="37" t="s">
        <v>3363</v>
      </c>
      <c r="R1538" s="37"/>
      <c r="S1538" s="37" t="s">
        <v>458</v>
      </c>
      <c r="T1538" s="31"/>
    </row>
    <row r="1539" spans="1:20">
      <c r="A1539" s="31"/>
      <c r="B1539" s="32"/>
      <c r="C1539" s="33"/>
      <c r="D1539" s="32" t="s">
        <v>3364</v>
      </c>
      <c r="E1539" s="33" t="s">
        <v>116</v>
      </c>
      <c r="F1539" s="34">
        <v>1</v>
      </c>
      <c r="G1539" s="35">
        <v>0</v>
      </c>
      <c r="H1539" s="35">
        <v>0</v>
      </c>
      <c r="I1539" s="35">
        <f>Tabla1[[#This Row],[P.U. M.N.]]*Tabla1[[#This Row],[CANTIDADES DE REFERENCIA]]</f>
        <v>0</v>
      </c>
      <c r="J1539" s="35">
        <f>Tabla1[[#This Row],[P.U. USD]]*Tabla1[[#This Row],[CANTIDADES DE REFERENCIA]]</f>
        <v>0</v>
      </c>
      <c r="K1539" s="36"/>
      <c r="L1539" s="36"/>
      <c r="M1539" s="36"/>
      <c r="N1539" s="37"/>
      <c r="O1539" s="37"/>
      <c r="P1539" s="38"/>
      <c r="Q1539" s="37" t="s">
        <v>3365</v>
      </c>
      <c r="R1539" s="37" t="s">
        <v>389</v>
      </c>
      <c r="S1539" s="37" t="s">
        <v>390</v>
      </c>
      <c r="T1539" s="31"/>
    </row>
    <row r="1540" spans="1:20">
      <c r="A1540" s="31"/>
      <c r="B1540" s="32"/>
      <c r="C1540" s="33"/>
      <c r="D1540" s="32" t="s">
        <v>3366</v>
      </c>
      <c r="E1540" s="33" t="s">
        <v>116</v>
      </c>
      <c r="F1540" s="34">
        <v>1</v>
      </c>
      <c r="G1540" s="35">
        <v>0</v>
      </c>
      <c r="H1540" s="35">
        <v>0</v>
      </c>
      <c r="I1540" s="35">
        <f>Tabla1[[#This Row],[P.U. M.N.]]*Tabla1[[#This Row],[CANTIDADES DE REFERENCIA]]</f>
        <v>0</v>
      </c>
      <c r="J1540" s="35">
        <f>Tabla1[[#This Row],[P.U. USD]]*Tabla1[[#This Row],[CANTIDADES DE REFERENCIA]]</f>
        <v>0</v>
      </c>
      <c r="K1540" s="36"/>
      <c r="L1540" s="36"/>
      <c r="M1540" s="36"/>
      <c r="N1540" s="37"/>
      <c r="O1540" s="37"/>
      <c r="P1540" s="38"/>
      <c r="Q1540" s="37" t="s">
        <v>3367</v>
      </c>
      <c r="R1540" s="37" t="s">
        <v>389</v>
      </c>
      <c r="S1540" s="37" t="s">
        <v>390</v>
      </c>
      <c r="T1540" s="31"/>
    </row>
    <row r="1541" spans="1:20">
      <c r="A1541" s="31"/>
      <c r="B1541" s="32"/>
      <c r="C1541" s="33"/>
      <c r="D1541" s="32" t="s">
        <v>3368</v>
      </c>
      <c r="E1541" s="33" t="s">
        <v>116</v>
      </c>
      <c r="F1541" s="34">
        <v>1</v>
      </c>
      <c r="G1541" s="35">
        <v>0</v>
      </c>
      <c r="H1541" s="35">
        <v>0</v>
      </c>
      <c r="I1541" s="35">
        <f>Tabla1[[#This Row],[P.U. M.N.]]*Tabla1[[#This Row],[CANTIDADES DE REFERENCIA]]</f>
        <v>0</v>
      </c>
      <c r="J1541" s="35">
        <f>Tabla1[[#This Row],[P.U. USD]]*Tabla1[[#This Row],[CANTIDADES DE REFERENCIA]]</f>
        <v>0</v>
      </c>
      <c r="K1541" s="36"/>
      <c r="L1541" s="36"/>
      <c r="M1541" s="36"/>
      <c r="N1541" s="37"/>
      <c r="O1541" s="37"/>
      <c r="P1541" s="38"/>
      <c r="Q1541" s="37" t="s">
        <v>3369</v>
      </c>
      <c r="R1541" s="37" t="s">
        <v>389</v>
      </c>
      <c r="S1541" s="37" t="s">
        <v>390</v>
      </c>
      <c r="T1541" s="31"/>
    </row>
    <row r="1542" spans="1:20">
      <c r="A1542" s="31"/>
      <c r="B1542" s="32"/>
      <c r="C1542" s="33"/>
      <c r="D1542" s="32" t="s">
        <v>3370</v>
      </c>
      <c r="E1542" s="33" t="s">
        <v>116</v>
      </c>
      <c r="F1542" s="34">
        <v>1</v>
      </c>
      <c r="G1542" s="35">
        <v>0</v>
      </c>
      <c r="H1542" s="35">
        <v>0</v>
      </c>
      <c r="I1542" s="35">
        <f>Tabla1[[#This Row],[P.U. M.N.]]*Tabla1[[#This Row],[CANTIDADES DE REFERENCIA]]</f>
        <v>0</v>
      </c>
      <c r="J1542" s="35">
        <f>Tabla1[[#This Row],[P.U. USD]]*Tabla1[[#This Row],[CANTIDADES DE REFERENCIA]]</f>
        <v>0</v>
      </c>
      <c r="K1542" s="36"/>
      <c r="L1542" s="36"/>
      <c r="M1542" s="36"/>
      <c r="N1542" s="37"/>
      <c r="O1542" s="37"/>
      <c r="P1542" s="38"/>
      <c r="Q1542" s="37" t="s">
        <v>3371</v>
      </c>
      <c r="R1542" s="37" t="s">
        <v>389</v>
      </c>
      <c r="S1542" s="37" t="s">
        <v>390</v>
      </c>
      <c r="T1542" s="31"/>
    </row>
    <row r="1543" spans="1:20">
      <c r="A1543" s="31"/>
      <c r="B1543" s="32"/>
      <c r="C1543" s="33"/>
      <c r="D1543" s="32" t="s">
        <v>3372</v>
      </c>
      <c r="E1543" s="33" t="s">
        <v>116</v>
      </c>
      <c r="F1543" s="34">
        <v>1</v>
      </c>
      <c r="G1543" s="35">
        <v>0</v>
      </c>
      <c r="H1543" s="35">
        <v>0</v>
      </c>
      <c r="I1543" s="35">
        <f>Tabla1[[#This Row],[P.U. M.N.]]*Tabla1[[#This Row],[CANTIDADES DE REFERENCIA]]</f>
        <v>0</v>
      </c>
      <c r="J1543" s="35">
        <f>Tabla1[[#This Row],[P.U. USD]]*Tabla1[[#This Row],[CANTIDADES DE REFERENCIA]]</f>
        <v>0</v>
      </c>
      <c r="K1543" s="36"/>
      <c r="L1543" s="36"/>
      <c r="M1543" s="36"/>
      <c r="N1543" s="37"/>
      <c r="O1543" s="37"/>
      <c r="P1543" s="38"/>
      <c r="Q1543" s="37" t="s">
        <v>3373</v>
      </c>
      <c r="R1543" s="37" t="s">
        <v>58</v>
      </c>
      <c r="S1543" s="37" t="s">
        <v>390</v>
      </c>
      <c r="T1543" s="31"/>
    </row>
    <row r="1544" spans="1:20">
      <c r="A1544" s="31"/>
      <c r="B1544" s="32"/>
      <c r="C1544" s="33"/>
      <c r="D1544" s="32" t="s">
        <v>3374</v>
      </c>
      <c r="E1544" s="33" t="s">
        <v>116</v>
      </c>
      <c r="F1544" s="34">
        <v>1</v>
      </c>
      <c r="G1544" s="35">
        <v>0</v>
      </c>
      <c r="H1544" s="35">
        <v>0</v>
      </c>
      <c r="I1544" s="35">
        <f>Tabla1[[#This Row],[P.U. M.N.]]*Tabla1[[#This Row],[CANTIDADES DE REFERENCIA]]</f>
        <v>0</v>
      </c>
      <c r="J1544" s="35">
        <f>Tabla1[[#This Row],[P.U. USD]]*Tabla1[[#This Row],[CANTIDADES DE REFERENCIA]]</f>
        <v>0</v>
      </c>
      <c r="K1544" s="36"/>
      <c r="L1544" s="36"/>
      <c r="M1544" s="36"/>
      <c r="N1544" s="37"/>
      <c r="O1544" s="37"/>
      <c r="P1544" s="38"/>
      <c r="Q1544" s="37" t="s">
        <v>3375</v>
      </c>
      <c r="R1544" s="37" t="s">
        <v>389</v>
      </c>
      <c r="S1544" s="37" t="s">
        <v>390</v>
      </c>
      <c r="T1544" s="31"/>
    </row>
    <row r="1545" spans="1:20">
      <c r="A1545" s="31"/>
      <c r="B1545" s="32"/>
      <c r="C1545" s="33"/>
      <c r="D1545" s="32" t="s">
        <v>3376</v>
      </c>
      <c r="E1545" s="33" t="s">
        <v>116</v>
      </c>
      <c r="F1545" s="34">
        <v>1</v>
      </c>
      <c r="G1545" s="35">
        <v>0</v>
      </c>
      <c r="H1545" s="35">
        <v>0</v>
      </c>
      <c r="I1545" s="35">
        <f>Tabla1[[#This Row],[P.U. M.N.]]*Tabla1[[#This Row],[CANTIDADES DE REFERENCIA]]</f>
        <v>0</v>
      </c>
      <c r="J1545" s="35">
        <f>Tabla1[[#This Row],[P.U. USD]]*Tabla1[[#This Row],[CANTIDADES DE REFERENCIA]]</f>
        <v>0</v>
      </c>
      <c r="K1545" s="36"/>
      <c r="L1545" s="36"/>
      <c r="M1545" s="36"/>
      <c r="N1545" s="37"/>
      <c r="O1545" s="37"/>
      <c r="P1545" s="38"/>
      <c r="Q1545" s="37" t="s">
        <v>3377</v>
      </c>
      <c r="R1545" s="37" t="s">
        <v>389</v>
      </c>
      <c r="S1545" s="37" t="s">
        <v>390</v>
      </c>
      <c r="T1545" s="31"/>
    </row>
    <row r="1546" spans="1:20">
      <c r="A1546" s="31"/>
      <c r="B1546" s="32"/>
      <c r="C1546" s="33"/>
      <c r="D1546" s="32" t="s">
        <v>3378</v>
      </c>
      <c r="E1546" s="33" t="s">
        <v>42</v>
      </c>
      <c r="F1546" s="34">
        <v>1</v>
      </c>
      <c r="G1546" s="35">
        <v>0</v>
      </c>
      <c r="H1546" s="35">
        <v>0</v>
      </c>
      <c r="I1546" s="35">
        <f>Tabla1[[#This Row],[P.U. M.N.]]*Tabla1[[#This Row],[CANTIDADES DE REFERENCIA]]</f>
        <v>0</v>
      </c>
      <c r="J1546" s="35">
        <f>Tabla1[[#This Row],[P.U. USD]]*Tabla1[[#This Row],[CANTIDADES DE REFERENCIA]]</f>
        <v>0</v>
      </c>
      <c r="K1546" s="36"/>
      <c r="L1546" s="36"/>
      <c r="M1546" s="36"/>
      <c r="N1546" s="37"/>
      <c r="O1546" s="37"/>
      <c r="P1546" s="38"/>
      <c r="Q1546" s="37" t="s">
        <v>3379</v>
      </c>
      <c r="R1546" s="37" t="s">
        <v>389</v>
      </c>
      <c r="S1546" s="37" t="s">
        <v>390</v>
      </c>
      <c r="T1546" s="31"/>
    </row>
    <row r="1547" spans="1:20">
      <c r="A1547" s="31"/>
      <c r="B1547" s="32"/>
      <c r="C1547" s="33"/>
      <c r="D1547" s="32" t="s">
        <v>3380</v>
      </c>
      <c r="E1547" s="33" t="s">
        <v>23</v>
      </c>
      <c r="F1547" s="34">
        <v>1</v>
      </c>
      <c r="G1547" s="35">
        <v>0</v>
      </c>
      <c r="H1547" s="35">
        <v>0</v>
      </c>
      <c r="I1547" s="35">
        <f>Tabla1[[#This Row],[P.U. M.N.]]*Tabla1[[#This Row],[CANTIDADES DE REFERENCIA]]</f>
        <v>0</v>
      </c>
      <c r="J1547" s="35">
        <f>Tabla1[[#This Row],[P.U. USD]]*Tabla1[[#This Row],[CANTIDADES DE REFERENCIA]]</f>
        <v>0</v>
      </c>
      <c r="K1547" s="36"/>
      <c r="L1547" s="36"/>
      <c r="M1547" s="36"/>
      <c r="N1547" s="37"/>
      <c r="O1547" s="37"/>
      <c r="P1547" s="38"/>
      <c r="Q1547" s="37" t="s">
        <v>3381</v>
      </c>
      <c r="R1547" s="37" t="s">
        <v>389</v>
      </c>
      <c r="S1547" s="37" t="s">
        <v>390</v>
      </c>
      <c r="T1547" s="31"/>
    </row>
    <row r="1548" spans="1:20">
      <c r="A1548" s="31"/>
      <c r="B1548" s="32"/>
      <c r="C1548" s="33"/>
      <c r="D1548" s="32" t="s">
        <v>3382</v>
      </c>
      <c r="E1548" s="33" t="s">
        <v>116</v>
      </c>
      <c r="F1548" s="34">
        <v>1</v>
      </c>
      <c r="G1548" s="35">
        <v>0</v>
      </c>
      <c r="H1548" s="35">
        <v>0</v>
      </c>
      <c r="I1548" s="35">
        <f>Tabla1[[#This Row],[P.U. M.N.]]*Tabla1[[#This Row],[CANTIDADES DE REFERENCIA]]</f>
        <v>0</v>
      </c>
      <c r="J1548" s="35">
        <f>Tabla1[[#This Row],[P.U. USD]]*Tabla1[[#This Row],[CANTIDADES DE REFERENCIA]]</f>
        <v>0</v>
      </c>
      <c r="K1548" s="36"/>
      <c r="L1548" s="36"/>
      <c r="M1548" s="36"/>
      <c r="N1548" s="37" t="s">
        <v>79</v>
      </c>
      <c r="O1548" s="37" t="s">
        <v>80</v>
      </c>
      <c r="P1548" s="38"/>
      <c r="Q1548" s="37" t="s">
        <v>3383</v>
      </c>
      <c r="R1548" s="37"/>
      <c r="S1548" s="37" t="s">
        <v>82</v>
      </c>
      <c r="T1548" s="31"/>
    </row>
    <row r="1549" spans="1:20">
      <c r="A1549" s="31"/>
      <c r="B1549" s="32"/>
      <c r="C1549" s="33"/>
      <c r="D1549" s="32" t="s">
        <v>3384</v>
      </c>
      <c r="E1549" s="33" t="s">
        <v>61</v>
      </c>
      <c r="F1549" s="34">
        <v>1</v>
      </c>
      <c r="G1549" s="35">
        <v>0</v>
      </c>
      <c r="H1549" s="35">
        <v>0</v>
      </c>
      <c r="I1549" s="35">
        <f>Tabla1[[#This Row],[P.U. M.N.]]*Tabla1[[#This Row],[CANTIDADES DE REFERENCIA]]</f>
        <v>0</v>
      </c>
      <c r="J1549" s="35">
        <f>Tabla1[[#This Row],[P.U. USD]]*Tabla1[[#This Row],[CANTIDADES DE REFERENCIA]]</f>
        <v>0</v>
      </c>
      <c r="K1549" s="36"/>
      <c r="L1549" s="36"/>
      <c r="M1549" s="36"/>
      <c r="N1549" s="37"/>
      <c r="O1549" s="37"/>
      <c r="P1549" s="38"/>
      <c r="Q1549" s="37" t="s">
        <v>3385</v>
      </c>
      <c r="R1549" s="37" t="s">
        <v>389</v>
      </c>
      <c r="S1549" s="37" t="s">
        <v>390</v>
      </c>
      <c r="T1549" s="31"/>
    </row>
    <row r="1550" spans="1:20">
      <c r="A1550" s="31"/>
      <c r="B1550" s="32"/>
      <c r="C1550" s="33"/>
      <c r="D1550" s="32" t="s">
        <v>3386</v>
      </c>
      <c r="E1550" s="33" t="s">
        <v>367</v>
      </c>
      <c r="F1550" s="34">
        <v>1</v>
      </c>
      <c r="G1550" s="35">
        <v>0</v>
      </c>
      <c r="H1550" s="35">
        <v>0</v>
      </c>
      <c r="I1550" s="35">
        <f>Tabla1[[#This Row],[P.U. M.N.]]*Tabla1[[#This Row],[CANTIDADES DE REFERENCIA]]</f>
        <v>0</v>
      </c>
      <c r="J1550" s="35">
        <f>Tabla1[[#This Row],[P.U. USD]]*Tabla1[[#This Row],[CANTIDADES DE REFERENCIA]]</f>
        <v>0</v>
      </c>
      <c r="K1550" s="36"/>
      <c r="L1550" s="36"/>
      <c r="M1550" s="36"/>
      <c r="N1550" s="37"/>
      <c r="O1550" s="37"/>
      <c r="P1550" s="38"/>
      <c r="Q1550" s="37" t="s">
        <v>3387</v>
      </c>
      <c r="R1550" s="37" t="s">
        <v>389</v>
      </c>
      <c r="S1550" s="37" t="s">
        <v>390</v>
      </c>
      <c r="T1550" s="31"/>
    </row>
    <row r="1551" spans="1:20">
      <c r="A1551" s="31"/>
      <c r="B1551" s="32"/>
      <c r="C1551" s="33"/>
      <c r="D1551" s="32" t="s">
        <v>3388</v>
      </c>
      <c r="E1551" s="33" t="s">
        <v>367</v>
      </c>
      <c r="F1551" s="34">
        <v>1</v>
      </c>
      <c r="G1551" s="35">
        <v>0</v>
      </c>
      <c r="H1551" s="35">
        <v>0</v>
      </c>
      <c r="I1551" s="35">
        <f>Tabla1[[#This Row],[P.U. M.N.]]*Tabla1[[#This Row],[CANTIDADES DE REFERENCIA]]</f>
        <v>0</v>
      </c>
      <c r="J1551" s="35">
        <f>Tabla1[[#This Row],[P.U. USD]]*Tabla1[[#This Row],[CANTIDADES DE REFERENCIA]]</f>
        <v>0</v>
      </c>
      <c r="K1551" s="36"/>
      <c r="L1551" s="36"/>
      <c r="M1551" s="36"/>
      <c r="N1551" s="37"/>
      <c r="O1551" s="37"/>
      <c r="P1551" s="38"/>
      <c r="Q1551" s="37" t="s">
        <v>3389</v>
      </c>
      <c r="R1551" s="37" t="s">
        <v>389</v>
      </c>
      <c r="S1551" s="37" t="s">
        <v>3390</v>
      </c>
      <c r="T1551" s="31"/>
    </row>
    <row r="1552" spans="1:20">
      <c r="A1552" s="31"/>
      <c r="B1552" s="32"/>
      <c r="C1552" s="33"/>
      <c r="D1552" s="32" t="s">
        <v>3391</v>
      </c>
      <c r="E1552" s="33" t="s">
        <v>367</v>
      </c>
      <c r="F1552" s="34">
        <v>1</v>
      </c>
      <c r="G1552" s="35">
        <v>0</v>
      </c>
      <c r="H1552" s="35">
        <v>0</v>
      </c>
      <c r="I1552" s="35">
        <f>Tabla1[[#This Row],[P.U. M.N.]]*Tabla1[[#This Row],[CANTIDADES DE REFERENCIA]]</f>
        <v>0</v>
      </c>
      <c r="J1552" s="35">
        <f>Tabla1[[#This Row],[P.U. USD]]*Tabla1[[#This Row],[CANTIDADES DE REFERENCIA]]</f>
        <v>0</v>
      </c>
      <c r="K1552" s="36"/>
      <c r="L1552" s="36"/>
      <c r="M1552" s="36"/>
      <c r="N1552" s="37"/>
      <c r="O1552" s="37"/>
      <c r="P1552" s="38"/>
      <c r="Q1552" s="37" t="s">
        <v>3392</v>
      </c>
      <c r="R1552" s="37" t="s">
        <v>389</v>
      </c>
      <c r="S1552" s="37" t="s">
        <v>3390</v>
      </c>
      <c r="T1552" s="31"/>
    </row>
    <row r="1553" spans="1:20">
      <c r="A1553" s="31"/>
      <c r="B1553" s="32"/>
      <c r="C1553" s="33"/>
      <c r="D1553" s="32" t="s">
        <v>3393</v>
      </c>
      <c r="E1553" s="33" t="s">
        <v>367</v>
      </c>
      <c r="F1553" s="34">
        <v>1</v>
      </c>
      <c r="G1553" s="35">
        <v>0</v>
      </c>
      <c r="H1553" s="35">
        <v>0</v>
      </c>
      <c r="I1553" s="35">
        <f>Tabla1[[#This Row],[P.U. M.N.]]*Tabla1[[#This Row],[CANTIDADES DE REFERENCIA]]</f>
        <v>0</v>
      </c>
      <c r="J1553" s="35">
        <f>Tabla1[[#This Row],[P.U. USD]]*Tabla1[[#This Row],[CANTIDADES DE REFERENCIA]]</f>
        <v>0</v>
      </c>
      <c r="K1553" s="36"/>
      <c r="L1553" s="36"/>
      <c r="M1553" s="36"/>
      <c r="N1553" s="37"/>
      <c r="O1553" s="37"/>
      <c r="P1553" s="38"/>
      <c r="Q1553" s="37" t="s">
        <v>3394</v>
      </c>
      <c r="R1553" s="37" t="s">
        <v>389</v>
      </c>
      <c r="S1553" s="37" t="s">
        <v>3390</v>
      </c>
      <c r="T1553" s="31"/>
    </row>
    <row r="1554" spans="1:20">
      <c r="A1554" s="31"/>
      <c r="B1554" s="32"/>
      <c r="C1554" s="33"/>
      <c r="D1554" s="32" t="s">
        <v>3395</v>
      </c>
      <c r="E1554" s="33" t="s">
        <v>367</v>
      </c>
      <c r="F1554" s="34">
        <v>1</v>
      </c>
      <c r="G1554" s="35">
        <v>0</v>
      </c>
      <c r="H1554" s="35">
        <v>0</v>
      </c>
      <c r="I1554" s="35">
        <f>Tabla1[[#This Row],[P.U. M.N.]]*Tabla1[[#This Row],[CANTIDADES DE REFERENCIA]]</f>
        <v>0</v>
      </c>
      <c r="J1554" s="35">
        <f>Tabla1[[#This Row],[P.U. USD]]*Tabla1[[#This Row],[CANTIDADES DE REFERENCIA]]</f>
        <v>0</v>
      </c>
      <c r="K1554" s="36"/>
      <c r="L1554" s="36"/>
      <c r="M1554" s="36"/>
      <c r="N1554" s="37"/>
      <c r="O1554" s="37"/>
      <c r="P1554" s="38"/>
      <c r="Q1554" s="37" t="s">
        <v>3396</v>
      </c>
      <c r="R1554" s="37" t="s">
        <v>389</v>
      </c>
      <c r="S1554" s="37" t="s">
        <v>3390</v>
      </c>
      <c r="T1554" s="31"/>
    </row>
    <row r="1555" spans="1:20">
      <c r="A1555" s="31"/>
      <c r="B1555" s="32"/>
      <c r="C1555" s="33"/>
      <c r="D1555" s="32" t="s">
        <v>3397</v>
      </c>
      <c r="E1555" s="33" t="s">
        <v>367</v>
      </c>
      <c r="F1555" s="34">
        <v>1</v>
      </c>
      <c r="G1555" s="35">
        <v>0</v>
      </c>
      <c r="H1555" s="35">
        <v>0</v>
      </c>
      <c r="I1555" s="35">
        <f>Tabla1[[#This Row],[P.U. M.N.]]*Tabla1[[#This Row],[CANTIDADES DE REFERENCIA]]</f>
        <v>0</v>
      </c>
      <c r="J1555" s="35">
        <f>Tabla1[[#This Row],[P.U. USD]]*Tabla1[[#This Row],[CANTIDADES DE REFERENCIA]]</f>
        <v>0</v>
      </c>
      <c r="K1555" s="36"/>
      <c r="L1555" s="36"/>
      <c r="M1555" s="36"/>
      <c r="N1555" s="37"/>
      <c r="O1555" s="37"/>
      <c r="P1555" s="38"/>
      <c r="Q1555" s="37" t="s">
        <v>3398</v>
      </c>
      <c r="R1555" s="37" t="s">
        <v>389</v>
      </c>
      <c r="S1555" s="37" t="s">
        <v>3390</v>
      </c>
      <c r="T1555" s="31"/>
    </row>
    <row r="1556" spans="1:20">
      <c r="A1556" s="31"/>
      <c r="B1556" s="32"/>
      <c r="C1556" s="33"/>
      <c r="D1556" s="32" t="s">
        <v>3399</v>
      </c>
      <c r="E1556" s="33" t="s">
        <v>367</v>
      </c>
      <c r="F1556" s="34">
        <v>1</v>
      </c>
      <c r="G1556" s="35">
        <v>0</v>
      </c>
      <c r="H1556" s="35">
        <v>0</v>
      </c>
      <c r="I1556" s="35">
        <f>Tabla1[[#This Row],[P.U. M.N.]]*Tabla1[[#This Row],[CANTIDADES DE REFERENCIA]]</f>
        <v>0</v>
      </c>
      <c r="J1556" s="35">
        <f>Tabla1[[#This Row],[P.U. USD]]*Tabla1[[#This Row],[CANTIDADES DE REFERENCIA]]</f>
        <v>0</v>
      </c>
      <c r="K1556" s="36"/>
      <c r="L1556" s="36"/>
      <c r="M1556" s="36"/>
      <c r="N1556" s="37"/>
      <c r="O1556" s="37"/>
      <c r="P1556" s="38"/>
      <c r="Q1556" s="37" t="s">
        <v>3400</v>
      </c>
      <c r="R1556" s="37" t="s">
        <v>389</v>
      </c>
      <c r="S1556" s="37" t="s">
        <v>3390</v>
      </c>
      <c r="T1556" s="31"/>
    </row>
    <row r="1557" spans="1:20">
      <c r="A1557" s="31"/>
      <c r="B1557" s="32"/>
      <c r="C1557" s="33"/>
      <c r="D1557" s="32" t="s">
        <v>3401</v>
      </c>
      <c r="E1557" s="33" t="s">
        <v>367</v>
      </c>
      <c r="F1557" s="34">
        <v>1</v>
      </c>
      <c r="G1557" s="35">
        <v>0</v>
      </c>
      <c r="H1557" s="35">
        <v>0</v>
      </c>
      <c r="I1557" s="35">
        <f>Tabla1[[#This Row],[P.U. M.N.]]*Tabla1[[#This Row],[CANTIDADES DE REFERENCIA]]</f>
        <v>0</v>
      </c>
      <c r="J1557" s="35">
        <f>Tabla1[[#This Row],[P.U. USD]]*Tabla1[[#This Row],[CANTIDADES DE REFERENCIA]]</f>
        <v>0</v>
      </c>
      <c r="K1557" s="36"/>
      <c r="L1557" s="36"/>
      <c r="M1557" s="36"/>
      <c r="N1557" s="37"/>
      <c r="O1557" s="37"/>
      <c r="P1557" s="38"/>
      <c r="Q1557" s="37" t="s">
        <v>3402</v>
      </c>
      <c r="R1557" s="37" t="s">
        <v>389</v>
      </c>
      <c r="S1557" s="37" t="s">
        <v>3390</v>
      </c>
      <c r="T1557" s="31"/>
    </row>
    <row r="1558" spans="1:20">
      <c r="A1558" s="31"/>
      <c r="B1558" s="32"/>
      <c r="C1558" s="33"/>
      <c r="D1558" s="32" t="s">
        <v>3403</v>
      </c>
      <c r="E1558" s="33" t="s">
        <v>367</v>
      </c>
      <c r="F1558" s="34">
        <v>1</v>
      </c>
      <c r="G1558" s="35">
        <v>0</v>
      </c>
      <c r="H1558" s="35">
        <v>0</v>
      </c>
      <c r="I1558" s="35">
        <f>Tabla1[[#This Row],[P.U. M.N.]]*Tabla1[[#This Row],[CANTIDADES DE REFERENCIA]]</f>
        <v>0</v>
      </c>
      <c r="J1558" s="35">
        <f>Tabla1[[#This Row],[P.U. USD]]*Tabla1[[#This Row],[CANTIDADES DE REFERENCIA]]</f>
        <v>0</v>
      </c>
      <c r="K1558" s="36"/>
      <c r="L1558" s="36"/>
      <c r="M1558" s="36"/>
      <c r="N1558" s="37"/>
      <c r="O1558" s="37"/>
      <c r="P1558" s="38"/>
      <c r="Q1558" s="37" t="s">
        <v>3404</v>
      </c>
      <c r="R1558" s="37" t="s">
        <v>389</v>
      </c>
      <c r="S1558" s="37" t="s">
        <v>3390</v>
      </c>
      <c r="T1558" s="31"/>
    </row>
    <row r="1559" spans="1:20">
      <c r="A1559" s="31"/>
      <c r="B1559" s="32"/>
      <c r="C1559" s="33"/>
      <c r="D1559" s="32" t="s">
        <v>3405</v>
      </c>
      <c r="E1559" s="33" t="s">
        <v>367</v>
      </c>
      <c r="F1559" s="34">
        <v>1</v>
      </c>
      <c r="G1559" s="35">
        <v>0</v>
      </c>
      <c r="H1559" s="35">
        <v>0</v>
      </c>
      <c r="I1559" s="35">
        <f>Tabla1[[#This Row],[P.U. M.N.]]*Tabla1[[#This Row],[CANTIDADES DE REFERENCIA]]</f>
        <v>0</v>
      </c>
      <c r="J1559" s="35">
        <f>Tabla1[[#This Row],[P.U. USD]]*Tabla1[[#This Row],[CANTIDADES DE REFERENCIA]]</f>
        <v>0</v>
      </c>
      <c r="K1559" s="36"/>
      <c r="L1559" s="36"/>
      <c r="M1559" s="36"/>
      <c r="N1559" s="37"/>
      <c r="O1559" s="37"/>
      <c r="P1559" s="38"/>
      <c r="Q1559" s="37" t="s">
        <v>3406</v>
      </c>
      <c r="R1559" s="37" t="s">
        <v>389</v>
      </c>
      <c r="S1559" s="37" t="s">
        <v>3390</v>
      </c>
      <c r="T1559" s="31"/>
    </row>
    <row r="1560" spans="1:20">
      <c r="A1560" s="31"/>
      <c r="B1560" s="32"/>
      <c r="C1560" s="33"/>
      <c r="D1560" s="32" t="s">
        <v>3407</v>
      </c>
      <c r="E1560" s="33" t="s">
        <v>42</v>
      </c>
      <c r="F1560" s="34">
        <v>1</v>
      </c>
      <c r="G1560" s="35">
        <v>0</v>
      </c>
      <c r="H1560" s="35">
        <v>0</v>
      </c>
      <c r="I1560" s="35">
        <f>Tabla1[[#This Row],[P.U. M.N.]]*Tabla1[[#This Row],[CANTIDADES DE REFERENCIA]]</f>
        <v>0</v>
      </c>
      <c r="J1560" s="35">
        <f>Tabla1[[#This Row],[P.U. USD]]*Tabla1[[#This Row],[CANTIDADES DE REFERENCIA]]</f>
        <v>0</v>
      </c>
      <c r="K1560" s="36"/>
      <c r="L1560" s="36"/>
      <c r="M1560" s="36"/>
      <c r="N1560" s="37"/>
      <c r="O1560" s="37"/>
      <c r="P1560" s="38"/>
      <c r="Q1560" s="37" t="s">
        <v>3408</v>
      </c>
      <c r="R1560" s="37" t="s">
        <v>389</v>
      </c>
      <c r="S1560" s="37" t="s">
        <v>3390</v>
      </c>
      <c r="T1560" s="31"/>
    </row>
    <row r="1561" spans="1:20">
      <c r="A1561" s="31"/>
      <c r="B1561" s="32"/>
      <c r="C1561" s="33"/>
      <c r="D1561" s="32" t="s">
        <v>3409</v>
      </c>
      <c r="E1561" s="33" t="s">
        <v>116</v>
      </c>
      <c r="F1561" s="34">
        <v>1</v>
      </c>
      <c r="G1561" s="35">
        <v>0</v>
      </c>
      <c r="H1561" s="35">
        <v>0</v>
      </c>
      <c r="I1561" s="35">
        <f>Tabla1[[#This Row],[P.U. M.N.]]*Tabla1[[#This Row],[CANTIDADES DE REFERENCIA]]</f>
        <v>0</v>
      </c>
      <c r="J1561" s="35">
        <f>Tabla1[[#This Row],[P.U. USD]]*Tabla1[[#This Row],[CANTIDADES DE REFERENCIA]]</f>
        <v>0</v>
      </c>
      <c r="K1561" s="36"/>
      <c r="L1561" s="36"/>
      <c r="M1561" s="36"/>
      <c r="N1561" s="37" t="s">
        <v>31</v>
      </c>
      <c r="O1561" s="37"/>
      <c r="P1561" s="38"/>
      <c r="Q1561" s="37" t="s">
        <v>3410</v>
      </c>
      <c r="R1561" s="37" t="s">
        <v>389</v>
      </c>
      <c r="S1561" s="37" t="s">
        <v>33</v>
      </c>
      <c r="T1561" s="31"/>
    </row>
    <row r="1562" spans="1:20">
      <c r="A1562" s="31"/>
      <c r="B1562" s="32"/>
      <c r="C1562" s="33"/>
      <c r="D1562" s="32" t="s">
        <v>3411</v>
      </c>
      <c r="E1562" s="33" t="s">
        <v>116</v>
      </c>
      <c r="F1562" s="34">
        <v>1</v>
      </c>
      <c r="G1562" s="35">
        <v>0</v>
      </c>
      <c r="H1562" s="35">
        <v>0</v>
      </c>
      <c r="I1562" s="35">
        <f>Tabla1[[#This Row],[P.U. M.N.]]*Tabla1[[#This Row],[CANTIDADES DE REFERENCIA]]</f>
        <v>0</v>
      </c>
      <c r="J1562" s="35">
        <f>Tabla1[[#This Row],[P.U. USD]]*Tabla1[[#This Row],[CANTIDADES DE REFERENCIA]]</f>
        <v>0</v>
      </c>
      <c r="K1562" s="36"/>
      <c r="L1562" s="36"/>
      <c r="M1562" s="36"/>
      <c r="N1562" s="37" t="s">
        <v>31</v>
      </c>
      <c r="O1562" s="37"/>
      <c r="P1562" s="38"/>
      <c r="Q1562" s="37" t="s">
        <v>3412</v>
      </c>
      <c r="R1562" s="37" t="s">
        <v>389</v>
      </c>
      <c r="S1562" s="37" t="s">
        <v>33</v>
      </c>
      <c r="T1562" s="31"/>
    </row>
    <row r="1563" spans="1:20">
      <c r="A1563" s="31"/>
      <c r="B1563" s="32"/>
      <c r="C1563" s="33"/>
      <c r="D1563" s="32" t="s">
        <v>3413</v>
      </c>
      <c r="E1563" s="33" t="s">
        <v>116</v>
      </c>
      <c r="F1563" s="34">
        <v>1</v>
      </c>
      <c r="G1563" s="35">
        <v>0</v>
      </c>
      <c r="H1563" s="35">
        <v>0</v>
      </c>
      <c r="I1563" s="35">
        <f>Tabla1[[#This Row],[P.U. M.N.]]*Tabla1[[#This Row],[CANTIDADES DE REFERENCIA]]</f>
        <v>0</v>
      </c>
      <c r="J1563" s="35">
        <f>Tabla1[[#This Row],[P.U. USD]]*Tabla1[[#This Row],[CANTIDADES DE REFERENCIA]]</f>
        <v>0</v>
      </c>
      <c r="K1563" s="36"/>
      <c r="L1563" s="36"/>
      <c r="M1563" s="36"/>
      <c r="N1563" s="37" t="s">
        <v>392</v>
      </c>
      <c r="O1563" s="37" t="s">
        <v>393</v>
      </c>
      <c r="P1563" s="38"/>
      <c r="Q1563" s="37" t="s">
        <v>3414</v>
      </c>
      <c r="R1563" s="37" t="s">
        <v>58</v>
      </c>
      <c r="S1563" s="37" t="s">
        <v>395</v>
      </c>
      <c r="T1563" s="31"/>
    </row>
    <row r="1564" spans="1:20">
      <c r="A1564" s="31"/>
      <c r="B1564" s="32"/>
      <c r="C1564" s="33"/>
      <c r="D1564" s="32" t="s">
        <v>3415</v>
      </c>
      <c r="E1564" s="33" t="s">
        <v>116</v>
      </c>
      <c r="F1564" s="34">
        <v>1</v>
      </c>
      <c r="G1564" s="35">
        <v>0</v>
      </c>
      <c r="H1564" s="35">
        <v>0</v>
      </c>
      <c r="I1564" s="35">
        <f>Tabla1[[#This Row],[P.U. M.N.]]*Tabla1[[#This Row],[CANTIDADES DE REFERENCIA]]</f>
        <v>0</v>
      </c>
      <c r="J1564" s="35">
        <f>Tabla1[[#This Row],[P.U. USD]]*Tabla1[[#This Row],[CANTIDADES DE REFERENCIA]]</f>
        <v>0</v>
      </c>
      <c r="K1564" s="36"/>
      <c r="L1564" s="36"/>
      <c r="M1564" s="36"/>
      <c r="N1564" s="37" t="s">
        <v>392</v>
      </c>
      <c r="O1564" s="37" t="s">
        <v>393</v>
      </c>
      <c r="P1564" s="38"/>
      <c r="Q1564" s="37" t="s">
        <v>3416</v>
      </c>
      <c r="R1564" s="37" t="s">
        <v>58</v>
      </c>
      <c r="S1564" s="37" t="s">
        <v>395</v>
      </c>
      <c r="T1564" s="31"/>
    </row>
    <row r="1565" spans="1:20">
      <c r="A1565" s="31"/>
      <c r="B1565" s="32"/>
      <c r="C1565" s="33"/>
      <c r="D1565" s="32" t="s">
        <v>3417</v>
      </c>
      <c r="E1565" s="33" t="s">
        <v>116</v>
      </c>
      <c r="F1565" s="34">
        <v>1</v>
      </c>
      <c r="G1565" s="35">
        <v>0</v>
      </c>
      <c r="H1565" s="35">
        <v>0</v>
      </c>
      <c r="I1565" s="35">
        <f>Tabla1[[#This Row],[P.U. M.N.]]*Tabla1[[#This Row],[CANTIDADES DE REFERENCIA]]</f>
        <v>0</v>
      </c>
      <c r="J1565" s="35">
        <f>Tabla1[[#This Row],[P.U. USD]]*Tabla1[[#This Row],[CANTIDADES DE REFERENCIA]]</f>
        <v>0</v>
      </c>
      <c r="K1565" s="36"/>
      <c r="L1565" s="36"/>
      <c r="M1565" s="36"/>
      <c r="N1565" s="37" t="s">
        <v>31</v>
      </c>
      <c r="O1565" s="37"/>
      <c r="P1565" s="38"/>
      <c r="Q1565" s="37" t="s">
        <v>3418</v>
      </c>
      <c r="R1565" s="37" t="s">
        <v>389</v>
      </c>
      <c r="S1565" s="37" t="s">
        <v>33</v>
      </c>
      <c r="T1565" s="31"/>
    </row>
    <row r="1566" spans="1:20">
      <c r="A1566" s="31"/>
      <c r="B1566" s="32"/>
      <c r="C1566" s="33"/>
      <c r="D1566" s="32" t="s">
        <v>3419</v>
      </c>
      <c r="E1566" s="33" t="s">
        <v>116</v>
      </c>
      <c r="F1566" s="34">
        <v>1</v>
      </c>
      <c r="G1566" s="35">
        <v>0</v>
      </c>
      <c r="H1566" s="35">
        <v>0</v>
      </c>
      <c r="I1566" s="35">
        <f>Tabla1[[#This Row],[P.U. M.N.]]*Tabla1[[#This Row],[CANTIDADES DE REFERENCIA]]</f>
        <v>0</v>
      </c>
      <c r="J1566" s="35">
        <f>Tabla1[[#This Row],[P.U. USD]]*Tabla1[[#This Row],[CANTIDADES DE REFERENCIA]]</f>
        <v>0</v>
      </c>
      <c r="K1566" s="36"/>
      <c r="L1566" s="36"/>
      <c r="M1566" s="36"/>
      <c r="N1566" s="37" t="s">
        <v>392</v>
      </c>
      <c r="O1566" s="37" t="s">
        <v>393</v>
      </c>
      <c r="P1566" s="38"/>
      <c r="Q1566" s="37" t="s">
        <v>3420</v>
      </c>
      <c r="R1566" s="37" t="s">
        <v>58</v>
      </c>
      <c r="S1566" s="37" t="s">
        <v>395</v>
      </c>
      <c r="T1566" s="31"/>
    </row>
    <row r="1567" spans="1:20">
      <c r="A1567" s="31"/>
      <c r="B1567" s="32"/>
      <c r="C1567" s="33"/>
      <c r="D1567" s="32" t="s">
        <v>3421</v>
      </c>
      <c r="E1567" s="33" t="s">
        <v>116</v>
      </c>
      <c r="F1567" s="34">
        <v>1</v>
      </c>
      <c r="G1567" s="35">
        <v>0</v>
      </c>
      <c r="H1567" s="35">
        <v>0</v>
      </c>
      <c r="I1567" s="35">
        <f>Tabla1[[#This Row],[P.U. M.N.]]*Tabla1[[#This Row],[CANTIDADES DE REFERENCIA]]</f>
        <v>0</v>
      </c>
      <c r="J1567" s="35">
        <f>Tabla1[[#This Row],[P.U. USD]]*Tabla1[[#This Row],[CANTIDADES DE REFERENCIA]]</f>
        <v>0</v>
      </c>
      <c r="K1567" s="36"/>
      <c r="L1567" s="36"/>
      <c r="M1567" s="36"/>
      <c r="N1567" s="37" t="s">
        <v>31</v>
      </c>
      <c r="O1567" s="37"/>
      <c r="P1567" s="38"/>
      <c r="Q1567" s="37" t="s">
        <v>3422</v>
      </c>
      <c r="R1567" s="37" t="s">
        <v>389</v>
      </c>
      <c r="S1567" s="37" t="s">
        <v>33</v>
      </c>
      <c r="T1567" s="31"/>
    </row>
    <row r="1568" spans="1:20">
      <c r="A1568" s="31"/>
      <c r="B1568" s="32"/>
      <c r="C1568" s="33"/>
      <c r="D1568" s="32" t="s">
        <v>3423</v>
      </c>
      <c r="E1568" s="33" t="s">
        <v>116</v>
      </c>
      <c r="F1568" s="34">
        <v>1</v>
      </c>
      <c r="G1568" s="35">
        <v>0</v>
      </c>
      <c r="H1568" s="35">
        <v>0</v>
      </c>
      <c r="I1568" s="35">
        <f>Tabla1[[#This Row],[P.U. M.N.]]*Tabla1[[#This Row],[CANTIDADES DE REFERENCIA]]</f>
        <v>0</v>
      </c>
      <c r="J1568" s="35">
        <f>Tabla1[[#This Row],[P.U. USD]]*Tabla1[[#This Row],[CANTIDADES DE REFERENCIA]]</f>
        <v>0</v>
      </c>
      <c r="K1568" s="36"/>
      <c r="L1568" s="36"/>
      <c r="M1568" s="36"/>
      <c r="N1568" s="37" t="s">
        <v>31</v>
      </c>
      <c r="O1568" s="37"/>
      <c r="P1568" s="38"/>
      <c r="Q1568" s="37" t="s">
        <v>3424</v>
      </c>
      <c r="R1568" s="37" t="s">
        <v>389</v>
      </c>
      <c r="S1568" s="37" t="s">
        <v>33</v>
      </c>
      <c r="T1568" s="31"/>
    </row>
    <row r="1569" spans="1:20">
      <c r="A1569" s="31"/>
      <c r="B1569" s="32"/>
      <c r="C1569" s="33"/>
      <c r="D1569" s="32" t="s">
        <v>3425</v>
      </c>
      <c r="E1569" s="33" t="s">
        <v>116</v>
      </c>
      <c r="F1569" s="34">
        <v>1</v>
      </c>
      <c r="G1569" s="35">
        <v>0</v>
      </c>
      <c r="H1569" s="35">
        <v>0</v>
      </c>
      <c r="I1569" s="35">
        <f>Tabla1[[#This Row],[P.U. M.N.]]*Tabla1[[#This Row],[CANTIDADES DE REFERENCIA]]</f>
        <v>0</v>
      </c>
      <c r="J1569" s="35">
        <f>Tabla1[[#This Row],[P.U. USD]]*Tabla1[[#This Row],[CANTIDADES DE REFERENCIA]]</f>
        <v>0</v>
      </c>
      <c r="K1569" s="36"/>
      <c r="L1569" s="36"/>
      <c r="M1569" s="36"/>
      <c r="N1569" s="37" t="s">
        <v>455</v>
      </c>
      <c r="O1569" s="37" t="s">
        <v>456</v>
      </c>
      <c r="P1569" s="38"/>
      <c r="Q1569" s="37" t="s">
        <v>3426</v>
      </c>
      <c r="R1569" s="37"/>
      <c r="S1569" s="37" t="s">
        <v>458</v>
      </c>
      <c r="T1569" s="31"/>
    </row>
    <row r="1570" spans="1:20">
      <c r="A1570" s="31"/>
      <c r="B1570" s="32"/>
      <c r="C1570" s="33"/>
      <c r="D1570" s="32" t="s">
        <v>3427</v>
      </c>
      <c r="E1570" s="33" t="s">
        <v>116</v>
      </c>
      <c r="F1570" s="34">
        <v>1</v>
      </c>
      <c r="G1570" s="35">
        <v>0</v>
      </c>
      <c r="H1570" s="35">
        <v>0</v>
      </c>
      <c r="I1570" s="35">
        <f>Tabla1[[#This Row],[P.U. M.N.]]*Tabla1[[#This Row],[CANTIDADES DE REFERENCIA]]</f>
        <v>0</v>
      </c>
      <c r="J1570" s="35">
        <f>Tabla1[[#This Row],[P.U. USD]]*Tabla1[[#This Row],[CANTIDADES DE REFERENCIA]]</f>
        <v>0</v>
      </c>
      <c r="K1570" s="36"/>
      <c r="L1570" s="36"/>
      <c r="M1570" s="36"/>
      <c r="N1570" s="37" t="s">
        <v>31</v>
      </c>
      <c r="O1570" s="37"/>
      <c r="P1570" s="38"/>
      <c r="Q1570" s="37" t="s">
        <v>3428</v>
      </c>
      <c r="R1570" s="37" t="s">
        <v>389</v>
      </c>
      <c r="S1570" s="37" t="s">
        <v>33</v>
      </c>
      <c r="T1570" s="31"/>
    </row>
    <row r="1571" spans="1:20">
      <c r="A1571" s="31"/>
      <c r="B1571" s="32"/>
      <c r="C1571" s="33"/>
      <c r="D1571" s="32" t="s">
        <v>3429</v>
      </c>
      <c r="E1571" s="33" t="s">
        <v>116</v>
      </c>
      <c r="F1571" s="34">
        <v>1</v>
      </c>
      <c r="G1571" s="35">
        <v>0</v>
      </c>
      <c r="H1571" s="35">
        <v>0</v>
      </c>
      <c r="I1571" s="35">
        <f>Tabla1[[#This Row],[P.U. M.N.]]*Tabla1[[#This Row],[CANTIDADES DE REFERENCIA]]</f>
        <v>0</v>
      </c>
      <c r="J1571" s="35">
        <f>Tabla1[[#This Row],[P.U. USD]]*Tabla1[[#This Row],[CANTIDADES DE REFERENCIA]]</f>
        <v>0</v>
      </c>
      <c r="K1571" s="36"/>
      <c r="L1571" s="36"/>
      <c r="M1571" s="36"/>
      <c r="N1571" s="37" t="s">
        <v>31</v>
      </c>
      <c r="O1571" s="37"/>
      <c r="P1571" s="38"/>
      <c r="Q1571" s="37" t="s">
        <v>3430</v>
      </c>
      <c r="R1571" s="37" t="s">
        <v>389</v>
      </c>
      <c r="S1571" s="37" t="s">
        <v>33</v>
      </c>
      <c r="T1571" s="31"/>
    </row>
    <row r="1572" spans="1:20">
      <c r="A1572" s="31"/>
      <c r="B1572" s="32"/>
      <c r="C1572" s="33"/>
      <c r="D1572" s="32" t="s">
        <v>3431</v>
      </c>
      <c r="E1572" s="33" t="s">
        <v>116</v>
      </c>
      <c r="F1572" s="34">
        <v>1</v>
      </c>
      <c r="G1572" s="35">
        <v>0</v>
      </c>
      <c r="H1572" s="35">
        <v>0</v>
      </c>
      <c r="I1572" s="35">
        <f>Tabla1[[#This Row],[P.U. M.N.]]*Tabla1[[#This Row],[CANTIDADES DE REFERENCIA]]</f>
        <v>0</v>
      </c>
      <c r="J1572" s="35">
        <f>Tabla1[[#This Row],[P.U. USD]]*Tabla1[[#This Row],[CANTIDADES DE REFERENCIA]]</f>
        <v>0</v>
      </c>
      <c r="K1572" s="36"/>
      <c r="L1572" s="36"/>
      <c r="M1572" s="36"/>
      <c r="N1572" s="37" t="s">
        <v>455</v>
      </c>
      <c r="O1572" s="37" t="s">
        <v>456</v>
      </c>
      <c r="P1572" s="38"/>
      <c r="Q1572" s="37" t="s">
        <v>3432</v>
      </c>
      <c r="R1572" s="37"/>
      <c r="S1572" s="37" t="s">
        <v>458</v>
      </c>
      <c r="T1572" s="31"/>
    </row>
    <row r="1573" spans="1:20">
      <c r="A1573" s="31"/>
      <c r="B1573" s="32"/>
      <c r="C1573" s="33"/>
      <c r="D1573" s="32" t="s">
        <v>3433</v>
      </c>
      <c r="E1573" s="33" t="s">
        <v>116</v>
      </c>
      <c r="F1573" s="34">
        <v>1</v>
      </c>
      <c r="G1573" s="35">
        <v>0</v>
      </c>
      <c r="H1573" s="35">
        <v>0</v>
      </c>
      <c r="I1573" s="35">
        <f>Tabla1[[#This Row],[P.U. M.N.]]*Tabla1[[#This Row],[CANTIDADES DE REFERENCIA]]</f>
        <v>0</v>
      </c>
      <c r="J1573" s="35">
        <f>Tabla1[[#This Row],[P.U. USD]]*Tabla1[[#This Row],[CANTIDADES DE REFERENCIA]]</f>
        <v>0</v>
      </c>
      <c r="K1573" s="36"/>
      <c r="L1573" s="36"/>
      <c r="M1573" s="36"/>
      <c r="N1573" s="37" t="s">
        <v>455</v>
      </c>
      <c r="O1573" s="37" t="s">
        <v>456</v>
      </c>
      <c r="P1573" s="38"/>
      <c r="Q1573" s="37" t="s">
        <v>3434</v>
      </c>
      <c r="R1573" s="37"/>
      <c r="S1573" s="37" t="s">
        <v>458</v>
      </c>
      <c r="T1573" s="31"/>
    </row>
    <row r="1574" spans="1:20">
      <c r="A1574" s="31"/>
      <c r="B1574" s="32"/>
      <c r="C1574" s="33"/>
      <c r="D1574" s="32" t="s">
        <v>3435</v>
      </c>
      <c r="E1574" s="33" t="s">
        <v>116</v>
      </c>
      <c r="F1574" s="34">
        <v>1</v>
      </c>
      <c r="G1574" s="35">
        <v>0</v>
      </c>
      <c r="H1574" s="35">
        <v>0</v>
      </c>
      <c r="I1574" s="35">
        <f>Tabla1[[#This Row],[P.U. M.N.]]*Tabla1[[#This Row],[CANTIDADES DE REFERENCIA]]</f>
        <v>0</v>
      </c>
      <c r="J1574" s="35">
        <f>Tabla1[[#This Row],[P.U. USD]]*Tabla1[[#This Row],[CANTIDADES DE REFERENCIA]]</f>
        <v>0</v>
      </c>
      <c r="K1574" s="36"/>
      <c r="L1574" s="36"/>
      <c r="M1574" s="36"/>
      <c r="N1574" s="37" t="s">
        <v>31</v>
      </c>
      <c r="O1574" s="37"/>
      <c r="P1574" s="38"/>
      <c r="Q1574" s="37" t="s">
        <v>3436</v>
      </c>
      <c r="R1574" s="37" t="s">
        <v>389</v>
      </c>
      <c r="S1574" s="37" t="s">
        <v>33</v>
      </c>
      <c r="T1574" s="31"/>
    </row>
    <row r="1575" spans="1:20">
      <c r="A1575" s="31"/>
      <c r="B1575" s="32"/>
      <c r="C1575" s="33"/>
      <c r="D1575" s="32" t="s">
        <v>3437</v>
      </c>
      <c r="E1575" s="33" t="s">
        <v>116</v>
      </c>
      <c r="F1575" s="34">
        <v>1</v>
      </c>
      <c r="G1575" s="35">
        <v>0</v>
      </c>
      <c r="H1575" s="35">
        <v>0</v>
      </c>
      <c r="I1575" s="35">
        <f>Tabla1[[#This Row],[P.U. M.N.]]*Tabla1[[#This Row],[CANTIDADES DE REFERENCIA]]</f>
        <v>0</v>
      </c>
      <c r="J1575" s="35">
        <f>Tabla1[[#This Row],[P.U. USD]]*Tabla1[[#This Row],[CANTIDADES DE REFERENCIA]]</f>
        <v>0</v>
      </c>
      <c r="K1575" s="36"/>
      <c r="L1575" s="36"/>
      <c r="M1575" s="36"/>
      <c r="N1575" s="37" t="s">
        <v>31</v>
      </c>
      <c r="O1575" s="37"/>
      <c r="P1575" s="38"/>
      <c r="Q1575" s="37" t="s">
        <v>3438</v>
      </c>
      <c r="R1575" s="37" t="s">
        <v>389</v>
      </c>
      <c r="S1575" s="37" t="s">
        <v>33</v>
      </c>
      <c r="T1575" s="31"/>
    </row>
    <row r="1576" spans="1:20">
      <c r="A1576" s="31"/>
      <c r="B1576" s="32"/>
      <c r="C1576" s="33"/>
      <c r="D1576" s="32" t="s">
        <v>3439</v>
      </c>
      <c r="E1576" s="33" t="s">
        <v>116</v>
      </c>
      <c r="F1576" s="34">
        <v>1</v>
      </c>
      <c r="G1576" s="35">
        <v>0</v>
      </c>
      <c r="H1576" s="35">
        <v>0</v>
      </c>
      <c r="I1576" s="35">
        <f>Tabla1[[#This Row],[P.U. M.N.]]*Tabla1[[#This Row],[CANTIDADES DE REFERENCIA]]</f>
        <v>0</v>
      </c>
      <c r="J1576" s="35">
        <f>Tabla1[[#This Row],[P.U. USD]]*Tabla1[[#This Row],[CANTIDADES DE REFERENCIA]]</f>
        <v>0</v>
      </c>
      <c r="K1576" s="36"/>
      <c r="L1576" s="36"/>
      <c r="M1576" s="36"/>
      <c r="N1576" s="37" t="s">
        <v>31</v>
      </c>
      <c r="O1576" s="37"/>
      <c r="P1576" s="38"/>
      <c r="Q1576" s="37" t="s">
        <v>3440</v>
      </c>
      <c r="R1576" s="37" t="s">
        <v>389</v>
      </c>
      <c r="S1576" s="37" t="s">
        <v>33</v>
      </c>
      <c r="T1576" s="31"/>
    </row>
    <row r="1577" spans="1:20">
      <c r="A1577" s="31"/>
      <c r="B1577" s="32"/>
      <c r="C1577" s="33"/>
      <c r="D1577" s="32" t="s">
        <v>3441</v>
      </c>
      <c r="E1577" s="33" t="s">
        <v>116</v>
      </c>
      <c r="F1577" s="34">
        <v>1</v>
      </c>
      <c r="G1577" s="35">
        <v>0</v>
      </c>
      <c r="H1577" s="35">
        <v>0</v>
      </c>
      <c r="I1577" s="35">
        <f>Tabla1[[#This Row],[P.U. M.N.]]*Tabla1[[#This Row],[CANTIDADES DE REFERENCIA]]</f>
        <v>0</v>
      </c>
      <c r="J1577" s="35">
        <f>Tabla1[[#This Row],[P.U. USD]]*Tabla1[[#This Row],[CANTIDADES DE REFERENCIA]]</f>
        <v>0</v>
      </c>
      <c r="K1577" s="36"/>
      <c r="L1577" s="36"/>
      <c r="M1577" s="36"/>
      <c r="N1577" s="37" t="s">
        <v>31</v>
      </c>
      <c r="O1577" s="37" t="s">
        <v>3442</v>
      </c>
      <c r="P1577" s="38"/>
      <c r="Q1577" s="37" t="s">
        <v>3443</v>
      </c>
      <c r="R1577" s="37" t="s">
        <v>389</v>
      </c>
      <c r="S1577" s="37" t="s">
        <v>33</v>
      </c>
      <c r="T1577" s="31"/>
    </row>
    <row r="1578" spans="1:20">
      <c r="A1578" s="31" t="s">
        <v>3006</v>
      </c>
      <c r="B1578" s="32" t="s">
        <v>3444</v>
      </c>
      <c r="C1578" s="33" t="str">
        <f>Tabla1[[#This Row],[PARTIDA]] &amp; "."</f>
        <v>15C-19.</v>
      </c>
      <c r="D1578" s="32" t="s">
        <v>3445</v>
      </c>
      <c r="E1578" s="33" t="s">
        <v>116</v>
      </c>
      <c r="F1578" s="34">
        <v>1</v>
      </c>
      <c r="G1578" s="35">
        <v>81183.86</v>
      </c>
      <c r="H1578" s="35">
        <v>0</v>
      </c>
      <c r="I1578" s="35">
        <f>Tabla1[[#This Row],[P.U. M.N.]]*Tabla1[[#This Row],[CANTIDADES DE REFERENCIA]]</f>
        <v>81183.86</v>
      </c>
      <c r="J1578" s="35">
        <f>Tabla1[[#This Row],[P.U. USD]]*Tabla1[[#This Row],[CANTIDADES DE REFERENCIA]]</f>
        <v>0</v>
      </c>
      <c r="K1578" s="36"/>
      <c r="L1578" s="36"/>
      <c r="M1578" s="36"/>
      <c r="N1578" s="37" t="s">
        <v>1031</v>
      </c>
      <c r="O1578" s="37" t="s">
        <v>1032</v>
      </c>
      <c r="P1578" s="38"/>
      <c r="Q1578" s="37" t="s">
        <v>3446</v>
      </c>
      <c r="R1578" s="37"/>
      <c r="S1578" s="37" t="s">
        <v>2902</v>
      </c>
      <c r="T1578" s="31"/>
    </row>
    <row r="1579" spans="1:20">
      <c r="A1579" s="31"/>
      <c r="B1579" s="32"/>
      <c r="C1579" s="33"/>
      <c r="D1579" s="32" t="s">
        <v>3447</v>
      </c>
      <c r="E1579" s="33" t="s">
        <v>116</v>
      </c>
      <c r="F1579" s="34">
        <v>1</v>
      </c>
      <c r="G1579" s="35">
        <v>0</v>
      </c>
      <c r="H1579" s="35">
        <v>0</v>
      </c>
      <c r="I1579" s="35">
        <f>Tabla1[[#This Row],[P.U. M.N.]]*Tabla1[[#This Row],[CANTIDADES DE REFERENCIA]]</f>
        <v>0</v>
      </c>
      <c r="J1579" s="35">
        <f>Tabla1[[#This Row],[P.U. USD]]*Tabla1[[#This Row],[CANTIDADES DE REFERENCIA]]</f>
        <v>0</v>
      </c>
      <c r="K1579" s="36"/>
      <c r="L1579" s="36"/>
      <c r="M1579" s="36"/>
      <c r="N1579" s="37" t="s">
        <v>455</v>
      </c>
      <c r="O1579" s="37" t="s">
        <v>456</v>
      </c>
      <c r="P1579" s="38"/>
      <c r="Q1579" s="37" t="s">
        <v>3448</v>
      </c>
      <c r="R1579" s="37"/>
      <c r="S1579" s="37" t="s">
        <v>458</v>
      </c>
      <c r="T1579" s="31"/>
    </row>
    <row r="1580" spans="1:20">
      <c r="A1580" s="31"/>
      <c r="B1580" s="32"/>
      <c r="C1580" s="33"/>
      <c r="D1580" s="32" t="s">
        <v>3449</v>
      </c>
      <c r="E1580" s="33" t="s">
        <v>116</v>
      </c>
      <c r="F1580" s="34">
        <v>1</v>
      </c>
      <c r="G1580" s="35">
        <v>0</v>
      </c>
      <c r="H1580" s="35">
        <v>0</v>
      </c>
      <c r="I1580" s="35">
        <f>Tabla1[[#This Row],[P.U. M.N.]]*Tabla1[[#This Row],[CANTIDADES DE REFERENCIA]]</f>
        <v>0</v>
      </c>
      <c r="J1580" s="35">
        <f>Tabla1[[#This Row],[P.U. USD]]*Tabla1[[#This Row],[CANTIDADES DE REFERENCIA]]</f>
        <v>0</v>
      </c>
      <c r="K1580" s="36"/>
      <c r="L1580" s="36"/>
      <c r="M1580" s="36"/>
      <c r="N1580" s="37" t="s">
        <v>455</v>
      </c>
      <c r="O1580" s="37" t="s">
        <v>456</v>
      </c>
      <c r="P1580" s="38"/>
      <c r="Q1580" s="37" t="s">
        <v>3450</v>
      </c>
      <c r="R1580" s="37"/>
      <c r="S1580" s="37" t="s">
        <v>458</v>
      </c>
      <c r="T1580" s="31"/>
    </row>
    <row r="1581" spans="1:20">
      <c r="A1581" s="31"/>
      <c r="B1581" s="32"/>
      <c r="C1581" s="33"/>
      <c r="D1581" s="32" t="s">
        <v>3451</v>
      </c>
      <c r="E1581" s="33" t="s">
        <v>116</v>
      </c>
      <c r="F1581" s="34">
        <v>1</v>
      </c>
      <c r="G1581" s="35">
        <v>0</v>
      </c>
      <c r="H1581" s="35">
        <v>0</v>
      </c>
      <c r="I1581" s="35">
        <f>Tabla1[[#This Row],[P.U. M.N.]]*Tabla1[[#This Row],[CANTIDADES DE REFERENCIA]]</f>
        <v>0</v>
      </c>
      <c r="J1581" s="35">
        <f>Tabla1[[#This Row],[P.U. USD]]*Tabla1[[#This Row],[CANTIDADES DE REFERENCIA]]</f>
        <v>0</v>
      </c>
      <c r="K1581" s="36"/>
      <c r="L1581" s="36"/>
      <c r="M1581" s="36"/>
      <c r="N1581" s="37" t="s">
        <v>31</v>
      </c>
      <c r="O1581" s="37"/>
      <c r="P1581" s="38"/>
      <c r="Q1581" s="37" t="s">
        <v>3452</v>
      </c>
      <c r="R1581" s="37" t="s">
        <v>389</v>
      </c>
      <c r="S1581" s="37" t="s">
        <v>33</v>
      </c>
      <c r="T1581" s="31"/>
    </row>
    <row r="1582" spans="1:20">
      <c r="A1582" s="31"/>
      <c r="B1582" s="32"/>
      <c r="C1582" s="33"/>
      <c r="D1582" s="32" t="s">
        <v>3453</v>
      </c>
      <c r="E1582" s="33" t="s">
        <v>116</v>
      </c>
      <c r="F1582" s="34">
        <v>1</v>
      </c>
      <c r="G1582" s="35">
        <v>0</v>
      </c>
      <c r="H1582" s="35">
        <v>0</v>
      </c>
      <c r="I1582" s="35">
        <f>Tabla1[[#This Row],[P.U. M.N.]]*Tabla1[[#This Row],[CANTIDADES DE REFERENCIA]]</f>
        <v>0</v>
      </c>
      <c r="J1582" s="35">
        <f>Tabla1[[#This Row],[P.U. USD]]*Tabla1[[#This Row],[CANTIDADES DE REFERENCIA]]</f>
        <v>0</v>
      </c>
      <c r="K1582" s="36"/>
      <c r="L1582" s="36"/>
      <c r="M1582" s="36"/>
      <c r="N1582" s="37" t="s">
        <v>31</v>
      </c>
      <c r="O1582" s="37"/>
      <c r="P1582" s="38"/>
      <c r="Q1582" s="37" t="s">
        <v>3454</v>
      </c>
      <c r="R1582" s="37" t="s">
        <v>389</v>
      </c>
      <c r="S1582" s="37" t="s">
        <v>33</v>
      </c>
      <c r="T1582" s="31"/>
    </row>
    <row r="1583" spans="1:20">
      <c r="A1583" s="31"/>
      <c r="B1583" s="32"/>
      <c r="C1583" s="33"/>
      <c r="D1583" s="32" t="s">
        <v>3455</v>
      </c>
      <c r="E1583" s="33" t="s">
        <v>116</v>
      </c>
      <c r="F1583" s="34">
        <v>1</v>
      </c>
      <c r="G1583" s="35">
        <v>0</v>
      </c>
      <c r="H1583" s="35">
        <v>0</v>
      </c>
      <c r="I1583" s="35">
        <f>Tabla1[[#This Row],[P.U. M.N.]]*Tabla1[[#This Row],[CANTIDADES DE REFERENCIA]]</f>
        <v>0</v>
      </c>
      <c r="J1583" s="35">
        <f>Tabla1[[#This Row],[P.U. USD]]*Tabla1[[#This Row],[CANTIDADES DE REFERENCIA]]</f>
        <v>0</v>
      </c>
      <c r="K1583" s="36"/>
      <c r="L1583" s="36"/>
      <c r="M1583" s="36"/>
      <c r="N1583" s="37" t="s">
        <v>455</v>
      </c>
      <c r="O1583" s="37" t="s">
        <v>456</v>
      </c>
      <c r="P1583" s="38"/>
      <c r="Q1583" s="37" t="s">
        <v>3456</v>
      </c>
      <c r="R1583" s="37"/>
      <c r="S1583" s="37" t="s">
        <v>458</v>
      </c>
      <c r="T1583" s="31"/>
    </row>
    <row r="1584" spans="1:20">
      <c r="A1584" s="31"/>
      <c r="B1584" s="32"/>
      <c r="C1584" s="33"/>
      <c r="D1584" s="32" t="s">
        <v>3457</v>
      </c>
      <c r="E1584" s="33" t="s">
        <v>116</v>
      </c>
      <c r="F1584" s="34">
        <v>1</v>
      </c>
      <c r="G1584" s="35">
        <v>0</v>
      </c>
      <c r="H1584" s="35">
        <v>0</v>
      </c>
      <c r="I1584" s="35">
        <f>Tabla1[[#This Row],[P.U. M.N.]]*Tabla1[[#This Row],[CANTIDADES DE REFERENCIA]]</f>
        <v>0</v>
      </c>
      <c r="J1584" s="35">
        <f>Tabla1[[#This Row],[P.U. USD]]*Tabla1[[#This Row],[CANTIDADES DE REFERENCIA]]</f>
        <v>0</v>
      </c>
      <c r="K1584" s="36"/>
      <c r="L1584" s="36"/>
      <c r="M1584" s="36"/>
      <c r="N1584" s="37" t="s">
        <v>31</v>
      </c>
      <c r="O1584" s="37"/>
      <c r="P1584" s="38"/>
      <c r="Q1584" s="37" t="s">
        <v>3458</v>
      </c>
      <c r="R1584" s="37" t="s">
        <v>389</v>
      </c>
      <c r="S1584" s="37" t="s">
        <v>33</v>
      </c>
      <c r="T1584" s="31"/>
    </row>
    <row r="1585" spans="1:20">
      <c r="A1585" s="31"/>
      <c r="B1585" s="32"/>
      <c r="C1585" s="33"/>
      <c r="D1585" s="32" t="s">
        <v>3459</v>
      </c>
      <c r="E1585" s="33" t="s">
        <v>116</v>
      </c>
      <c r="F1585" s="34">
        <v>1</v>
      </c>
      <c r="G1585" s="35">
        <v>0</v>
      </c>
      <c r="H1585" s="35">
        <v>0</v>
      </c>
      <c r="I1585" s="35">
        <f>Tabla1[[#This Row],[P.U. M.N.]]*Tabla1[[#This Row],[CANTIDADES DE REFERENCIA]]</f>
        <v>0</v>
      </c>
      <c r="J1585" s="35">
        <f>Tabla1[[#This Row],[P.U. USD]]*Tabla1[[#This Row],[CANTIDADES DE REFERENCIA]]</f>
        <v>0</v>
      </c>
      <c r="K1585" s="36"/>
      <c r="L1585" s="36"/>
      <c r="M1585" s="36"/>
      <c r="N1585" s="37" t="s">
        <v>31</v>
      </c>
      <c r="O1585" s="37"/>
      <c r="P1585" s="38"/>
      <c r="Q1585" s="37" t="s">
        <v>3460</v>
      </c>
      <c r="R1585" s="37" t="s">
        <v>389</v>
      </c>
      <c r="S1585" s="37" t="s">
        <v>33</v>
      </c>
      <c r="T1585" s="31"/>
    </row>
    <row r="1586" spans="1:20">
      <c r="A1586" s="31"/>
      <c r="B1586" s="32"/>
      <c r="C1586" s="33"/>
      <c r="D1586" s="32" t="s">
        <v>3461</v>
      </c>
      <c r="E1586" s="33" t="s">
        <v>116</v>
      </c>
      <c r="F1586" s="34">
        <v>1</v>
      </c>
      <c r="G1586" s="35">
        <v>0</v>
      </c>
      <c r="H1586" s="35">
        <v>0</v>
      </c>
      <c r="I1586" s="35">
        <f>Tabla1[[#This Row],[P.U. M.N.]]*Tabla1[[#This Row],[CANTIDADES DE REFERENCIA]]</f>
        <v>0</v>
      </c>
      <c r="J1586" s="35">
        <f>Tabla1[[#This Row],[P.U. USD]]*Tabla1[[#This Row],[CANTIDADES DE REFERENCIA]]</f>
        <v>0</v>
      </c>
      <c r="K1586" s="36"/>
      <c r="L1586" s="36"/>
      <c r="M1586" s="36"/>
      <c r="N1586" s="37" t="s">
        <v>31</v>
      </c>
      <c r="O1586" s="37"/>
      <c r="P1586" s="38"/>
      <c r="Q1586" s="37" t="s">
        <v>3462</v>
      </c>
      <c r="R1586" s="37" t="s">
        <v>389</v>
      </c>
      <c r="S1586" s="37" t="s">
        <v>33</v>
      </c>
      <c r="T1586" s="31"/>
    </row>
    <row r="1587" spans="1:20">
      <c r="A1587" s="31"/>
      <c r="B1587" s="32"/>
      <c r="C1587" s="33"/>
      <c r="D1587" s="32" t="s">
        <v>3463</v>
      </c>
      <c r="E1587" s="33" t="s">
        <v>116</v>
      </c>
      <c r="F1587" s="34">
        <v>1</v>
      </c>
      <c r="G1587" s="35">
        <v>0</v>
      </c>
      <c r="H1587" s="35">
        <v>0</v>
      </c>
      <c r="I1587" s="35">
        <f>Tabla1[[#This Row],[P.U. M.N.]]*Tabla1[[#This Row],[CANTIDADES DE REFERENCIA]]</f>
        <v>0</v>
      </c>
      <c r="J1587" s="35">
        <f>Tabla1[[#This Row],[P.U. USD]]*Tabla1[[#This Row],[CANTIDADES DE REFERENCIA]]</f>
        <v>0</v>
      </c>
      <c r="K1587" s="36"/>
      <c r="L1587" s="36"/>
      <c r="M1587" s="36"/>
      <c r="N1587" s="37" t="s">
        <v>31</v>
      </c>
      <c r="O1587" s="37" t="s">
        <v>1278</v>
      </c>
      <c r="P1587" s="38"/>
      <c r="Q1587" s="37" t="s">
        <v>3464</v>
      </c>
      <c r="R1587" s="37" t="s">
        <v>389</v>
      </c>
      <c r="S1587" s="37" t="s">
        <v>33</v>
      </c>
      <c r="T1587" s="31"/>
    </row>
    <row r="1588" spans="1:20">
      <c r="A1588" s="31"/>
      <c r="B1588" s="32"/>
      <c r="C1588" s="33"/>
      <c r="D1588" s="32" t="s">
        <v>3465</v>
      </c>
      <c r="E1588" s="33" t="s">
        <v>116</v>
      </c>
      <c r="F1588" s="34">
        <v>1</v>
      </c>
      <c r="G1588" s="35">
        <v>0</v>
      </c>
      <c r="H1588" s="35">
        <v>0</v>
      </c>
      <c r="I1588" s="35">
        <f>Tabla1[[#This Row],[P.U. M.N.]]*Tabla1[[#This Row],[CANTIDADES DE REFERENCIA]]</f>
        <v>0</v>
      </c>
      <c r="J1588" s="35">
        <f>Tabla1[[#This Row],[P.U. USD]]*Tabla1[[#This Row],[CANTIDADES DE REFERENCIA]]</f>
        <v>0</v>
      </c>
      <c r="K1588" s="36"/>
      <c r="L1588" s="36"/>
      <c r="M1588" s="36"/>
      <c r="N1588" s="37" t="s">
        <v>31</v>
      </c>
      <c r="O1588" s="37" t="s">
        <v>3466</v>
      </c>
      <c r="P1588" s="38"/>
      <c r="Q1588" s="37" t="s">
        <v>3467</v>
      </c>
      <c r="R1588" s="37" t="s">
        <v>389</v>
      </c>
      <c r="S1588" s="37" t="s">
        <v>33</v>
      </c>
      <c r="T1588" s="31"/>
    </row>
    <row r="1589" spans="1:20">
      <c r="A1589" s="31"/>
      <c r="B1589" s="32"/>
      <c r="C1589" s="33"/>
      <c r="D1589" s="32" t="s">
        <v>3468</v>
      </c>
      <c r="E1589" s="33" t="s">
        <v>116</v>
      </c>
      <c r="F1589" s="34">
        <v>1</v>
      </c>
      <c r="G1589" s="35">
        <v>0</v>
      </c>
      <c r="H1589" s="35">
        <v>0</v>
      </c>
      <c r="I1589" s="35">
        <f>Tabla1[[#This Row],[P.U. M.N.]]*Tabla1[[#This Row],[CANTIDADES DE REFERENCIA]]</f>
        <v>0</v>
      </c>
      <c r="J1589" s="35">
        <f>Tabla1[[#This Row],[P.U. USD]]*Tabla1[[#This Row],[CANTIDADES DE REFERENCIA]]</f>
        <v>0</v>
      </c>
      <c r="K1589" s="36"/>
      <c r="L1589" s="36"/>
      <c r="M1589" s="36"/>
      <c r="N1589" s="37" t="s">
        <v>31</v>
      </c>
      <c r="O1589" s="37"/>
      <c r="P1589" s="38"/>
      <c r="Q1589" s="37" t="s">
        <v>3469</v>
      </c>
      <c r="R1589" s="37" t="s">
        <v>389</v>
      </c>
      <c r="S1589" s="37" t="s">
        <v>33</v>
      </c>
      <c r="T1589" s="31"/>
    </row>
    <row r="1590" spans="1:20">
      <c r="A1590" s="31"/>
      <c r="B1590" s="32"/>
      <c r="C1590" s="33"/>
      <c r="D1590" s="32" t="s">
        <v>3470</v>
      </c>
      <c r="E1590" s="33" t="s">
        <v>116</v>
      </c>
      <c r="F1590" s="34">
        <v>1</v>
      </c>
      <c r="G1590" s="35">
        <v>0</v>
      </c>
      <c r="H1590" s="35">
        <v>0</v>
      </c>
      <c r="I1590" s="35">
        <f>Tabla1[[#This Row],[P.U. M.N.]]*Tabla1[[#This Row],[CANTIDADES DE REFERENCIA]]</f>
        <v>0</v>
      </c>
      <c r="J1590" s="35">
        <f>Tabla1[[#This Row],[P.U. USD]]*Tabla1[[#This Row],[CANTIDADES DE REFERENCIA]]</f>
        <v>0</v>
      </c>
      <c r="K1590" s="36"/>
      <c r="L1590" s="36"/>
      <c r="M1590" s="36"/>
      <c r="N1590" s="37" t="s">
        <v>31</v>
      </c>
      <c r="O1590" s="37" t="s">
        <v>3442</v>
      </c>
      <c r="P1590" s="38"/>
      <c r="Q1590" s="37" t="s">
        <v>3471</v>
      </c>
      <c r="R1590" s="37" t="s">
        <v>389</v>
      </c>
      <c r="S1590" s="37" t="s">
        <v>33</v>
      </c>
      <c r="T1590" s="31"/>
    </row>
    <row r="1591" spans="1:20">
      <c r="A1591" s="31"/>
      <c r="B1591" s="32"/>
      <c r="C1591" s="33"/>
      <c r="D1591" s="32" t="s">
        <v>3472</v>
      </c>
      <c r="E1591" s="33" t="s">
        <v>116</v>
      </c>
      <c r="F1591" s="34">
        <v>1</v>
      </c>
      <c r="G1591" s="35">
        <v>0</v>
      </c>
      <c r="H1591" s="35">
        <v>0</v>
      </c>
      <c r="I1591" s="35">
        <f>Tabla1[[#This Row],[P.U. M.N.]]*Tabla1[[#This Row],[CANTIDADES DE REFERENCIA]]</f>
        <v>0</v>
      </c>
      <c r="J1591" s="35">
        <f>Tabla1[[#This Row],[P.U. USD]]*Tabla1[[#This Row],[CANTIDADES DE REFERENCIA]]</f>
        <v>0</v>
      </c>
      <c r="K1591" s="36"/>
      <c r="L1591" s="36"/>
      <c r="M1591" s="36"/>
      <c r="N1591" s="37" t="s">
        <v>31</v>
      </c>
      <c r="O1591" s="37"/>
      <c r="P1591" s="38"/>
      <c r="Q1591" s="37" t="s">
        <v>3473</v>
      </c>
      <c r="R1591" s="37" t="s">
        <v>389</v>
      </c>
      <c r="S1591" s="37" t="s">
        <v>33</v>
      </c>
      <c r="T1591" s="31"/>
    </row>
    <row r="1592" spans="1:20">
      <c r="A1592" s="31"/>
      <c r="B1592" s="32"/>
      <c r="C1592" s="33"/>
      <c r="D1592" s="32" t="s">
        <v>3474</v>
      </c>
      <c r="E1592" s="33" t="s">
        <v>116</v>
      </c>
      <c r="F1592" s="34">
        <v>1</v>
      </c>
      <c r="G1592" s="35">
        <v>0</v>
      </c>
      <c r="H1592" s="35">
        <v>0</v>
      </c>
      <c r="I1592" s="35">
        <f>Tabla1[[#This Row],[P.U. M.N.]]*Tabla1[[#This Row],[CANTIDADES DE REFERENCIA]]</f>
        <v>0</v>
      </c>
      <c r="J1592" s="35">
        <f>Tabla1[[#This Row],[P.U. USD]]*Tabla1[[#This Row],[CANTIDADES DE REFERENCIA]]</f>
        <v>0</v>
      </c>
      <c r="K1592" s="36"/>
      <c r="L1592" s="36"/>
      <c r="M1592" s="36"/>
      <c r="N1592" s="37" t="s">
        <v>31</v>
      </c>
      <c r="O1592" s="37"/>
      <c r="P1592" s="38"/>
      <c r="Q1592" s="37" t="s">
        <v>3475</v>
      </c>
      <c r="R1592" s="37" t="s">
        <v>389</v>
      </c>
      <c r="S1592" s="37" t="s">
        <v>33</v>
      </c>
      <c r="T1592" s="31"/>
    </row>
    <row r="1593" spans="1:20">
      <c r="A1593" s="31"/>
      <c r="B1593" s="32"/>
      <c r="C1593" s="33"/>
      <c r="D1593" s="32" t="s">
        <v>3476</v>
      </c>
      <c r="E1593" s="33" t="s">
        <v>42</v>
      </c>
      <c r="F1593" s="34">
        <v>1</v>
      </c>
      <c r="G1593" s="35">
        <v>0</v>
      </c>
      <c r="H1593" s="35">
        <v>0</v>
      </c>
      <c r="I1593" s="35">
        <f>Tabla1[[#This Row],[P.U. M.N.]]*Tabla1[[#This Row],[CANTIDADES DE REFERENCIA]]</f>
        <v>0</v>
      </c>
      <c r="J1593" s="35">
        <f>Tabla1[[#This Row],[P.U. USD]]*Tabla1[[#This Row],[CANTIDADES DE REFERENCIA]]</f>
        <v>0</v>
      </c>
      <c r="K1593" s="36"/>
      <c r="L1593" s="36"/>
      <c r="M1593" s="36"/>
      <c r="N1593" s="37" t="s">
        <v>3477</v>
      </c>
      <c r="O1593" s="37" t="s">
        <v>3478</v>
      </c>
      <c r="P1593" s="38"/>
      <c r="Q1593" s="37" t="s">
        <v>3479</v>
      </c>
      <c r="R1593" s="37" t="s">
        <v>58</v>
      </c>
      <c r="S1593" s="37" t="s">
        <v>3480</v>
      </c>
      <c r="T1593" s="31"/>
    </row>
    <row r="1594" spans="1:20">
      <c r="A1594" s="31" t="s">
        <v>3006</v>
      </c>
      <c r="B1594" s="32" t="s">
        <v>3481</v>
      </c>
      <c r="C1594" s="33" t="str">
        <f>Tabla1[[#This Row],[PARTIDA]] &amp; "."</f>
        <v>16C-19.</v>
      </c>
      <c r="D1594" s="32" t="s">
        <v>3482</v>
      </c>
      <c r="E1594" s="33" t="s">
        <v>116</v>
      </c>
      <c r="F1594" s="34">
        <v>1</v>
      </c>
      <c r="G1594" s="35">
        <v>81183.86</v>
      </c>
      <c r="H1594" s="35">
        <v>0</v>
      </c>
      <c r="I1594" s="35">
        <f>Tabla1[[#This Row],[P.U. M.N.]]*Tabla1[[#This Row],[CANTIDADES DE REFERENCIA]]</f>
        <v>81183.86</v>
      </c>
      <c r="J1594" s="35">
        <f>Tabla1[[#This Row],[P.U. USD]]*Tabla1[[#This Row],[CANTIDADES DE REFERENCIA]]</f>
        <v>0</v>
      </c>
      <c r="K1594" s="36"/>
      <c r="L1594" s="36"/>
      <c r="M1594" s="36"/>
      <c r="N1594" s="37" t="s">
        <v>1031</v>
      </c>
      <c r="O1594" s="37" t="s">
        <v>1032</v>
      </c>
      <c r="P1594" s="38"/>
      <c r="Q1594" s="37" t="s">
        <v>3483</v>
      </c>
      <c r="R1594" s="37"/>
      <c r="S1594" s="37" t="s">
        <v>2902</v>
      </c>
      <c r="T1594" s="31"/>
    </row>
    <row r="1595" spans="1:20">
      <c r="A1595" s="31" t="s">
        <v>3006</v>
      </c>
      <c r="B1595" s="32" t="s">
        <v>3484</v>
      </c>
      <c r="C1595" s="33" t="str">
        <f>Tabla1[[#This Row],[PARTIDA]] &amp; "."</f>
        <v>17C-19.</v>
      </c>
      <c r="D1595" s="32" t="s">
        <v>3485</v>
      </c>
      <c r="E1595" s="33" t="s">
        <v>116</v>
      </c>
      <c r="F1595" s="34">
        <v>1</v>
      </c>
      <c r="G1595" s="35">
        <v>81183.86</v>
      </c>
      <c r="H1595" s="35">
        <v>0</v>
      </c>
      <c r="I1595" s="35">
        <f>Tabla1[[#This Row],[P.U. M.N.]]*Tabla1[[#This Row],[CANTIDADES DE REFERENCIA]]</f>
        <v>81183.86</v>
      </c>
      <c r="J1595" s="35">
        <f>Tabla1[[#This Row],[P.U. USD]]*Tabla1[[#This Row],[CANTIDADES DE REFERENCIA]]</f>
        <v>0</v>
      </c>
      <c r="K1595" s="36"/>
      <c r="L1595" s="36"/>
      <c r="M1595" s="36"/>
      <c r="N1595" s="37" t="s">
        <v>1031</v>
      </c>
      <c r="O1595" s="37" t="s">
        <v>1032</v>
      </c>
      <c r="P1595" s="38"/>
      <c r="Q1595" s="37" t="s">
        <v>3486</v>
      </c>
      <c r="R1595" s="37"/>
      <c r="S1595" s="37" t="s">
        <v>2902</v>
      </c>
      <c r="T1595" s="31"/>
    </row>
    <row r="1596" spans="1:20">
      <c r="A1596" s="31"/>
      <c r="B1596" s="32"/>
      <c r="C1596" s="33"/>
      <c r="D1596" s="32" t="s">
        <v>3487</v>
      </c>
      <c r="E1596" s="33" t="s">
        <v>42</v>
      </c>
      <c r="F1596" s="34">
        <v>1</v>
      </c>
      <c r="G1596" s="35">
        <v>0</v>
      </c>
      <c r="H1596" s="35">
        <v>0</v>
      </c>
      <c r="I1596" s="35">
        <f>Tabla1[[#This Row],[P.U. M.N.]]*Tabla1[[#This Row],[CANTIDADES DE REFERENCIA]]</f>
        <v>0</v>
      </c>
      <c r="J1596" s="35">
        <f>Tabla1[[#This Row],[P.U. USD]]*Tabla1[[#This Row],[CANTIDADES DE REFERENCIA]]</f>
        <v>0</v>
      </c>
      <c r="K1596" s="36"/>
      <c r="L1596" s="36"/>
      <c r="M1596" s="36"/>
      <c r="N1596" s="37" t="s">
        <v>599</v>
      </c>
      <c r="O1596" s="37" t="s">
        <v>600</v>
      </c>
      <c r="P1596" s="38"/>
      <c r="Q1596" s="37" t="s">
        <v>3488</v>
      </c>
      <c r="R1596" s="37" t="s">
        <v>58</v>
      </c>
      <c r="S1596" s="37" t="s">
        <v>602</v>
      </c>
      <c r="T1596" s="31"/>
    </row>
    <row r="1597" spans="1:20">
      <c r="A1597" s="31"/>
      <c r="B1597" s="32"/>
      <c r="C1597" s="33"/>
      <c r="D1597" s="32" t="s">
        <v>3489</v>
      </c>
      <c r="E1597" s="33" t="s">
        <v>42</v>
      </c>
      <c r="F1597" s="34">
        <v>1</v>
      </c>
      <c r="G1597" s="35">
        <v>0</v>
      </c>
      <c r="H1597" s="35">
        <v>0</v>
      </c>
      <c r="I1597" s="35">
        <f>Tabla1[[#This Row],[P.U. M.N.]]*Tabla1[[#This Row],[CANTIDADES DE REFERENCIA]]</f>
        <v>0</v>
      </c>
      <c r="J1597" s="35">
        <f>Tabla1[[#This Row],[P.U. USD]]*Tabla1[[#This Row],[CANTIDADES DE REFERENCIA]]</f>
        <v>0</v>
      </c>
      <c r="K1597" s="36"/>
      <c r="L1597" s="36"/>
      <c r="M1597" s="36"/>
      <c r="N1597" s="37" t="s">
        <v>31</v>
      </c>
      <c r="O1597" s="37"/>
      <c r="P1597" s="38"/>
      <c r="Q1597" s="37" t="s">
        <v>3490</v>
      </c>
      <c r="R1597" s="37" t="s">
        <v>389</v>
      </c>
      <c r="S1597" s="37" t="s">
        <v>33</v>
      </c>
      <c r="T1597" s="31"/>
    </row>
    <row r="1598" spans="1:20">
      <c r="A1598" s="31"/>
      <c r="B1598" s="32"/>
      <c r="C1598" s="33"/>
      <c r="D1598" s="32" t="s">
        <v>3491</v>
      </c>
      <c r="E1598" s="33" t="s">
        <v>116</v>
      </c>
      <c r="F1598" s="34">
        <v>1</v>
      </c>
      <c r="G1598" s="35">
        <v>0</v>
      </c>
      <c r="H1598" s="35">
        <v>0</v>
      </c>
      <c r="I1598" s="35">
        <f>Tabla1[[#This Row],[P.U. M.N.]]*Tabla1[[#This Row],[CANTIDADES DE REFERENCIA]]</f>
        <v>0</v>
      </c>
      <c r="J1598" s="35">
        <f>Tabla1[[#This Row],[P.U. USD]]*Tabla1[[#This Row],[CANTIDADES DE REFERENCIA]]</f>
        <v>0</v>
      </c>
      <c r="K1598" s="36"/>
      <c r="L1598" s="36"/>
      <c r="M1598" s="36"/>
      <c r="N1598" s="37" t="s">
        <v>455</v>
      </c>
      <c r="O1598" s="37" t="s">
        <v>456</v>
      </c>
      <c r="P1598" s="38"/>
      <c r="Q1598" s="37" t="s">
        <v>3492</v>
      </c>
      <c r="R1598" s="37"/>
      <c r="S1598" s="37" t="s">
        <v>458</v>
      </c>
      <c r="T1598" s="31"/>
    </row>
    <row r="1599" spans="1:20">
      <c r="A1599" s="31"/>
      <c r="B1599" s="32"/>
      <c r="C1599" s="33"/>
      <c r="D1599" s="32" t="s">
        <v>3493</v>
      </c>
      <c r="E1599" s="33" t="s">
        <v>61</v>
      </c>
      <c r="F1599" s="34">
        <v>1</v>
      </c>
      <c r="G1599" s="35">
        <v>0</v>
      </c>
      <c r="H1599" s="35">
        <v>0</v>
      </c>
      <c r="I1599" s="35">
        <f>Tabla1[[#This Row],[P.U. M.N.]]*Tabla1[[#This Row],[CANTIDADES DE REFERENCIA]]</f>
        <v>0</v>
      </c>
      <c r="J1599" s="35">
        <f>Tabla1[[#This Row],[P.U. USD]]*Tabla1[[#This Row],[CANTIDADES DE REFERENCIA]]</f>
        <v>0</v>
      </c>
      <c r="K1599" s="36"/>
      <c r="L1599" s="36"/>
      <c r="M1599" s="36"/>
      <c r="N1599" s="37" t="s">
        <v>2989</v>
      </c>
      <c r="O1599" s="37" t="s">
        <v>2990</v>
      </c>
      <c r="P1599" s="38"/>
      <c r="Q1599" s="37" t="s">
        <v>3494</v>
      </c>
      <c r="R1599" s="37" t="s">
        <v>58</v>
      </c>
      <c r="S1599" s="37" t="s">
        <v>2992</v>
      </c>
      <c r="T1599" s="31"/>
    </row>
    <row r="1600" spans="1:20">
      <c r="A1600" s="31"/>
      <c r="B1600" s="32"/>
      <c r="C1600" s="33"/>
      <c r="D1600" s="32" t="s">
        <v>3495</v>
      </c>
      <c r="E1600" s="33" t="s">
        <v>54</v>
      </c>
      <c r="F1600" s="34">
        <v>1</v>
      </c>
      <c r="G1600" s="35">
        <v>0</v>
      </c>
      <c r="H1600" s="35">
        <v>0</v>
      </c>
      <c r="I1600" s="35">
        <f>Tabla1[[#This Row],[P.U. M.N.]]*Tabla1[[#This Row],[CANTIDADES DE REFERENCIA]]</f>
        <v>0</v>
      </c>
      <c r="J1600" s="35">
        <f>Tabla1[[#This Row],[P.U. USD]]*Tabla1[[#This Row],[CANTIDADES DE REFERENCIA]]</f>
        <v>0</v>
      </c>
      <c r="K1600" s="36"/>
      <c r="L1600" s="36"/>
      <c r="M1600" s="36"/>
      <c r="N1600" s="37" t="s">
        <v>455</v>
      </c>
      <c r="O1600" s="37" t="s">
        <v>456</v>
      </c>
      <c r="P1600" s="38"/>
      <c r="Q1600" s="37" t="s">
        <v>3496</v>
      </c>
      <c r="R1600" s="37"/>
      <c r="S1600" s="37" t="s">
        <v>458</v>
      </c>
      <c r="T1600" s="31"/>
    </row>
    <row r="1601" spans="1:20">
      <c r="A1601" s="31"/>
      <c r="B1601" s="32"/>
      <c r="C1601" s="33"/>
      <c r="D1601" s="32" t="s">
        <v>3497</v>
      </c>
      <c r="E1601" s="33" t="s">
        <v>54</v>
      </c>
      <c r="F1601" s="34">
        <v>1</v>
      </c>
      <c r="G1601" s="35">
        <v>0</v>
      </c>
      <c r="H1601" s="35">
        <v>0</v>
      </c>
      <c r="I1601" s="35">
        <f>Tabla1[[#This Row],[P.U. M.N.]]*Tabla1[[#This Row],[CANTIDADES DE REFERENCIA]]</f>
        <v>0</v>
      </c>
      <c r="J1601" s="35">
        <f>Tabla1[[#This Row],[P.U. USD]]*Tabla1[[#This Row],[CANTIDADES DE REFERENCIA]]</f>
        <v>0</v>
      </c>
      <c r="K1601" s="36"/>
      <c r="L1601" s="36"/>
      <c r="M1601" s="36"/>
      <c r="N1601" s="37" t="s">
        <v>455</v>
      </c>
      <c r="O1601" s="37" t="s">
        <v>456</v>
      </c>
      <c r="P1601" s="38"/>
      <c r="Q1601" s="37" t="s">
        <v>3498</v>
      </c>
      <c r="R1601" s="37"/>
      <c r="S1601" s="37" t="s">
        <v>458</v>
      </c>
      <c r="T1601" s="31"/>
    </row>
    <row r="1602" spans="1:20">
      <c r="A1602" s="31"/>
      <c r="B1602" s="32"/>
      <c r="C1602" s="33"/>
      <c r="D1602" s="32" t="s">
        <v>3499</v>
      </c>
      <c r="E1602" s="33" t="s">
        <v>54</v>
      </c>
      <c r="F1602" s="34">
        <v>1</v>
      </c>
      <c r="G1602" s="35">
        <v>0</v>
      </c>
      <c r="H1602" s="35">
        <v>0</v>
      </c>
      <c r="I1602" s="35">
        <f>Tabla1[[#This Row],[P.U. M.N.]]*Tabla1[[#This Row],[CANTIDADES DE REFERENCIA]]</f>
        <v>0</v>
      </c>
      <c r="J1602" s="35">
        <f>Tabla1[[#This Row],[P.U. USD]]*Tabla1[[#This Row],[CANTIDADES DE REFERENCIA]]</f>
        <v>0</v>
      </c>
      <c r="K1602" s="36"/>
      <c r="L1602" s="36"/>
      <c r="M1602" s="36"/>
      <c r="N1602" s="37" t="s">
        <v>455</v>
      </c>
      <c r="O1602" s="37" t="s">
        <v>456</v>
      </c>
      <c r="P1602" s="38"/>
      <c r="Q1602" s="37" t="s">
        <v>3500</v>
      </c>
      <c r="R1602" s="37"/>
      <c r="S1602" s="37" t="s">
        <v>458</v>
      </c>
      <c r="T1602" s="31"/>
    </row>
    <row r="1603" spans="1:20">
      <c r="A1603" s="31"/>
      <c r="B1603" s="32"/>
      <c r="C1603" s="33"/>
      <c r="D1603" s="32" t="s">
        <v>3501</v>
      </c>
      <c r="E1603" s="33" t="s">
        <v>116</v>
      </c>
      <c r="F1603" s="34">
        <v>1</v>
      </c>
      <c r="G1603" s="35">
        <v>0</v>
      </c>
      <c r="H1603" s="35">
        <v>0</v>
      </c>
      <c r="I1603" s="35">
        <f>Tabla1[[#This Row],[P.U. M.N.]]*Tabla1[[#This Row],[CANTIDADES DE REFERENCIA]]</f>
        <v>0</v>
      </c>
      <c r="J1603" s="35">
        <f>Tabla1[[#This Row],[P.U. USD]]*Tabla1[[#This Row],[CANTIDADES DE REFERENCIA]]</f>
        <v>0</v>
      </c>
      <c r="K1603" s="36"/>
      <c r="L1603" s="36"/>
      <c r="M1603" s="36"/>
      <c r="N1603" s="37" t="s">
        <v>392</v>
      </c>
      <c r="O1603" s="37" t="s">
        <v>393</v>
      </c>
      <c r="P1603" s="38"/>
      <c r="Q1603" s="37" t="s">
        <v>3502</v>
      </c>
      <c r="R1603" s="37" t="s">
        <v>58</v>
      </c>
      <c r="S1603" s="37" t="s">
        <v>395</v>
      </c>
      <c r="T1603" s="31"/>
    </row>
    <row r="1604" spans="1:20">
      <c r="A1604" s="31"/>
      <c r="B1604" s="32"/>
      <c r="C1604" s="33"/>
      <c r="D1604" s="32" t="s">
        <v>3503</v>
      </c>
      <c r="E1604" s="33" t="s">
        <v>116</v>
      </c>
      <c r="F1604" s="34">
        <v>1</v>
      </c>
      <c r="G1604" s="35">
        <v>0</v>
      </c>
      <c r="H1604" s="35">
        <v>0</v>
      </c>
      <c r="I1604" s="35">
        <f>Tabla1[[#This Row],[P.U. M.N.]]*Tabla1[[#This Row],[CANTIDADES DE REFERENCIA]]</f>
        <v>0</v>
      </c>
      <c r="J1604" s="35">
        <f>Tabla1[[#This Row],[P.U. USD]]*Tabla1[[#This Row],[CANTIDADES DE REFERENCIA]]</f>
        <v>0</v>
      </c>
      <c r="K1604" s="36"/>
      <c r="L1604" s="36"/>
      <c r="M1604" s="36"/>
      <c r="N1604" s="37" t="s">
        <v>455</v>
      </c>
      <c r="O1604" s="37" t="s">
        <v>456</v>
      </c>
      <c r="P1604" s="38"/>
      <c r="Q1604" s="37" t="s">
        <v>3504</v>
      </c>
      <c r="R1604" s="37"/>
      <c r="S1604" s="37" t="s">
        <v>458</v>
      </c>
      <c r="T1604" s="31"/>
    </row>
    <row r="1605" spans="1:20">
      <c r="A1605" s="31"/>
      <c r="B1605" s="32"/>
      <c r="C1605" s="33"/>
      <c r="D1605" s="32" t="s">
        <v>3505</v>
      </c>
      <c r="E1605" s="33" t="s">
        <v>116</v>
      </c>
      <c r="F1605" s="34">
        <v>1</v>
      </c>
      <c r="G1605" s="35">
        <v>0</v>
      </c>
      <c r="H1605" s="35">
        <v>0</v>
      </c>
      <c r="I1605" s="35">
        <f>Tabla1[[#This Row],[P.U. M.N.]]*Tabla1[[#This Row],[CANTIDADES DE REFERENCIA]]</f>
        <v>0</v>
      </c>
      <c r="J1605" s="35">
        <f>Tabla1[[#This Row],[P.U. USD]]*Tabla1[[#This Row],[CANTIDADES DE REFERENCIA]]</f>
        <v>0</v>
      </c>
      <c r="K1605" s="36"/>
      <c r="L1605" s="36"/>
      <c r="M1605" s="36"/>
      <c r="N1605" s="37" t="s">
        <v>31</v>
      </c>
      <c r="O1605" s="37"/>
      <c r="P1605" s="38"/>
      <c r="Q1605" s="37" t="s">
        <v>3506</v>
      </c>
      <c r="R1605" s="37" t="s">
        <v>389</v>
      </c>
      <c r="S1605" s="37" t="s">
        <v>33</v>
      </c>
      <c r="T1605" s="31"/>
    </row>
    <row r="1606" spans="1:20">
      <c r="A1606" s="31"/>
      <c r="B1606" s="32"/>
      <c r="C1606" s="33"/>
      <c r="D1606" s="32" t="s">
        <v>3507</v>
      </c>
      <c r="E1606" s="33" t="s">
        <v>116</v>
      </c>
      <c r="F1606" s="34">
        <v>1</v>
      </c>
      <c r="G1606" s="35">
        <v>0</v>
      </c>
      <c r="H1606" s="35">
        <v>0</v>
      </c>
      <c r="I1606" s="35">
        <f>Tabla1[[#This Row],[P.U. M.N.]]*Tabla1[[#This Row],[CANTIDADES DE REFERENCIA]]</f>
        <v>0</v>
      </c>
      <c r="J1606" s="35">
        <f>Tabla1[[#This Row],[P.U. USD]]*Tabla1[[#This Row],[CANTIDADES DE REFERENCIA]]</f>
        <v>0</v>
      </c>
      <c r="K1606" s="36"/>
      <c r="L1606" s="36"/>
      <c r="M1606" s="36"/>
      <c r="N1606" s="37" t="s">
        <v>455</v>
      </c>
      <c r="O1606" s="37" t="s">
        <v>456</v>
      </c>
      <c r="P1606" s="38"/>
      <c r="Q1606" s="37" t="s">
        <v>3508</v>
      </c>
      <c r="R1606" s="37"/>
      <c r="S1606" s="37" t="s">
        <v>458</v>
      </c>
      <c r="T1606" s="31"/>
    </row>
    <row r="1607" spans="1:20">
      <c r="A1607" s="31"/>
      <c r="B1607" s="32"/>
      <c r="C1607" s="33"/>
      <c r="D1607" s="32" t="s">
        <v>3509</v>
      </c>
      <c r="E1607" s="33" t="s">
        <v>116</v>
      </c>
      <c r="F1607" s="34">
        <v>1</v>
      </c>
      <c r="G1607" s="35">
        <v>0</v>
      </c>
      <c r="H1607" s="35">
        <v>0</v>
      </c>
      <c r="I1607" s="35">
        <f>Tabla1[[#This Row],[P.U. M.N.]]*Tabla1[[#This Row],[CANTIDADES DE REFERENCIA]]</f>
        <v>0</v>
      </c>
      <c r="J1607" s="35">
        <f>Tabla1[[#This Row],[P.U. USD]]*Tabla1[[#This Row],[CANTIDADES DE REFERENCIA]]</f>
        <v>0</v>
      </c>
      <c r="K1607" s="36"/>
      <c r="L1607" s="36"/>
      <c r="M1607" s="36"/>
      <c r="N1607" s="37" t="s">
        <v>31</v>
      </c>
      <c r="O1607" s="37"/>
      <c r="P1607" s="38"/>
      <c r="Q1607" s="37" t="s">
        <v>3510</v>
      </c>
      <c r="R1607" s="37" t="s">
        <v>389</v>
      </c>
      <c r="S1607" s="37" t="s">
        <v>33</v>
      </c>
      <c r="T1607" s="31"/>
    </row>
    <row r="1608" spans="1:20">
      <c r="A1608" s="31"/>
      <c r="B1608" s="32"/>
      <c r="C1608" s="33"/>
      <c r="D1608" s="32" t="s">
        <v>3511</v>
      </c>
      <c r="E1608" s="33" t="s">
        <v>116</v>
      </c>
      <c r="F1608" s="34">
        <v>1</v>
      </c>
      <c r="G1608" s="35">
        <v>0</v>
      </c>
      <c r="H1608" s="35">
        <v>0</v>
      </c>
      <c r="I1608" s="35">
        <f>Tabla1[[#This Row],[P.U. M.N.]]*Tabla1[[#This Row],[CANTIDADES DE REFERENCIA]]</f>
        <v>0</v>
      </c>
      <c r="J1608" s="35">
        <f>Tabla1[[#This Row],[P.U. USD]]*Tabla1[[#This Row],[CANTIDADES DE REFERENCIA]]</f>
        <v>0</v>
      </c>
      <c r="K1608" s="36"/>
      <c r="L1608" s="36"/>
      <c r="M1608" s="36"/>
      <c r="N1608" s="37" t="s">
        <v>392</v>
      </c>
      <c r="O1608" s="37" t="s">
        <v>393</v>
      </c>
      <c r="P1608" s="38"/>
      <c r="Q1608" s="37" t="s">
        <v>3512</v>
      </c>
      <c r="R1608" s="37" t="s">
        <v>58</v>
      </c>
      <c r="S1608" s="37" t="s">
        <v>395</v>
      </c>
      <c r="T1608" s="31"/>
    </row>
    <row r="1609" spans="1:20">
      <c r="A1609" s="31"/>
      <c r="B1609" s="32"/>
      <c r="C1609" s="33"/>
      <c r="D1609" s="32" t="s">
        <v>3513</v>
      </c>
      <c r="E1609" s="33" t="s">
        <v>116</v>
      </c>
      <c r="F1609" s="34">
        <v>1</v>
      </c>
      <c r="G1609" s="35">
        <v>0</v>
      </c>
      <c r="H1609" s="35">
        <v>0</v>
      </c>
      <c r="I1609" s="35">
        <f>Tabla1[[#This Row],[P.U. M.N.]]*Tabla1[[#This Row],[CANTIDADES DE REFERENCIA]]</f>
        <v>0</v>
      </c>
      <c r="J1609" s="35">
        <f>Tabla1[[#This Row],[P.U. USD]]*Tabla1[[#This Row],[CANTIDADES DE REFERENCIA]]</f>
        <v>0</v>
      </c>
      <c r="K1609" s="36"/>
      <c r="L1609" s="36"/>
      <c r="M1609" s="36"/>
      <c r="N1609" s="37" t="s">
        <v>31</v>
      </c>
      <c r="O1609" s="37"/>
      <c r="P1609" s="38"/>
      <c r="Q1609" s="37" t="s">
        <v>3514</v>
      </c>
      <c r="R1609" s="37" t="s">
        <v>389</v>
      </c>
      <c r="S1609" s="37" t="s">
        <v>33</v>
      </c>
      <c r="T1609" s="31"/>
    </row>
    <row r="1610" spans="1:20">
      <c r="A1610" s="31"/>
      <c r="B1610" s="32"/>
      <c r="C1610" s="33"/>
      <c r="D1610" s="32" t="s">
        <v>3515</v>
      </c>
      <c r="E1610" s="33" t="s">
        <v>116</v>
      </c>
      <c r="F1610" s="34">
        <v>1</v>
      </c>
      <c r="G1610" s="35">
        <v>0</v>
      </c>
      <c r="H1610" s="35">
        <v>0</v>
      </c>
      <c r="I1610" s="35">
        <f>Tabla1[[#This Row],[P.U. M.N.]]*Tabla1[[#This Row],[CANTIDADES DE REFERENCIA]]</f>
        <v>0</v>
      </c>
      <c r="J1610" s="35">
        <f>Tabla1[[#This Row],[P.U. USD]]*Tabla1[[#This Row],[CANTIDADES DE REFERENCIA]]</f>
        <v>0</v>
      </c>
      <c r="K1610" s="36"/>
      <c r="L1610" s="36"/>
      <c r="M1610" s="36"/>
      <c r="N1610" s="37"/>
      <c r="O1610" s="37"/>
      <c r="P1610" s="38"/>
      <c r="Q1610" s="37" t="s">
        <v>3516</v>
      </c>
      <c r="R1610" s="37"/>
      <c r="S1610" s="37" t="s">
        <v>3517</v>
      </c>
      <c r="T1610" s="31"/>
    </row>
    <row r="1611" spans="1:20">
      <c r="A1611" s="31"/>
      <c r="B1611" s="32"/>
      <c r="C1611" s="33"/>
      <c r="D1611" s="32" t="s">
        <v>3518</v>
      </c>
      <c r="E1611" s="33" t="s">
        <v>116</v>
      </c>
      <c r="F1611" s="34">
        <v>1</v>
      </c>
      <c r="G1611" s="35">
        <v>0</v>
      </c>
      <c r="H1611" s="35">
        <v>0</v>
      </c>
      <c r="I1611" s="35">
        <f>Tabla1[[#This Row],[P.U. M.N.]]*Tabla1[[#This Row],[CANTIDADES DE REFERENCIA]]</f>
        <v>0</v>
      </c>
      <c r="J1611" s="35">
        <f>Tabla1[[#This Row],[P.U. USD]]*Tabla1[[#This Row],[CANTIDADES DE REFERENCIA]]</f>
        <v>0</v>
      </c>
      <c r="K1611" s="36"/>
      <c r="L1611" s="36"/>
      <c r="M1611" s="36"/>
      <c r="N1611" s="37"/>
      <c r="O1611" s="37"/>
      <c r="P1611" s="38"/>
      <c r="Q1611" s="37" t="s">
        <v>3519</v>
      </c>
      <c r="R1611" s="37"/>
      <c r="S1611" s="37" t="s">
        <v>3517</v>
      </c>
      <c r="T1611" s="31"/>
    </row>
    <row r="1612" spans="1:20">
      <c r="A1612" s="31"/>
      <c r="B1612" s="32"/>
      <c r="C1612" s="33"/>
      <c r="D1612" s="32" t="s">
        <v>3520</v>
      </c>
      <c r="E1612" s="33" t="s">
        <v>116</v>
      </c>
      <c r="F1612" s="34">
        <v>1</v>
      </c>
      <c r="G1612" s="35">
        <v>0</v>
      </c>
      <c r="H1612" s="35">
        <v>0</v>
      </c>
      <c r="I1612" s="35">
        <f>Tabla1[[#This Row],[P.U. M.N.]]*Tabla1[[#This Row],[CANTIDADES DE REFERENCIA]]</f>
        <v>0</v>
      </c>
      <c r="J1612" s="35">
        <f>Tabla1[[#This Row],[P.U. USD]]*Tabla1[[#This Row],[CANTIDADES DE REFERENCIA]]</f>
        <v>0</v>
      </c>
      <c r="K1612" s="36"/>
      <c r="L1612" s="36"/>
      <c r="M1612" s="36"/>
      <c r="N1612" s="37"/>
      <c r="O1612" s="37"/>
      <c r="P1612" s="38"/>
      <c r="Q1612" s="37" t="s">
        <v>3521</v>
      </c>
      <c r="R1612" s="37"/>
      <c r="S1612" s="37" t="s">
        <v>3517</v>
      </c>
      <c r="T1612" s="31"/>
    </row>
    <row r="1613" spans="1:20">
      <c r="A1613" s="31"/>
      <c r="B1613" s="32"/>
      <c r="C1613" s="33"/>
      <c r="D1613" s="32" t="s">
        <v>3522</v>
      </c>
      <c r="E1613" s="33" t="s">
        <v>116</v>
      </c>
      <c r="F1613" s="34">
        <v>1</v>
      </c>
      <c r="G1613" s="35">
        <v>0</v>
      </c>
      <c r="H1613" s="35">
        <v>0</v>
      </c>
      <c r="I1613" s="35">
        <f>Tabla1[[#This Row],[P.U. M.N.]]*Tabla1[[#This Row],[CANTIDADES DE REFERENCIA]]</f>
        <v>0</v>
      </c>
      <c r="J1613" s="35">
        <f>Tabla1[[#This Row],[P.U. USD]]*Tabla1[[#This Row],[CANTIDADES DE REFERENCIA]]</f>
        <v>0</v>
      </c>
      <c r="K1613" s="36"/>
      <c r="L1613" s="36"/>
      <c r="M1613" s="36"/>
      <c r="N1613" s="37"/>
      <c r="O1613" s="37"/>
      <c r="P1613" s="38"/>
      <c r="Q1613" s="37" t="s">
        <v>3523</v>
      </c>
      <c r="R1613" s="37"/>
      <c r="S1613" s="37" t="s">
        <v>3517</v>
      </c>
      <c r="T1613" s="31"/>
    </row>
    <row r="1614" spans="1:20">
      <c r="A1614" s="31"/>
      <c r="B1614" s="32"/>
      <c r="C1614" s="33"/>
      <c r="D1614" s="32" t="s">
        <v>3524</v>
      </c>
      <c r="E1614" s="33" t="s">
        <v>116</v>
      </c>
      <c r="F1614" s="34">
        <v>1</v>
      </c>
      <c r="G1614" s="35">
        <v>0</v>
      </c>
      <c r="H1614" s="35">
        <v>0</v>
      </c>
      <c r="I1614" s="35">
        <f>Tabla1[[#This Row],[P.U. M.N.]]*Tabla1[[#This Row],[CANTIDADES DE REFERENCIA]]</f>
        <v>0</v>
      </c>
      <c r="J1614" s="35">
        <f>Tabla1[[#This Row],[P.U. USD]]*Tabla1[[#This Row],[CANTIDADES DE REFERENCIA]]</f>
        <v>0</v>
      </c>
      <c r="K1614" s="36"/>
      <c r="L1614" s="36"/>
      <c r="M1614" s="36"/>
      <c r="N1614" s="37"/>
      <c r="O1614" s="37"/>
      <c r="P1614" s="38"/>
      <c r="Q1614" s="37" t="s">
        <v>3525</v>
      </c>
      <c r="R1614" s="37"/>
      <c r="S1614" s="37" t="s">
        <v>3517</v>
      </c>
      <c r="T1614" s="31"/>
    </row>
    <row r="1615" spans="1:20">
      <c r="A1615" s="31"/>
      <c r="B1615" s="32"/>
      <c r="C1615" s="33"/>
      <c r="D1615" s="32" t="s">
        <v>3526</v>
      </c>
      <c r="E1615" s="33" t="s">
        <v>116</v>
      </c>
      <c r="F1615" s="34">
        <v>1</v>
      </c>
      <c r="G1615" s="35">
        <v>0</v>
      </c>
      <c r="H1615" s="35">
        <v>0</v>
      </c>
      <c r="I1615" s="35">
        <f>Tabla1[[#This Row],[P.U. M.N.]]*Tabla1[[#This Row],[CANTIDADES DE REFERENCIA]]</f>
        <v>0</v>
      </c>
      <c r="J1615" s="35">
        <f>Tabla1[[#This Row],[P.U. USD]]*Tabla1[[#This Row],[CANTIDADES DE REFERENCIA]]</f>
        <v>0</v>
      </c>
      <c r="K1615" s="36"/>
      <c r="L1615" s="36"/>
      <c r="M1615" s="36"/>
      <c r="N1615" s="37"/>
      <c r="O1615" s="37"/>
      <c r="P1615" s="38"/>
      <c r="Q1615" s="37" t="s">
        <v>3527</v>
      </c>
      <c r="R1615" s="37"/>
      <c r="S1615" s="37" t="s">
        <v>3517</v>
      </c>
      <c r="T1615" s="31"/>
    </row>
    <row r="1616" spans="1:20">
      <c r="A1616" s="31"/>
      <c r="B1616" s="32"/>
      <c r="C1616" s="33"/>
      <c r="D1616" s="32" t="s">
        <v>3528</v>
      </c>
      <c r="E1616" s="33" t="s">
        <v>135</v>
      </c>
      <c r="F1616" s="34">
        <v>1</v>
      </c>
      <c r="G1616" s="35">
        <v>0</v>
      </c>
      <c r="H1616" s="35">
        <v>0</v>
      </c>
      <c r="I1616" s="35">
        <f>Tabla1[[#This Row],[P.U. M.N.]]*Tabla1[[#This Row],[CANTIDADES DE REFERENCIA]]</f>
        <v>0</v>
      </c>
      <c r="J1616" s="35">
        <f>Tabla1[[#This Row],[P.U. USD]]*Tabla1[[#This Row],[CANTIDADES DE REFERENCIA]]</f>
        <v>0</v>
      </c>
      <c r="K1616" s="36"/>
      <c r="L1616" s="36"/>
      <c r="M1616" s="36"/>
      <c r="N1616" s="37"/>
      <c r="O1616" s="37"/>
      <c r="P1616" s="38"/>
      <c r="Q1616" s="37" t="s">
        <v>3529</v>
      </c>
      <c r="R1616" s="37"/>
      <c r="S1616" s="37" t="s">
        <v>3517</v>
      </c>
      <c r="T1616" s="31"/>
    </row>
    <row r="1617" spans="1:20">
      <c r="A1617" s="31"/>
      <c r="B1617" s="32"/>
      <c r="C1617" s="33"/>
      <c r="D1617" s="32" t="s">
        <v>3530</v>
      </c>
      <c r="E1617" s="33" t="s">
        <v>54</v>
      </c>
      <c r="F1617" s="34">
        <v>1</v>
      </c>
      <c r="G1617" s="35">
        <v>0</v>
      </c>
      <c r="H1617" s="35">
        <v>0</v>
      </c>
      <c r="I1617" s="35">
        <f>Tabla1[[#This Row],[P.U. M.N.]]*Tabla1[[#This Row],[CANTIDADES DE REFERENCIA]]</f>
        <v>0</v>
      </c>
      <c r="J1617" s="35">
        <f>Tabla1[[#This Row],[P.U. USD]]*Tabla1[[#This Row],[CANTIDADES DE REFERENCIA]]</f>
        <v>0</v>
      </c>
      <c r="K1617" s="36"/>
      <c r="L1617" s="36"/>
      <c r="M1617" s="36"/>
      <c r="N1617" s="37" t="s">
        <v>2989</v>
      </c>
      <c r="O1617" s="37" t="s">
        <v>2990</v>
      </c>
      <c r="P1617" s="38"/>
      <c r="Q1617" s="37" t="s">
        <v>3531</v>
      </c>
      <c r="R1617" s="37"/>
      <c r="S1617" s="37" t="s">
        <v>2992</v>
      </c>
      <c r="T1617" s="31"/>
    </row>
    <row r="1618" spans="1:20">
      <c r="A1618" s="31"/>
      <c r="B1618" s="32"/>
      <c r="C1618" s="33"/>
      <c r="D1618" s="32" t="s">
        <v>3532</v>
      </c>
      <c r="E1618" s="33" t="s">
        <v>116</v>
      </c>
      <c r="F1618" s="34">
        <v>1</v>
      </c>
      <c r="G1618" s="35">
        <v>0</v>
      </c>
      <c r="H1618" s="35">
        <v>0</v>
      </c>
      <c r="I1618" s="35">
        <f>Tabla1[[#This Row],[P.U. M.N.]]*Tabla1[[#This Row],[CANTIDADES DE REFERENCIA]]</f>
        <v>0</v>
      </c>
      <c r="J1618" s="35">
        <f>Tabla1[[#This Row],[P.U. USD]]*Tabla1[[#This Row],[CANTIDADES DE REFERENCIA]]</f>
        <v>0</v>
      </c>
      <c r="K1618" s="36"/>
      <c r="L1618" s="36"/>
      <c r="M1618" s="36"/>
      <c r="N1618" s="37"/>
      <c r="O1618" s="37"/>
      <c r="P1618" s="38"/>
      <c r="Q1618" s="37" t="s">
        <v>3533</v>
      </c>
      <c r="R1618" s="37"/>
      <c r="S1618" s="37" t="s">
        <v>3517</v>
      </c>
      <c r="T1618" s="31"/>
    </row>
    <row r="1619" spans="1:20">
      <c r="A1619" s="31"/>
      <c r="B1619" s="32"/>
      <c r="C1619" s="33"/>
      <c r="D1619" s="32" t="s">
        <v>3534</v>
      </c>
      <c r="E1619" s="33" t="s">
        <v>42</v>
      </c>
      <c r="F1619" s="34">
        <v>1</v>
      </c>
      <c r="G1619" s="35">
        <v>0</v>
      </c>
      <c r="H1619" s="35">
        <v>0</v>
      </c>
      <c r="I1619" s="35">
        <f>Tabla1[[#This Row],[P.U. M.N.]]*Tabla1[[#This Row],[CANTIDADES DE REFERENCIA]]</f>
        <v>0</v>
      </c>
      <c r="J1619" s="35">
        <f>Tabla1[[#This Row],[P.U. USD]]*Tabla1[[#This Row],[CANTIDADES DE REFERENCIA]]</f>
        <v>0</v>
      </c>
      <c r="K1619" s="36"/>
      <c r="L1619" s="36"/>
      <c r="M1619" s="36"/>
      <c r="N1619" s="37" t="s">
        <v>599</v>
      </c>
      <c r="O1619" s="37" t="s">
        <v>600</v>
      </c>
      <c r="P1619" s="38"/>
      <c r="Q1619" s="37" t="s">
        <v>3535</v>
      </c>
      <c r="R1619" s="37" t="s">
        <v>58</v>
      </c>
      <c r="S1619" s="37" t="s">
        <v>602</v>
      </c>
      <c r="T1619" s="31"/>
    </row>
    <row r="1620" spans="1:20">
      <c r="A1620" s="31"/>
      <c r="B1620" s="32"/>
      <c r="C1620" s="33"/>
      <c r="D1620" s="32" t="s">
        <v>3536</v>
      </c>
      <c r="E1620" s="33" t="s">
        <v>54</v>
      </c>
      <c r="F1620" s="34">
        <v>1</v>
      </c>
      <c r="G1620" s="35">
        <v>0</v>
      </c>
      <c r="H1620" s="35">
        <v>0</v>
      </c>
      <c r="I1620" s="35">
        <f>Tabla1[[#This Row],[P.U. M.N.]]*Tabla1[[#This Row],[CANTIDADES DE REFERENCIA]]</f>
        <v>0</v>
      </c>
      <c r="J1620" s="35">
        <f>Tabla1[[#This Row],[P.U. USD]]*Tabla1[[#This Row],[CANTIDADES DE REFERENCIA]]</f>
        <v>0</v>
      </c>
      <c r="K1620" s="36"/>
      <c r="L1620" s="36"/>
      <c r="M1620" s="36"/>
      <c r="N1620" s="37" t="s">
        <v>3537</v>
      </c>
      <c r="O1620" s="37" t="s">
        <v>3538</v>
      </c>
      <c r="P1620" s="38"/>
      <c r="Q1620" s="37" t="s">
        <v>3539</v>
      </c>
      <c r="R1620" s="37"/>
      <c r="S1620" s="37" t="s">
        <v>3540</v>
      </c>
      <c r="T1620" s="31"/>
    </row>
    <row r="1621" spans="1:20">
      <c r="A1621" s="31"/>
      <c r="B1621" s="32"/>
      <c r="C1621" s="33"/>
      <c r="D1621" s="32" t="s">
        <v>3541</v>
      </c>
      <c r="E1621" s="33" t="s">
        <v>116</v>
      </c>
      <c r="F1621" s="34">
        <v>1</v>
      </c>
      <c r="G1621" s="35">
        <v>0</v>
      </c>
      <c r="H1621" s="35">
        <v>0</v>
      </c>
      <c r="I1621" s="35">
        <f>Tabla1[[#This Row],[P.U. M.N.]]*Tabla1[[#This Row],[CANTIDADES DE REFERENCIA]]</f>
        <v>0</v>
      </c>
      <c r="J1621" s="35">
        <f>Tabla1[[#This Row],[P.U. USD]]*Tabla1[[#This Row],[CANTIDADES DE REFERENCIA]]</f>
        <v>0</v>
      </c>
      <c r="K1621" s="36"/>
      <c r="L1621" s="36"/>
      <c r="M1621" s="36"/>
      <c r="N1621" s="37" t="s">
        <v>3537</v>
      </c>
      <c r="O1621" s="37" t="s">
        <v>3538</v>
      </c>
      <c r="P1621" s="38"/>
      <c r="Q1621" s="37" t="s">
        <v>3542</v>
      </c>
      <c r="R1621" s="37"/>
      <c r="S1621" s="37" t="s">
        <v>3540</v>
      </c>
      <c r="T1621" s="31"/>
    </row>
    <row r="1622" spans="1:20">
      <c r="A1622" s="31"/>
      <c r="B1622" s="32"/>
      <c r="C1622" s="33"/>
      <c r="D1622" s="32" t="s">
        <v>3543</v>
      </c>
      <c r="E1622" s="33" t="s">
        <v>116</v>
      </c>
      <c r="F1622" s="34">
        <v>1</v>
      </c>
      <c r="G1622" s="35">
        <v>0</v>
      </c>
      <c r="H1622" s="35">
        <v>0</v>
      </c>
      <c r="I1622" s="35">
        <f>Tabla1[[#This Row],[P.U. M.N.]]*Tabla1[[#This Row],[CANTIDADES DE REFERENCIA]]</f>
        <v>0</v>
      </c>
      <c r="J1622" s="35">
        <f>Tabla1[[#This Row],[P.U. USD]]*Tabla1[[#This Row],[CANTIDADES DE REFERENCIA]]</f>
        <v>0</v>
      </c>
      <c r="K1622" s="36"/>
      <c r="L1622" s="36"/>
      <c r="M1622" s="36"/>
      <c r="N1622" s="37" t="s">
        <v>3537</v>
      </c>
      <c r="O1622" s="37" t="s">
        <v>3538</v>
      </c>
      <c r="P1622" s="38"/>
      <c r="Q1622" s="37" t="s">
        <v>3544</v>
      </c>
      <c r="R1622" s="37"/>
      <c r="S1622" s="37" t="s">
        <v>3540</v>
      </c>
      <c r="T1622" s="31"/>
    </row>
    <row r="1623" spans="1:20">
      <c r="A1623" s="31"/>
      <c r="B1623" s="32"/>
      <c r="C1623" s="33"/>
      <c r="D1623" s="32" t="s">
        <v>3545</v>
      </c>
      <c r="E1623" s="33" t="s">
        <v>116</v>
      </c>
      <c r="F1623" s="34">
        <v>1</v>
      </c>
      <c r="G1623" s="35">
        <v>0</v>
      </c>
      <c r="H1623" s="35">
        <v>0</v>
      </c>
      <c r="I1623" s="35">
        <f>Tabla1[[#This Row],[P.U. M.N.]]*Tabla1[[#This Row],[CANTIDADES DE REFERENCIA]]</f>
        <v>0</v>
      </c>
      <c r="J1623" s="35">
        <f>Tabla1[[#This Row],[P.U. USD]]*Tabla1[[#This Row],[CANTIDADES DE REFERENCIA]]</f>
        <v>0</v>
      </c>
      <c r="K1623" s="36"/>
      <c r="L1623" s="36"/>
      <c r="M1623" s="36"/>
      <c r="N1623" s="37" t="s">
        <v>455</v>
      </c>
      <c r="O1623" s="37" t="s">
        <v>456</v>
      </c>
      <c r="P1623" s="38"/>
      <c r="Q1623" s="37" t="s">
        <v>3546</v>
      </c>
      <c r="R1623" s="37"/>
      <c r="S1623" s="37" t="s">
        <v>458</v>
      </c>
      <c r="T1623" s="31"/>
    </row>
    <row r="1624" spans="1:20">
      <c r="A1624" s="31"/>
      <c r="B1624" s="32"/>
      <c r="C1624" s="33"/>
      <c r="D1624" s="32" t="s">
        <v>3547</v>
      </c>
      <c r="E1624" s="33" t="s">
        <v>116</v>
      </c>
      <c r="F1624" s="34">
        <v>1</v>
      </c>
      <c r="G1624" s="35">
        <v>0</v>
      </c>
      <c r="H1624" s="35">
        <v>0</v>
      </c>
      <c r="I1624" s="35">
        <f>Tabla1[[#This Row],[P.U. M.N.]]*Tabla1[[#This Row],[CANTIDADES DE REFERENCIA]]</f>
        <v>0</v>
      </c>
      <c r="J1624" s="35">
        <f>Tabla1[[#This Row],[P.U. USD]]*Tabla1[[#This Row],[CANTIDADES DE REFERENCIA]]</f>
        <v>0</v>
      </c>
      <c r="K1624" s="36"/>
      <c r="L1624" s="36"/>
      <c r="M1624" s="36"/>
      <c r="N1624" s="37" t="s">
        <v>3537</v>
      </c>
      <c r="O1624" s="37" t="s">
        <v>3538</v>
      </c>
      <c r="P1624" s="38"/>
      <c r="Q1624" s="37" t="s">
        <v>3548</v>
      </c>
      <c r="R1624" s="37"/>
      <c r="S1624" s="37" t="s">
        <v>3540</v>
      </c>
      <c r="T1624" s="31"/>
    </row>
    <row r="1625" spans="1:20">
      <c r="A1625" s="31"/>
      <c r="B1625" s="32"/>
      <c r="C1625" s="33"/>
      <c r="D1625" s="32" t="s">
        <v>3549</v>
      </c>
      <c r="E1625" s="33" t="s">
        <v>116</v>
      </c>
      <c r="F1625" s="34">
        <v>1</v>
      </c>
      <c r="G1625" s="35">
        <v>0</v>
      </c>
      <c r="H1625" s="35">
        <v>0</v>
      </c>
      <c r="I1625" s="35">
        <f>Tabla1[[#This Row],[P.U. M.N.]]*Tabla1[[#This Row],[CANTIDADES DE REFERENCIA]]</f>
        <v>0</v>
      </c>
      <c r="J1625" s="35">
        <f>Tabla1[[#This Row],[P.U. USD]]*Tabla1[[#This Row],[CANTIDADES DE REFERENCIA]]</f>
        <v>0</v>
      </c>
      <c r="K1625" s="36"/>
      <c r="L1625" s="36"/>
      <c r="M1625" s="36"/>
      <c r="N1625" s="37" t="s">
        <v>3537</v>
      </c>
      <c r="O1625" s="37" t="s">
        <v>3538</v>
      </c>
      <c r="P1625" s="38"/>
      <c r="Q1625" s="37" t="s">
        <v>3550</v>
      </c>
      <c r="R1625" s="37"/>
      <c r="S1625" s="37" t="s">
        <v>3540</v>
      </c>
      <c r="T1625" s="31"/>
    </row>
    <row r="1626" spans="1:20">
      <c r="A1626" s="31"/>
      <c r="B1626" s="32"/>
      <c r="C1626" s="33"/>
      <c r="D1626" s="32" t="s">
        <v>3551</v>
      </c>
      <c r="E1626" s="33" t="s">
        <v>116</v>
      </c>
      <c r="F1626" s="34">
        <v>1</v>
      </c>
      <c r="G1626" s="35">
        <v>0</v>
      </c>
      <c r="H1626" s="35">
        <v>0</v>
      </c>
      <c r="I1626" s="35">
        <f>Tabla1[[#This Row],[P.U. M.N.]]*Tabla1[[#This Row],[CANTIDADES DE REFERENCIA]]</f>
        <v>0</v>
      </c>
      <c r="J1626" s="35">
        <f>Tabla1[[#This Row],[P.U. USD]]*Tabla1[[#This Row],[CANTIDADES DE REFERENCIA]]</f>
        <v>0</v>
      </c>
      <c r="K1626" s="36"/>
      <c r="L1626" s="36"/>
      <c r="M1626" s="36"/>
      <c r="N1626" s="37" t="s">
        <v>3537</v>
      </c>
      <c r="O1626" s="37" t="s">
        <v>3538</v>
      </c>
      <c r="P1626" s="38"/>
      <c r="Q1626" s="37" t="s">
        <v>3552</v>
      </c>
      <c r="R1626" s="37"/>
      <c r="S1626" s="37" t="s">
        <v>3540</v>
      </c>
      <c r="T1626" s="31"/>
    </row>
    <row r="1627" spans="1:20">
      <c r="A1627" s="31"/>
      <c r="B1627" s="32"/>
      <c r="C1627" s="33"/>
      <c r="D1627" s="32" t="s">
        <v>3553</v>
      </c>
      <c r="E1627" s="33" t="s">
        <v>116</v>
      </c>
      <c r="F1627" s="34">
        <v>1</v>
      </c>
      <c r="G1627" s="35">
        <v>0</v>
      </c>
      <c r="H1627" s="35">
        <v>0</v>
      </c>
      <c r="I1627" s="35">
        <f>Tabla1[[#This Row],[P.U. M.N.]]*Tabla1[[#This Row],[CANTIDADES DE REFERENCIA]]</f>
        <v>0</v>
      </c>
      <c r="J1627" s="35">
        <f>Tabla1[[#This Row],[P.U. USD]]*Tabla1[[#This Row],[CANTIDADES DE REFERENCIA]]</f>
        <v>0</v>
      </c>
      <c r="K1627" s="36"/>
      <c r="L1627" s="36"/>
      <c r="M1627" s="36"/>
      <c r="N1627" s="37" t="s">
        <v>3537</v>
      </c>
      <c r="O1627" s="37" t="s">
        <v>3538</v>
      </c>
      <c r="P1627" s="38"/>
      <c r="Q1627" s="37" t="s">
        <v>3554</v>
      </c>
      <c r="R1627" s="37"/>
      <c r="S1627" s="37" t="s">
        <v>3540</v>
      </c>
      <c r="T1627" s="31"/>
    </row>
    <row r="1628" spans="1:20">
      <c r="A1628" s="31"/>
      <c r="B1628" s="32"/>
      <c r="C1628" s="33"/>
      <c r="D1628" s="32" t="s">
        <v>3555</v>
      </c>
      <c r="E1628" s="33" t="s">
        <v>116</v>
      </c>
      <c r="F1628" s="34">
        <v>1</v>
      </c>
      <c r="G1628" s="35">
        <v>0</v>
      </c>
      <c r="H1628" s="35">
        <v>0</v>
      </c>
      <c r="I1628" s="35">
        <f>Tabla1[[#This Row],[P.U. M.N.]]*Tabla1[[#This Row],[CANTIDADES DE REFERENCIA]]</f>
        <v>0</v>
      </c>
      <c r="J1628" s="35">
        <f>Tabla1[[#This Row],[P.U. USD]]*Tabla1[[#This Row],[CANTIDADES DE REFERENCIA]]</f>
        <v>0</v>
      </c>
      <c r="K1628" s="36"/>
      <c r="L1628" s="36"/>
      <c r="M1628" s="36"/>
      <c r="N1628" s="37" t="s">
        <v>455</v>
      </c>
      <c r="O1628" s="37" t="s">
        <v>456</v>
      </c>
      <c r="P1628" s="38"/>
      <c r="Q1628" s="37" t="s">
        <v>3556</v>
      </c>
      <c r="R1628" s="37"/>
      <c r="S1628" s="37" t="s">
        <v>458</v>
      </c>
      <c r="T1628" s="31"/>
    </row>
    <row r="1629" spans="1:20">
      <c r="A1629" s="31"/>
      <c r="B1629" s="32"/>
      <c r="C1629" s="33"/>
      <c r="D1629" s="32" t="s">
        <v>3557</v>
      </c>
      <c r="E1629" s="33" t="s">
        <v>116</v>
      </c>
      <c r="F1629" s="34">
        <v>1</v>
      </c>
      <c r="G1629" s="35">
        <v>0</v>
      </c>
      <c r="H1629" s="35">
        <v>0</v>
      </c>
      <c r="I1629" s="35">
        <f>Tabla1[[#This Row],[P.U. M.N.]]*Tabla1[[#This Row],[CANTIDADES DE REFERENCIA]]</f>
        <v>0</v>
      </c>
      <c r="J1629" s="35">
        <f>Tabla1[[#This Row],[P.U. USD]]*Tabla1[[#This Row],[CANTIDADES DE REFERENCIA]]</f>
        <v>0</v>
      </c>
      <c r="K1629" s="36"/>
      <c r="L1629" s="36"/>
      <c r="M1629" s="36"/>
      <c r="N1629" s="37" t="s">
        <v>3537</v>
      </c>
      <c r="O1629" s="37" t="s">
        <v>3538</v>
      </c>
      <c r="P1629" s="38"/>
      <c r="Q1629" s="37" t="s">
        <v>3558</v>
      </c>
      <c r="R1629" s="37"/>
      <c r="S1629" s="37" t="s">
        <v>3540</v>
      </c>
      <c r="T1629" s="31"/>
    </row>
    <row r="1630" spans="1:20">
      <c r="A1630" s="31"/>
      <c r="B1630" s="32"/>
      <c r="C1630" s="33"/>
      <c r="D1630" s="32" t="s">
        <v>3559</v>
      </c>
      <c r="E1630" s="33" t="s">
        <v>116</v>
      </c>
      <c r="F1630" s="34">
        <v>1</v>
      </c>
      <c r="G1630" s="35">
        <v>0</v>
      </c>
      <c r="H1630" s="35">
        <v>0</v>
      </c>
      <c r="I1630" s="35">
        <f>Tabla1[[#This Row],[P.U. M.N.]]*Tabla1[[#This Row],[CANTIDADES DE REFERENCIA]]</f>
        <v>0</v>
      </c>
      <c r="J1630" s="35">
        <f>Tabla1[[#This Row],[P.U. USD]]*Tabla1[[#This Row],[CANTIDADES DE REFERENCIA]]</f>
        <v>0</v>
      </c>
      <c r="K1630" s="36"/>
      <c r="L1630" s="36"/>
      <c r="M1630" s="36"/>
      <c r="N1630" s="37"/>
      <c r="O1630" s="37"/>
      <c r="P1630" s="38"/>
      <c r="Q1630" s="37" t="s">
        <v>3560</v>
      </c>
      <c r="R1630" s="37"/>
      <c r="S1630" s="37" t="s">
        <v>559</v>
      </c>
      <c r="T1630" s="31"/>
    </row>
    <row r="1631" spans="1:20">
      <c r="A1631" s="31"/>
      <c r="B1631" s="32"/>
      <c r="C1631" s="33"/>
      <c r="D1631" s="32" t="s">
        <v>3561</v>
      </c>
      <c r="E1631" s="33" t="s">
        <v>116</v>
      </c>
      <c r="F1631" s="34">
        <v>1</v>
      </c>
      <c r="G1631" s="35">
        <v>0</v>
      </c>
      <c r="H1631" s="35">
        <v>0</v>
      </c>
      <c r="I1631" s="35">
        <f>Tabla1[[#This Row],[P.U. M.N.]]*Tabla1[[#This Row],[CANTIDADES DE REFERENCIA]]</f>
        <v>0</v>
      </c>
      <c r="J1631" s="35">
        <f>Tabla1[[#This Row],[P.U. USD]]*Tabla1[[#This Row],[CANTIDADES DE REFERENCIA]]</f>
        <v>0</v>
      </c>
      <c r="K1631" s="36"/>
      <c r="L1631" s="36"/>
      <c r="M1631" s="36"/>
      <c r="N1631" s="37"/>
      <c r="O1631" s="37"/>
      <c r="P1631" s="38"/>
      <c r="Q1631" s="37" t="s">
        <v>3562</v>
      </c>
      <c r="R1631" s="37"/>
      <c r="S1631" s="37" t="s">
        <v>559</v>
      </c>
      <c r="T1631" s="31"/>
    </row>
    <row r="1632" spans="1:20">
      <c r="A1632" s="31"/>
      <c r="B1632" s="32"/>
      <c r="C1632" s="33"/>
      <c r="D1632" s="32" t="s">
        <v>3563</v>
      </c>
      <c r="E1632" s="33" t="s">
        <v>116</v>
      </c>
      <c r="F1632" s="34">
        <v>1</v>
      </c>
      <c r="G1632" s="35">
        <v>0</v>
      </c>
      <c r="H1632" s="35">
        <v>0</v>
      </c>
      <c r="I1632" s="35">
        <f>Tabla1[[#This Row],[P.U. M.N.]]*Tabla1[[#This Row],[CANTIDADES DE REFERENCIA]]</f>
        <v>0</v>
      </c>
      <c r="J1632" s="35">
        <f>Tabla1[[#This Row],[P.U. USD]]*Tabla1[[#This Row],[CANTIDADES DE REFERENCIA]]</f>
        <v>0</v>
      </c>
      <c r="K1632" s="36"/>
      <c r="L1632" s="36"/>
      <c r="M1632" s="36"/>
      <c r="N1632" s="37"/>
      <c r="O1632" s="37"/>
      <c r="P1632" s="38"/>
      <c r="Q1632" s="37" t="s">
        <v>3564</v>
      </c>
      <c r="R1632" s="37"/>
      <c r="S1632" s="37" t="s">
        <v>559</v>
      </c>
      <c r="T1632" s="31"/>
    </row>
    <row r="1633" spans="1:20">
      <c r="A1633" s="31"/>
      <c r="B1633" s="32"/>
      <c r="C1633" s="33"/>
      <c r="D1633" s="32" t="s">
        <v>3565</v>
      </c>
      <c r="E1633" s="33" t="s">
        <v>116</v>
      </c>
      <c r="F1633" s="34">
        <v>1</v>
      </c>
      <c r="G1633" s="35">
        <v>0</v>
      </c>
      <c r="H1633" s="35">
        <v>0</v>
      </c>
      <c r="I1633" s="35">
        <f>Tabla1[[#This Row],[P.U. M.N.]]*Tabla1[[#This Row],[CANTIDADES DE REFERENCIA]]</f>
        <v>0</v>
      </c>
      <c r="J1633" s="35">
        <f>Tabla1[[#This Row],[P.U. USD]]*Tabla1[[#This Row],[CANTIDADES DE REFERENCIA]]</f>
        <v>0</v>
      </c>
      <c r="K1633" s="36"/>
      <c r="L1633" s="36"/>
      <c r="M1633" s="36"/>
      <c r="N1633" s="37"/>
      <c r="O1633" s="37"/>
      <c r="P1633" s="38"/>
      <c r="Q1633" s="37" t="s">
        <v>3566</v>
      </c>
      <c r="R1633" s="37"/>
      <c r="S1633" s="37" t="s">
        <v>559</v>
      </c>
      <c r="T1633" s="31"/>
    </row>
    <row r="1634" spans="1:20">
      <c r="A1634" s="31"/>
      <c r="B1634" s="32"/>
      <c r="C1634" s="33"/>
      <c r="D1634" s="32" t="s">
        <v>3567</v>
      </c>
      <c r="E1634" s="33" t="s">
        <v>116</v>
      </c>
      <c r="F1634" s="34">
        <v>1</v>
      </c>
      <c r="G1634" s="35">
        <v>0</v>
      </c>
      <c r="H1634" s="35">
        <v>0</v>
      </c>
      <c r="I1634" s="35">
        <f>Tabla1[[#This Row],[P.U. M.N.]]*Tabla1[[#This Row],[CANTIDADES DE REFERENCIA]]</f>
        <v>0</v>
      </c>
      <c r="J1634" s="35">
        <f>Tabla1[[#This Row],[P.U. USD]]*Tabla1[[#This Row],[CANTIDADES DE REFERENCIA]]</f>
        <v>0</v>
      </c>
      <c r="K1634" s="36"/>
      <c r="L1634" s="36"/>
      <c r="M1634" s="36"/>
      <c r="N1634" s="37"/>
      <c r="O1634" s="37"/>
      <c r="P1634" s="38"/>
      <c r="Q1634" s="37" t="s">
        <v>3568</v>
      </c>
      <c r="R1634" s="37"/>
      <c r="S1634" s="37" t="s">
        <v>559</v>
      </c>
      <c r="T1634" s="31"/>
    </row>
    <row r="1635" spans="1:20">
      <c r="A1635" s="31"/>
      <c r="B1635" s="32"/>
      <c r="C1635" s="33"/>
      <c r="D1635" s="32" t="s">
        <v>3569</v>
      </c>
      <c r="E1635" s="33" t="s">
        <v>116</v>
      </c>
      <c r="F1635" s="34">
        <v>1</v>
      </c>
      <c r="G1635" s="35">
        <v>0</v>
      </c>
      <c r="H1635" s="35">
        <v>0</v>
      </c>
      <c r="I1635" s="35">
        <f>Tabla1[[#This Row],[P.U. M.N.]]*Tabla1[[#This Row],[CANTIDADES DE REFERENCIA]]</f>
        <v>0</v>
      </c>
      <c r="J1635" s="35">
        <f>Tabla1[[#This Row],[P.U. USD]]*Tabla1[[#This Row],[CANTIDADES DE REFERENCIA]]</f>
        <v>0</v>
      </c>
      <c r="K1635" s="36"/>
      <c r="L1635" s="36"/>
      <c r="M1635" s="36"/>
      <c r="N1635" s="37"/>
      <c r="O1635" s="37"/>
      <c r="P1635" s="38"/>
      <c r="Q1635" s="37" t="s">
        <v>3570</v>
      </c>
      <c r="R1635" s="37"/>
      <c r="S1635" s="37" t="s">
        <v>559</v>
      </c>
      <c r="T1635" s="31"/>
    </row>
    <row r="1636" spans="1:20">
      <c r="A1636" s="31"/>
      <c r="B1636" s="32"/>
      <c r="C1636" s="33"/>
      <c r="D1636" s="32" t="s">
        <v>3571</v>
      </c>
      <c r="E1636" s="33" t="s">
        <v>116</v>
      </c>
      <c r="F1636" s="34">
        <v>1</v>
      </c>
      <c r="G1636" s="35">
        <v>0</v>
      </c>
      <c r="H1636" s="35">
        <v>0</v>
      </c>
      <c r="I1636" s="35">
        <f>Tabla1[[#This Row],[P.U. M.N.]]*Tabla1[[#This Row],[CANTIDADES DE REFERENCIA]]</f>
        <v>0</v>
      </c>
      <c r="J1636" s="35">
        <f>Tabla1[[#This Row],[P.U. USD]]*Tabla1[[#This Row],[CANTIDADES DE REFERENCIA]]</f>
        <v>0</v>
      </c>
      <c r="K1636" s="36"/>
      <c r="L1636" s="36"/>
      <c r="M1636" s="36"/>
      <c r="N1636" s="37"/>
      <c r="O1636" s="37"/>
      <c r="P1636" s="38"/>
      <c r="Q1636" s="37" t="s">
        <v>3572</v>
      </c>
      <c r="R1636" s="37"/>
      <c r="S1636" s="37" t="s">
        <v>559</v>
      </c>
      <c r="T1636" s="31"/>
    </row>
    <row r="1637" spans="1:20">
      <c r="A1637" s="31"/>
      <c r="B1637" s="32"/>
      <c r="C1637" s="33"/>
      <c r="D1637" s="32" t="s">
        <v>3573</v>
      </c>
      <c r="E1637" s="33" t="s">
        <v>116</v>
      </c>
      <c r="F1637" s="34">
        <v>1</v>
      </c>
      <c r="G1637" s="35">
        <v>0</v>
      </c>
      <c r="H1637" s="35">
        <v>0</v>
      </c>
      <c r="I1637" s="35">
        <f>Tabla1[[#This Row],[P.U. M.N.]]*Tabla1[[#This Row],[CANTIDADES DE REFERENCIA]]</f>
        <v>0</v>
      </c>
      <c r="J1637" s="35">
        <f>Tabla1[[#This Row],[P.U. USD]]*Tabla1[[#This Row],[CANTIDADES DE REFERENCIA]]</f>
        <v>0</v>
      </c>
      <c r="K1637" s="36"/>
      <c r="L1637" s="36"/>
      <c r="M1637" s="36"/>
      <c r="N1637" s="37"/>
      <c r="O1637" s="37"/>
      <c r="P1637" s="38"/>
      <c r="Q1637" s="37" t="s">
        <v>3574</v>
      </c>
      <c r="R1637" s="37"/>
      <c r="S1637" s="37" t="s">
        <v>559</v>
      </c>
      <c r="T1637" s="31"/>
    </row>
    <row r="1638" spans="1:20">
      <c r="A1638" s="31"/>
      <c r="B1638" s="32"/>
      <c r="C1638" s="33"/>
      <c r="D1638" s="32" t="s">
        <v>3575</v>
      </c>
      <c r="E1638" s="33" t="s">
        <v>135</v>
      </c>
      <c r="F1638" s="34">
        <v>1</v>
      </c>
      <c r="G1638" s="35">
        <v>0</v>
      </c>
      <c r="H1638" s="35">
        <v>0</v>
      </c>
      <c r="I1638" s="35">
        <f>Tabla1[[#This Row],[P.U. M.N.]]*Tabla1[[#This Row],[CANTIDADES DE REFERENCIA]]</f>
        <v>0</v>
      </c>
      <c r="J1638" s="35">
        <f>Tabla1[[#This Row],[P.U. USD]]*Tabla1[[#This Row],[CANTIDADES DE REFERENCIA]]</f>
        <v>0</v>
      </c>
      <c r="K1638" s="36"/>
      <c r="L1638" s="36"/>
      <c r="M1638" s="36"/>
      <c r="N1638" s="37"/>
      <c r="O1638" s="37"/>
      <c r="P1638" s="38"/>
      <c r="Q1638" s="37" t="s">
        <v>3576</v>
      </c>
      <c r="R1638" s="37"/>
      <c r="S1638" s="37" t="s">
        <v>559</v>
      </c>
      <c r="T1638" s="31"/>
    </row>
    <row r="1639" spans="1:20">
      <c r="A1639" s="31"/>
      <c r="B1639" s="32"/>
      <c r="C1639" s="33"/>
      <c r="D1639" s="32" t="s">
        <v>3577</v>
      </c>
      <c r="E1639" s="33" t="s">
        <v>135</v>
      </c>
      <c r="F1639" s="34">
        <v>1</v>
      </c>
      <c r="G1639" s="35">
        <v>0</v>
      </c>
      <c r="H1639" s="35">
        <v>0</v>
      </c>
      <c r="I1639" s="35">
        <f>Tabla1[[#This Row],[P.U. M.N.]]*Tabla1[[#This Row],[CANTIDADES DE REFERENCIA]]</f>
        <v>0</v>
      </c>
      <c r="J1639" s="35">
        <f>Tabla1[[#This Row],[P.U. USD]]*Tabla1[[#This Row],[CANTIDADES DE REFERENCIA]]</f>
        <v>0</v>
      </c>
      <c r="K1639" s="36"/>
      <c r="L1639" s="36"/>
      <c r="M1639" s="36"/>
      <c r="N1639" s="37"/>
      <c r="O1639" s="37"/>
      <c r="P1639" s="38"/>
      <c r="Q1639" s="37" t="s">
        <v>3578</v>
      </c>
      <c r="R1639" s="37"/>
      <c r="S1639" s="37" t="s">
        <v>559</v>
      </c>
      <c r="T1639" s="31"/>
    </row>
    <row r="1640" spans="1:20">
      <c r="A1640" s="31"/>
      <c r="B1640" s="32"/>
      <c r="C1640" s="33"/>
      <c r="D1640" s="32" t="s">
        <v>3579</v>
      </c>
      <c r="E1640" s="33" t="s">
        <v>116</v>
      </c>
      <c r="F1640" s="34">
        <v>1</v>
      </c>
      <c r="G1640" s="35">
        <v>0</v>
      </c>
      <c r="H1640" s="35">
        <v>0</v>
      </c>
      <c r="I1640" s="35">
        <f>Tabla1[[#This Row],[P.U. M.N.]]*Tabla1[[#This Row],[CANTIDADES DE REFERENCIA]]</f>
        <v>0</v>
      </c>
      <c r="J1640" s="35">
        <f>Tabla1[[#This Row],[P.U. USD]]*Tabla1[[#This Row],[CANTIDADES DE REFERENCIA]]</f>
        <v>0</v>
      </c>
      <c r="K1640" s="36"/>
      <c r="L1640" s="36"/>
      <c r="M1640" s="36"/>
      <c r="N1640" s="37"/>
      <c r="O1640" s="37"/>
      <c r="P1640" s="38"/>
      <c r="Q1640" s="37" t="s">
        <v>3580</v>
      </c>
      <c r="R1640" s="37"/>
      <c r="S1640" s="37" t="s">
        <v>559</v>
      </c>
      <c r="T1640" s="31"/>
    </row>
    <row r="1641" spans="1:20">
      <c r="A1641" s="31"/>
      <c r="B1641" s="32"/>
      <c r="C1641" s="33"/>
      <c r="D1641" s="32" t="s">
        <v>3581</v>
      </c>
      <c r="E1641" s="33" t="s">
        <v>116</v>
      </c>
      <c r="F1641" s="34">
        <v>1</v>
      </c>
      <c r="G1641" s="35">
        <v>0</v>
      </c>
      <c r="H1641" s="35">
        <v>0</v>
      </c>
      <c r="I1641" s="35">
        <f>Tabla1[[#This Row],[P.U. M.N.]]*Tabla1[[#This Row],[CANTIDADES DE REFERENCIA]]</f>
        <v>0</v>
      </c>
      <c r="J1641" s="35">
        <f>Tabla1[[#This Row],[P.U. USD]]*Tabla1[[#This Row],[CANTIDADES DE REFERENCIA]]</f>
        <v>0</v>
      </c>
      <c r="K1641" s="36"/>
      <c r="L1641" s="36"/>
      <c r="M1641" s="36"/>
      <c r="N1641" s="37"/>
      <c r="O1641" s="37"/>
      <c r="P1641" s="38"/>
      <c r="Q1641" s="37" t="s">
        <v>3582</v>
      </c>
      <c r="R1641" s="37"/>
      <c r="S1641" s="37" t="s">
        <v>559</v>
      </c>
      <c r="T1641" s="31"/>
    </row>
    <row r="1642" spans="1:20">
      <c r="A1642" s="31"/>
      <c r="B1642" s="32"/>
      <c r="C1642" s="33"/>
      <c r="D1642" s="32" t="s">
        <v>3583</v>
      </c>
      <c r="E1642" s="33" t="s">
        <v>116</v>
      </c>
      <c r="F1642" s="34">
        <v>1</v>
      </c>
      <c r="G1642" s="35">
        <v>0</v>
      </c>
      <c r="H1642" s="35">
        <v>0</v>
      </c>
      <c r="I1642" s="35">
        <f>Tabla1[[#This Row],[P.U. M.N.]]*Tabla1[[#This Row],[CANTIDADES DE REFERENCIA]]</f>
        <v>0</v>
      </c>
      <c r="J1642" s="35">
        <f>Tabla1[[#This Row],[P.U. USD]]*Tabla1[[#This Row],[CANTIDADES DE REFERENCIA]]</f>
        <v>0</v>
      </c>
      <c r="K1642" s="36"/>
      <c r="L1642" s="36"/>
      <c r="M1642" s="36"/>
      <c r="N1642" s="37" t="s">
        <v>3584</v>
      </c>
      <c r="O1642" s="37"/>
      <c r="P1642" s="38"/>
      <c r="Q1642" s="37" t="s">
        <v>3585</v>
      </c>
      <c r="R1642" s="37"/>
      <c r="S1642" s="37" t="s">
        <v>559</v>
      </c>
      <c r="T1642" s="31"/>
    </row>
    <row r="1643" spans="1:20">
      <c r="A1643" s="31"/>
      <c r="B1643" s="32"/>
      <c r="C1643" s="33"/>
      <c r="D1643" s="32" t="s">
        <v>3586</v>
      </c>
      <c r="E1643" s="33" t="s">
        <v>116</v>
      </c>
      <c r="F1643" s="34">
        <v>1</v>
      </c>
      <c r="G1643" s="35">
        <v>0</v>
      </c>
      <c r="H1643" s="35">
        <v>0</v>
      </c>
      <c r="I1643" s="35">
        <f>Tabla1[[#This Row],[P.U. M.N.]]*Tabla1[[#This Row],[CANTIDADES DE REFERENCIA]]</f>
        <v>0</v>
      </c>
      <c r="J1643" s="35">
        <f>Tabla1[[#This Row],[P.U. USD]]*Tabla1[[#This Row],[CANTIDADES DE REFERENCIA]]</f>
        <v>0</v>
      </c>
      <c r="K1643" s="36"/>
      <c r="L1643" s="36"/>
      <c r="M1643" s="36"/>
      <c r="N1643" s="37"/>
      <c r="O1643" s="37"/>
      <c r="P1643" s="38"/>
      <c r="Q1643" s="37" t="s">
        <v>3587</v>
      </c>
      <c r="R1643" s="37"/>
      <c r="S1643" s="37" t="s">
        <v>559</v>
      </c>
      <c r="T1643" s="31"/>
    </row>
    <row r="1644" spans="1:20">
      <c r="A1644" s="31"/>
      <c r="B1644" s="32"/>
      <c r="C1644" s="33"/>
      <c r="D1644" s="32" t="s">
        <v>3588</v>
      </c>
      <c r="E1644" s="33" t="s">
        <v>116</v>
      </c>
      <c r="F1644" s="34">
        <v>1</v>
      </c>
      <c r="G1644" s="35">
        <v>0</v>
      </c>
      <c r="H1644" s="35">
        <v>0</v>
      </c>
      <c r="I1644" s="35">
        <f>Tabla1[[#This Row],[P.U. M.N.]]*Tabla1[[#This Row],[CANTIDADES DE REFERENCIA]]</f>
        <v>0</v>
      </c>
      <c r="J1644" s="35">
        <f>Tabla1[[#This Row],[P.U. USD]]*Tabla1[[#This Row],[CANTIDADES DE REFERENCIA]]</f>
        <v>0</v>
      </c>
      <c r="K1644" s="36"/>
      <c r="L1644" s="36"/>
      <c r="M1644" s="36"/>
      <c r="N1644" s="37"/>
      <c r="O1644" s="37"/>
      <c r="P1644" s="38"/>
      <c r="Q1644" s="37" t="s">
        <v>3589</v>
      </c>
      <c r="R1644" s="37"/>
      <c r="S1644" s="37" t="s">
        <v>559</v>
      </c>
      <c r="T1644" s="31"/>
    </row>
    <row r="1645" spans="1:20">
      <c r="A1645" s="31"/>
      <c r="B1645" s="32"/>
      <c r="C1645" s="33"/>
      <c r="D1645" s="32" t="s">
        <v>3590</v>
      </c>
      <c r="E1645" s="33" t="s">
        <v>116</v>
      </c>
      <c r="F1645" s="34">
        <v>1</v>
      </c>
      <c r="G1645" s="35">
        <v>0</v>
      </c>
      <c r="H1645" s="35">
        <v>0</v>
      </c>
      <c r="I1645" s="35">
        <f>Tabla1[[#This Row],[P.U. M.N.]]*Tabla1[[#This Row],[CANTIDADES DE REFERENCIA]]</f>
        <v>0</v>
      </c>
      <c r="J1645" s="35">
        <f>Tabla1[[#This Row],[P.U. USD]]*Tabla1[[#This Row],[CANTIDADES DE REFERENCIA]]</f>
        <v>0</v>
      </c>
      <c r="K1645" s="36"/>
      <c r="L1645" s="36"/>
      <c r="M1645" s="36"/>
      <c r="N1645" s="37"/>
      <c r="O1645" s="37"/>
      <c r="P1645" s="38"/>
      <c r="Q1645" s="37" t="s">
        <v>3591</v>
      </c>
      <c r="R1645" s="37"/>
      <c r="S1645" s="37" t="s">
        <v>559</v>
      </c>
      <c r="T1645" s="31"/>
    </row>
    <row r="1646" spans="1:20">
      <c r="A1646" s="31"/>
      <c r="B1646" s="32"/>
      <c r="C1646" s="33"/>
      <c r="D1646" s="32" t="s">
        <v>3592</v>
      </c>
      <c r="E1646" s="33" t="s">
        <v>116</v>
      </c>
      <c r="F1646" s="34">
        <v>1</v>
      </c>
      <c r="G1646" s="35">
        <v>0</v>
      </c>
      <c r="H1646" s="35">
        <v>0</v>
      </c>
      <c r="I1646" s="35">
        <f>Tabla1[[#This Row],[P.U. M.N.]]*Tabla1[[#This Row],[CANTIDADES DE REFERENCIA]]</f>
        <v>0</v>
      </c>
      <c r="J1646" s="35">
        <f>Tabla1[[#This Row],[P.U. USD]]*Tabla1[[#This Row],[CANTIDADES DE REFERENCIA]]</f>
        <v>0</v>
      </c>
      <c r="K1646" s="36"/>
      <c r="L1646" s="36"/>
      <c r="M1646" s="36"/>
      <c r="N1646" s="37"/>
      <c r="O1646" s="37"/>
      <c r="P1646" s="38"/>
      <c r="Q1646" s="37" t="s">
        <v>3593</v>
      </c>
      <c r="R1646" s="37"/>
      <c r="S1646" s="37" t="s">
        <v>559</v>
      </c>
      <c r="T1646" s="31"/>
    </row>
    <row r="1647" spans="1:20">
      <c r="A1647" s="31"/>
      <c r="B1647" s="32"/>
      <c r="C1647" s="33"/>
      <c r="D1647" s="32" t="s">
        <v>3594</v>
      </c>
      <c r="E1647" s="33" t="s">
        <v>135</v>
      </c>
      <c r="F1647" s="34">
        <v>1</v>
      </c>
      <c r="G1647" s="35">
        <v>0</v>
      </c>
      <c r="H1647" s="35">
        <v>0</v>
      </c>
      <c r="I1647" s="35">
        <f>Tabla1[[#This Row],[P.U. M.N.]]*Tabla1[[#This Row],[CANTIDADES DE REFERENCIA]]</f>
        <v>0</v>
      </c>
      <c r="J1647" s="35">
        <f>Tabla1[[#This Row],[P.U. USD]]*Tabla1[[#This Row],[CANTIDADES DE REFERENCIA]]</f>
        <v>0</v>
      </c>
      <c r="K1647" s="36"/>
      <c r="L1647" s="36"/>
      <c r="M1647" s="36"/>
      <c r="N1647" s="37" t="s">
        <v>392</v>
      </c>
      <c r="O1647" s="37" t="s">
        <v>393</v>
      </c>
      <c r="P1647" s="38"/>
      <c r="Q1647" s="37" t="s">
        <v>3595</v>
      </c>
      <c r="R1647" s="37"/>
      <c r="S1647" s="37" t="s">
        <v>395</v>
      </c>
      <c r="T1647" s="31"/>
    </row>
    <row r="1648" spans="1:20">
      <c r="A1648" s="31"/>
      <c r="B1648" s="32"/>
      <c r="C1648" s="33"/>
      <c r="D1648" s="32" t="s">
        <v>3596</v>
      </c>
      <c r="E1648" s="33" t="s">
        <v>135</v>
      </c>
      <c r="F1648" s="34">
        <v>1</v>
      </c>
      <c r="G1648" s="35">
        <v>0</v>
      </c>
      <c r="H1648" s="35">
        <v>0</v>
      </c>
      <c r="I1648" s="35">
        <f>Tabla1[[#This Row],[P.U. M.N.]]*Tabla1[[#This Row],[CANTIDADES DE REFERENCIA]]</f>
        <v>0</v>
      </c>
      <c r="J1648" s="35">
        <f>Tabla1[[#This Row],[P.U. USD]]*Tabla1[[#This Row],[CANTIDADES DE REFERENCIA]]</f>
        <v>0</v>
      </c>
      <c r="K1648" s="36"/>
      <c r="L1648" s="36"/>
      <c r="M1648" s="36"/>
      <c r="N1648" s="37" t="s">
        <v>392</v>
      </c>
      <c r="O1648" s="37" t="s">
        <v>393</v>
      </c>
      <c r="P1648" s="38"/>
      <c r="Q1648" s="37" t="s">
        <v>3597</v>
      </c>
      <c r="R1648" s="37"/>
      <c r="S1648" s="37" t="s">
        <v>395</v>
      </c>
      <c r="T1648" s="31"/>
    </row>
    <row r="1649" spans="1:20">
      <c r="A1649" s="31"/>
      <c r="B1649" s="32"/>
      <c r="C1649" s="33"/>
      <c r="D1649" s="32" t="s">
        <v>3598</v>
      </c>
      <c r="E1649" s="33" t="s">
        <v>116</v>
      </c>
      <c r="F1649" s="34">
        <v>1</v>
      </c>
      <c r="G1649" s="35">
        <v>0</v>
      </c>
      <c r="H1649" s="35">
        <v>0</v>
      </c>
      <c r="I1649" s="35">
        <f>Tabla1[[#This Row],[P.U. M.N.]]*Tabla1[[#This Row],[CANTIDADES DE REFERENCIA]]</f>
        <v>0</v>
      </c>
      <c r="J1649" s="35">
        <f>Tabla1[[#This Row],[P.U. USD]]*Tabla1[[#This Row],[CANTIDADES DE REFERENCIA]]</f>
        <v>0</v>
      </c>
      <c r="K1649" s="36"/>
      <c r="L1649" s="36"/>
      <c r="M1649" s="36"/>
      <c r="N1649" s="37" t="s">
        <v>392</v>
      </c>
      <c r="O1649" s="37" t="s">
        <v>393</v>
      </c>
      <c r="P1649" s="38"/>
      <c r="Q1649" s="37" t="s">
        <v>3599</v>
      </c>
      <c r="R1649" s="37" t="s">
        <v>58</v>
      </c>
      <c r="S1649" s="37" t="s">
        <v>395</v>
      </c>
      <c r="T1649" s="31"/>
    </row>
    <row r="1650" spans="1:20">
      <c r="A1650" s="31"/>
      <c r="B1650" s="32"/>
      <c r="C1650" s="33"/>
      <c r="D1650" s="32" t="s">
        <v>3600</v>
      </c>
      <c r="E1650" s="33" t="s">
        <v>116</v>
      </c>
      <c r="F1650" s="34">
        <v>1</v>
      </c>
      <c r="G1650" s="35">
        <v>0</v>
      </c>
      <c r="H1650" s="35">
        <v>0</v>
      </c>
      <c r="I1650" s="35">
        <f>Tabla1[[#This Row],[P.U. M.N.]]*Tabla1[[#This Row],[CANTIDADES DE REFERENCIA]]</f>
        <v>0</v>
      </c>
      <c r="J1650" s="35">
        <f>Tabla1[[#This Row],[P.U. USD]]*Tabla1[[#This Row],[CANTIDADES DE REFERENCIA]]</f>
        <v>0</v>
      </c>
      <c r="K1650" s="36"/>
      <c r="L1650" s="36"/>
      <c r="M1650" s="36"/>
      <c r="N1650" s="37" t="s">
        <v>392</v>
      </c>
      <c r="O1650" s="37" t="s">
        <v>393</v>
      </c>
      <c r="P1650" s="38"/>
      <c r="Q1650" s="37" t="s">
        <v>3601</v>
      </c>
      <c r="R1650" s="37" t="s">
        <v>58</v>
      </c>
      <c r="S1650" s="37" t="s">
        <v>395</v>
      </c>
      <c r="T1650" s="31"/>
    </row>
    <row r="1651" spans="1:20">
      <c r="A1651" s="31"/>
      <c r="B1651" s="32"/>
      <c r="C1651" s="33"/>
      <c r="D1651" s="32" t="s">
        <v>3602</v>
      </c>
      <c r="E1651" s="33" t="s">
        <v>116</v>
      </c>
      <c r="F1651" s="34">
        <v>1</v>
      </c>
      <c r="G1651" s="35">
        <v>0</v>
      </c>
      <c r="H1651" s="35">
        <v>0</v>
      </c>
      <c r="I1651" s="35">
        <f>Tabla1[[#This Row],[P.U. M.N.]]*Tabla1[[#This Row],[CANTIDADES DE REFERENCIA]]</f>
        <v>0</v>
      </c>
      <c r="J1651" s="35">
        <f>Tabla1[[#This Row],[P.U. USD]]*Tabla1[[#This Row],[CANTIDADES DE REFERENCIA]]</f>
        <v>0</v>
      </c>
      <c r="K1651" s="36"/>
      <c r="L1651" s="36"/>
      <c r="M1651" s="36"/>
      <c r="N1651" s="37" t="s">
        <v>392</v>
      </c>
      <c r="O1651" s="37" t="s">
        <v>393</v>
      </c>
      <c r="P1651" s="38"/>
      <c r="Q1651" s="37" t="s">
        <v>3603</v>
      </c>
      <c r="R1651" s="37"/>
      <c r="S1651" s="37" t="s">
        <v>395</v>
      </c>
      <c r="T1651" s="31"/>
    </row>
    <row r="1652" spans="1:20">
      <c r="A1652" s="31"/>
      <c r="B1652" s="32"/>
      <c r="C1652" s="33"/>
      <c r="D1652" s="32" t="s">
        <v>3604</v>
      </c>
      <c r="E1652" s="33" t="s">
        <v>116</v>
      </c>
      <c r="F1652" s="34">
        <v>1</v>
      </c>
      <c r="G1652" s="35">
        <v>0</v>
      </c>
      <c r="H1652" s="35">
        <v>0</v>
      </c>
      <c r="I1652" s="35">
        <f>Tabla1[[#This Row],[P.U. M.N.]]*Tabla1[[#This Row],[CANTIDADES DE REFERENCIA]]</f>
        <v>0</v>
      </c>
      <c r="J1652" s="35">
        <f>Tabla1[[#This Row],[P.U. USD]]*Tabla1[[#This Row],[CANTIDADES DE REFERENCIA]]</f>
        <v>0</v>
      </c>
      <c r="K1652" s="36"/>
      <c r="L1652" s="36"/>
      <c r="M1652" s="36"/>
      <c r="N1652" s="37" t="s">
        <v>392</v>
      </c>
      <c r="O1652" s="37" t="s">
        <v>393</v>
      </c>
      <c r="P1652" s="38"/>
      <c r="Q1652" s="37" t="s">
        <v>3605</v>
      </c>
      <c r="R1652" s="37"/>
      <c r="S1652" s="37" t="s">
        <v>395</v>
      </c>
      <c r="T1652" s="31"/>
    </row>
    <row r="1653" spans="1:20">
      <c r="A1653" s="31"/>
      <c r="B1653" s="32"/>
      <c r="C1653" s="33"/>
      <c r="D1653" s="32" t="s">
        <v>3606</v>
      </c>
      <c r="E1653" s="33" t="s">
        <v>116</v>
      </c>
      <c r="F1653" s="34">
        <v>1</v>
      </c>
      <c r="G1653" s="35">
        <v>0</v>
      </c>
      <c r="H1653" s="35">
        <v>0</v>
      </c>
      <c r="I1653" s="35">
        <f>Tabla1[[#This Row],[P.U. M.N.]]*Tabla1[[#This Row],[CANTIDADES DE REFERENCIA]]</f>
        <v>0</v>
      </c>
      <c r="J1653" s="35">
        <f>Tabla1[[#This Row],[P.U. USD]]*Tabla1[[#This Row],[CANTIDADES DE REFERENCIA]]</f>
        <v>0</v>
      </c>
      <c r="K1653" s="36"/>
      <c r="L1653" s="36"/>
      <c r="M1653" s="36"/>
      <c r="N1653" s="37"/>
      <c r="O1653" s="37"/>
      <c r="P1653" s="38"/>
      <c r="Q1653" s="37" t="s">
        <v>3607</v>
      </c>
      <c r="R1653" s="37" t="s">
        <v>58</v>
      </c>
      <c r="S1653" s="37" t="s">
        <v>681</v>
      </c>
      <c r="T1653" s="31"/>
    </row>
    <row r="1654" spans="1:20">
      <c r="A1654" s="31"/>
      <c r="B1654" s="32"/>
      <c r="C1654" s="33"/>
      <c r="D1654" s="32" t="s">
        <v>3608</v>
      </c>
      <c r="E1654" s="33" t="s">
        <v>116</v>
      </c>
      <c r="F1654" s="34">
        <v>1</v>
      </c>
      <c r="G1654" s="35">
        <v>0</v>
      </c>
      <c r="H1654" s="35">
        <v>0</v>
      </c>
      <c r="I1654" s="35">
        <f>Tabla1[[#This Row],[P.U. M.N.]]*Tabla1[[#This Row],[CANTIDADES DE REFERENCIA]]</f>
        <v>0</v>
      </c>
      <c r="J1654" s="35">
        <f>Tabla1[[#This Row],[P.U. USD]]*Tabla1[[#This Row],[CANTIDADES DE REFERENCIA]]</f>
        <v>0</v>
      </c>
      <c r="K1654" s="36"/>
      <c r="L1654" s="36"/>
      <c r="M1654" s="36"/>
      <c r="N1654" s="37" t="s">
        <v>3477</v>
      </c>
      <c r="O1654" s="37" t="s">
        <v>3478</v>
      </c>
      <c r="P1654" s="38"/>
      <c r="Q1654" s="37" t="s">
        <v>3609</v>
      </c>
      <c r="R1654" s="37" t="s">
        <v>58</v>
      </c>
      <c r="S1654" s="37" t="s">
        <v>3610</v>
      </c>
      <c r="T1654" s="31"/>
    </row>
    <row r="1655" spans="1:20">
      <c r="A1655" s="31"/>
      <c r="B1655" s="32"/>
      <c r="C1655" s="33"/>
      <c r="D1655" s="32" t="s">
        <v>3611</v>
      </c>
      <c r="E1655" s="33" t="s">
        <v>116</v>
      </c>
      <c r="F1655" s="34">
        <v>1</v>
      </c>
      <c r="G1655" s="35">
        <v>0</v>
      </c>
      <c r="H1655" s="35">
        <v>0</v>
      </c>
      <c r="I1655" s="35">
        <f>Tabla1[[#This Row],[P.U. M.N.]]*Tabla1[[#This Row],[CANTIDADES DE REFERENCIA]]</f>
        <v>0</v>
      </c>
      <c r="J1655" s="35">
        <f>Tabla1[[#This Row],[P.U. USD]]*Tabla1[[#This Row],[CANTIDADES DE REFERENCIA]]</f>
        <v>0</v>
      </c>
      <c r="K1655" s="36"/>
      <c r="L1655" s="36"/>
      <c r="M1655" s="36"/>
      <c r="N1655" s="37" t="s">
        <v>455</v>
      </c>
      <c r="O1655" s="37" t="s">
        <v>456</v>
      </c>
      <c r="P1655" s="38"/>
      <c r="Q1655" s="37" t="s">
        <v>3612</v>
      </c>
      <c r="R1655" s="37"/>
      <c r="S1655" s="37" t="s">
        <v>458</v>
      </c>
      <c r="T1655" s="31"/>
    </row>
    <row r="1656" spans="1:20">
      <c r="A1656" s="31"/>
      <c r="B1656" s="32"/>
      <c r="C1656" s="33"/>
      <c r="D1656" s="32" t="s">
        <v>3613</v>
      </c>
      <c r="E1656" s="33" t="s">
        <v>116</v>
      </c>
      <c r="F1656" s="34">
        <v>1</v>
      </c>
      <c r="G1656" s="35">
        <v>0</v>
      </c>
      <c r="H1656" s="35">
        <v>0</v>
      </c>
      <c r="I1656" s="35">
        <f>Tabla1[[#This Row],[P.U. M.N.]]*Tabla1[[#This Row],[CANTIDADES DE REFERENCIA]]</f>
        <v>0</v>
      </c>
      <c r="J1656" s="35">
        <f>Tabla1[[#This Row],[P.U. USD]]*Tabla1[[#This Row],[CANTIDADES DE REFERENCIA]]</f>
        <v>0</v>
      </c>
      <c r="K1656" s="36"/>
      <c r="L1656" s="36"/>
      <c r="M1656" s="36"/>
      <c r="N1656" s="37" t="s">
        <v>392</v>
      </c>
      <c r="O1656" s="37" t="s">
        <v>393</v>
      </c>
      <c r="P1656" s="38"/>
      <c r="Q1656" s="37" t="s">
        <v>3614</v>
      </c>
      <c r="R1656" s="37" t="s">
        <v>58</v>
      </c>
      <c r="S1656" s="37" t="s">
        <v>395</v>
      </c>
      <c r="T1656" s="31"/>
    </row>
    <row r="1657" spans="1:20">
      <c r="A1657" s="31" t="s">
        <v>3006</v>
      </c>
      <c r="B1657" s="32" t="s">
        <v>3615</v>
      </c>
      <c r="C1657" s="33" t="str">
        <f>Tabla1[[#This Row],[PARTIDA]] &amp; "."</f>
        <v>18C-19.</v>
      </c>
      <c r="D1657" s="32" t="s">
        <v>3616</v>
      </c>
      <c r="E1657" s="33" t="s">
        <v>116</v>
      </c>
      <c r="F1657" s="34">
        <v>1</v>
      </c>
      <c r="G1657" s="35">
        <v>81183.86</v>
      </c>
      <c r="H1657" s="35">
        <v>0</v>
      </c>
      <c r="I1657" s="35">
        <f>Tabla1[[#This Row],[P.U. M.N.]]*Tabla1[[#This Row],[CANTIDADES DE REFERENCIA]]</f>
        <v>81183.86</v>
      </c>
      <c r="J1657" s="35">
        <f>Tabla1[[#This Row],[P.U. USD]]*Tabla1[[#This Row],[CANTIDADES DE REFERENCIA]]</f>
        <v>0</v>
      </c>
      <c r="K1657" s="36"/>
      <c r="L1657" s="36"/>
      <c r="M1657" s="36"/>
      <c r="N1657" s="37" t="s">
        <v>1031</v>
      </c>
      <c r="O1657" s="37" t="s">
        <v>1032</v>
      </c>
      <c r="P1657" s="38"/>
      <c r="Q1657" s="37" t="s">
        <v>3617</v>
      </c>
      <c r="R1657" s="37"/>
      <c r="S1657" s="37" t="s">
        <v>2902</v>
      </c>
      <c r="T1657" s="31"/>
    </row>
    <row r="1658" spans="1:20">
      <c r="A1658" s="31"/>
      <c r="B1658" s="32"/>
      <c r="C1658" s="33"/>
      <c r="D1658" s="32" t="s">
        <v>3618</v>
      </c>
      <c r="E1658" s="33" t="s">
        <v>116</v>
      </c>
      <c r="F1658" s="34">
        <v>1</v>
      </c>
      <c r="G1658" s="35">
        <v>0</v>
      </c>
      <c r="H1658" s="35">
        <v>0</v>
      </c>
      <c r="I1658" s="35">
        <f>Tabla1[[#This Row],[P.U. M.N.]]*Tabla1[[#This Row],[CANTIDADES DE REFERENCIA]]</f>
        <v>0</v>
      </c>
      <c r="J1658" s="35">
        <f>Tabla1[[#This Row],[P.U. USD]]*Tabla1[[#This Row],[CANTIDADES DE REFERENCIA]]</f>
        <v>0</v>
      </c>
      <c r="K1658" s="36"/>
      <c r="L1658" s="36"/>
      <c r="M1658" s="36"/>
      <c r="N1658" s="37" t="s">
        <v>392</v>
      </c>
      <c r="O1658" s="37" t="s">
        <v>393</v>
      </c>
      <c r="P1658" s="38"/>
      <c r="Q1658" s="37" t="s">
        <v>3619</v>
      </c>
      <c r="R1658" s="37" t="s">
        <v>58</v>
      </c>
      <c r="S1658" s="37" t="s">
        <v>395</v>
      </c>
      <c r="T1658" s="31"/>
    </row>
    <row r="1659" spans="1:20">
      <c r="A1659" s="31"/>
      <c r="B1659" s="32"/>
      <c r="C1659" s="33"/>
      <c r="D1659" s="32" t="s">
        <v>3620</v>
      </c>
      <c r="E1659" s="33" t="s">
        <v>116</v>
      </c>
      <c r="F1659" s="34">
        <v>1</v>
      </c>
      <c r="G1659" s="35">
        <v>0</v>
      </c>
      <c r="H1659" s="35">
        <v>0</v>
      </c>
      <c r="I1659" s="35">
        <f>Tabla1[[#This Row],[P.U. M.N.]]*Tabla1[[#This Row],[CANTIDADES DE REFERENCIA]]</f>
        <v>0</v>
      </c>
      <c r="J1659" s="35">
        <f>Tabla1[[#This Row],[P.U. USD]]*Tabla1[[#This Row],[CANTIDADES DE REFERENCIA]]</f>
        <v>0</v>
      </c>
      <c r="K1659" s="36"/>
      <c r="L1659" s="36"/>
      <c r="M1659" s="36"/>
      <c r="N1659" s="37" t="s">
        <v>392</v>
      </c>
      <c r="O1659" s="37" t="s">
        <v>393</v>
      </c>
      <c r="P1659" s="38"/>
      <c r="Q1659" s="37" t="s">
        <v>3621</v>
      </c>
      <c r="R1659" s="37" t="s">
        <v>58</v>
      </c>
      <c r="S1659" s="37" t="s">
        <v>395</v>
      </c>
      <c r="T1659" s="31"/>
    </row>
    <row r="1660" spans="1:20">
      <c r="A1660" s="31"/>
      <c r="B1660" s="32"/>
      <c r="C1660" s="33"/>
      <c r="D1660" s="32" t="s">
        <v>3622</v>
      </c>
      <c r="E1660" s="33" t="s">
        <v>116</v>
      </c>
      <c r="F1660" s="34">
        <v>1</v>
      </c>
      <c r="G1660" s="35">
        <v>0</v>
      </c>
      <c r="H1660" s="35">
        <v>0</v>
      </c>
      <c r="I1660" s="35">
        <f>Tabla1[[#This Row],[P.U. M.N.]]*Tabla1[[#This Row],[CANTIDADES DE REFERENCIA]]</f>
        <v>0</v>
      </c>
      <c r="J1660" s="35">
        <f>Tabla1[[#This Row],[P.U. USD]]*Tabla1[[#This Row],[CANTIDADES DE REFERENCIA]]</f>
        <v>0</v>
      </c>
      <c r="K1660" s="36"/>
      <c r="L1660" s="36"/>
      <c r="M1660" s="36"/>
      <c r="N1660" s="37" t="s">
        <v>392</v>
      </c>
      <c r="O1660" s="37" t="s">
        <v>393</v>
      </c>
      <c r="P1660" s="38"/>
      <c r="Q1660" s="37" t="s">
        <v>3623</v>
      </c>
      <c r="R1660" s="37" t="s">
        <v>58</v>
      </c>
      <c r="S1660" s="37" t="s">
        <v>395</v>
      </c>
      <c r="T1660" s="31"/>
    </row>
    <row r="1661" spans="1:20">
      <c r="A1661" s="31"/>
      <c r="B1661" s="32"/>
      <c r="C1661" s="33"/>
      <c r="D1661" s="32" t="s">
        <v>3624</v>
      </c>
      <c r="E1661" s="33" t="s">
        <v>116</v>
      </c>
      <c r="F1661" s="34">
        <v>1</v>
      </c>
      <c r="G1661" s="35">
        <v>0</v>
      </c>
      <c r="H1661" s="35">
        <v>0</v>
      </c>
      <c r="I1661" s="35">
        <f>Tabla1[[#This Row],[P.U. M.N.]]*Tabla1[[#This Row],[CANTIDADES DE REFERENCIA]]</f>
        <v>0</v>
      </c>
      <c r="J1661" s="35">
        <f>Tabla1[[#This Row],[P.U. USD]]*Tabla1[[#This Row],[CANTIDADES DE REFERENCIA]]</f>
        <v>0</v>
      </c>
      <c r="K1661" s="36"/>
      <c r="L1661" s="36"/>
      <c r="M1661" s="36"/>
      <c r="N1661" s="37" t="s">
        <v>392</v>
      </c>
      <c r="O1661" s="37" t="s">
        <v>393</v>
      </c>
      <c r="P1661" s="38"/>
      <c r="Q1661" s="37" t="s">
        <v>3625</v>
      </c>
      <c r="R1661" s="37" t="s">
        <v>58</v>
      </c>
      <c r="S1661" s="37" t="s">
        <v>395</v>
      </c>
      <c r="T1661" s="31"/>
    </row>
    <row r="1662" spans="1:20">
      <c r="A1662" s="31"/>
      <c r="B1662" s="32"/>
      <c r="C1662" s="33"/>
      <c r="D1662" s="32" t="s">
        <v>3626</v>
      </c>
      <c r="E1662" s="33" t="s">
        <v>116</v>
      </c>
      <c r="F1662" s="34">
        <v>1</v>
      </c>
      <c r="G1662" s="35">
        <v>0</v>
      </c>
      <c r="H1662" s="35">
        <v>0</v>
      </c>
      <c r="I1662" s="35">
        <f>Tabla1[[#This Row],[P.U. M.N.]]*Tabla1[[#This Row],[CANTIDADES DE REFERENCIA]]</f>
        <v>0</v>
      </c>
      <c r="J1662" s="35">
        <f>Tabla1[[#This Row],[P.U. USD]]*Tabla1[[#This Row],[CANTIDADES DE REFERENCIA]]</f>
        <v>0</v>
      </c>
      <c r="K1662" s="36"/>
      <c r="L1662" s="36"/>
      <c r="M1662" s="36"/>
      <c r="N1662" s="37" t="s">
        <v>392</v>
      </c>
      <c r="O1662" s="37" t="s">
        <v>393</v>
      </c>
      <c r="P1662" s="38"/>
      <c r="Q1662" s="37" t="s">
        <v>3627</v>
      </c>
      <c r="R1662" s="37"/>
      <c r="S1662" s="37" t="s">
        <v>395</v>
      </c>
      <c r="T1662" s="31"/>
    </row>
    <row r="1663" spans="1:20">
      <c r="A1663" s="31"/>
      <c r="B1663" s="32"/>
      <c r="C1663" s="33"/>
      <c r="D1663" s="32" t="s">
        <v>3628</v>
      </c>
      <c r="E1663" s="33" t="s">
        <v>116</v>
      </c>
      <c r="F1663" s="34">
        <v>1</v>
      </c>
      <c r="G1663" s="35">
        <v>0</v>
      </c>
      <c r="H1663" s="35">
        <v>0</v>
      </c>
      <c r="I1663" s="35">
        <f>Tabla1[[#This Row],[P.U. M.N.]]*Tabla1[[#This Row],[CANTIDADES DE REFERENCIA]]</f>
        <v>0</v>
      </c>
      <c r="J1663" s="35">
        <f>Tabla1[[#This Row],[P.U. USD]]*Tabla1[[#This Row],[CANTIDADES DE REFERENCIA]]</f>
        <v>0</v>
      </c>
      <c r="K1663" s="36"/>
      <c r="L1663" s="36"/>
      <c r="M1663" s="36"/>
      <c r="N1663" s="37" t="s">
        <v>392</v>
      </c>
      <c r="O1663" s="37" t="s">
        <v>393</v>
      </c>
      <c r="P1663" s="38"/>
      <c r="Q1663" s="37" t="s">
        <v>3629</v>
      </c>
      <c r="R1663" s="37"/>
      <c r="S1663" s="37" t="s">
        <v>395</v>
      </c>
      <c r="T1663" s="31"/>
    </row>
    <row r="1664" spans="1:20">
      <c r="A1664" s="31"/>
      <c r="B1664" s="32"/>
      <c r="C1664" s="33"/>
      <c r="D1664" s="32" t="s">
        <v>3630</v>
      </c>
      <c r="E1664" s="33" t="s">
        <v>116</v>
      </c>
      <c r="F1664" s="34">
        <v>1</v>
      </c>
      <c r="G1664" s="35">
        <v>0</v>
      </c>
      <c r="H1664" s="35">
        <v>0</v>
      </c>
      <c r="I1664" s="35">
        <f>Tabla1[[#This Row],[P.U. M.N.]]*Tabla1[[#This Row],[CANTIDADES DE REFERENCIA]]</f>
        <v>0</v>
      </c>
      <c r="J1664" s="35">
        <f>Tabla1[[#This Row],[P.U. USD]]*Tabla1[[#This Row],[CANTIDADES DE REFERENCIA]]</f>
        <v>0</v>
      </c>
      <c r="K1664" s="36"/>
      <c r="L1664" s="36"/>
      <c r="M1664" s="36"/>
      <c r="N1664" s="37" t="s">
        <v>392</v>
      </c>
      <c r="O1664" s="37" t="s">
        <v>393</v>
      </c>
      <c r="P1664" s="38"/>
      <c r="Q1664" s="37" t="s">
        <v>3631</v>
      </c>
      <c r="R1664" s="37" t="s">
        <v>58</v>
      </c>
      <c r="S1664" s="37" t="s">
        <v>395</v>
      </c>
      <c r="T1664" s="31"/>
    </row>
    <row r="1665" spans="1:20">
      <c r="A1665" s="31"/>
      <c r="B1665" s="32"/>
      <c r="C1665" s="33"/>
      <c r="D1665" s="32" t="s">
        <v>3632</v>
      </c>
      <c r="E1665" s="33" t="s">
        <v>116</v>
      </c>
      <c r="F1665" s="34">
        <v>1</v>
      </c>
      <c r="G1665" s="35">
        <v>0</v>
      </c>
      <c r="H1665" s="35">
        <v>0</v>
      </c>
      <c r="I1665" s="35">
        <f>Tabla1[[#This Row],[P.U. M.N.]]*Tabla1[[#This Row],[CANTIDADES DE REFERENCIA]]</f>
        <v>0</v>
      </c>
      <c r="J1665" s="35">
        <f>Tabla1[[#This Row],[P.U. USD]]*Tabla1[[#This Row],[CANTIDADES DE REFERENCIA]]</f>
        <v>0</v>
      </c>
      <c r="K1665" s="36"/>
      <c r="L1665" s="36"/>
      <c r="M1665" s="36"/>
      <c r="N1665" s="37" t="s">
        <v>392</v>
      </c>
      <c r="O1665" s="37" t="s">
        <v>393</v>
      </c>
      <c r="P1665" s="38"/>
      <c r="Q1665" s="37" t="s">
        <v>3633</v>
      </c>
      <c r="R1665" s="37"/>
      <c r="S1665" s="37" t="s">
        <v>395</v>
      </c>
      <c r="T1665" s="31"/>
    </row>
    <row r="1666" spans="1:20">
      <c r="A1666" s="31"/>
      <c r="B1666" s="32"/>
      <c r="C1666" s="33"/>
      <c r="D1666" s="32" t="s">
        <v>3634</v>
      </c>
      <c r="E1666" s="33" t="s">
        <v>116</v>
      </c>
      <c r="F1666" s="34">
        <v>1</v>
      </c>
      <c r="G1666" s="35">
        <v>0</v>
      </c>
      <c r="H1666" s="35">
        <v>0</v>
      </c>
      <c r="I1666" s="35">
        <f>Tabla1[[#This Row],[P.U. M.N.]]*Tabla1[[#This Row],[CANTIDADES DE REFERENCIA]]</f>
        <v>0</v>
      </c>
      <c r="J1666" s="35">
        <f>Tabla1[[#This Row],[P.U. USD]]*Tabla1[[#This Row],[CANTIDADES DE REFERENCIA]]</f>
        <v>0</v>
      </c>
      <c r="K1666" s="36"/>
      <c r="L1666" s="36"/>
      <c r="M1666" s="36"/>
      <c r="N1666" s="37" t="s">
        <v>392</v>
      </c>
      <c r="O1666" s="37" t="s">
        <v>393</v>
      </c>
      <c r="P1666" s="38"/>
      <c r="Q1666" s="37" t="s">
        <v>3635</v>
      </c>
      <c r="R1666" s="37"/>
      <c r="S1666" s="37" t="s">
        <v>395</v>
      </c>
      <c r="T1666" s="31"/>
    </row>
    <row r="1667" spans="1:20">
      <c r="A1667" s="31"/>
      <c r="B1667" s="32"/>
      <c r="C1667" s="33"/>
      <c r="D1667" s="32" t="s">
        <v>3636</v>
      </c>
      <c r="E1667" s="33" t="s">
        <v>116</v>
      </c>
      <c r="F1667" s="34">
        <v>1</v>
      </c>
      <c r="G1667" s="35">
        <v>0</v>
      </c>
      <c r="H1667" s="35">
        <v>0</v>
      </c>
      <c r="I1667" s="35">
        <f>Tabla1[[#This Row],[P.U. M.N.]]*Tabla1[[#This Row],[CANTIDADES DE REFERENCIA]]</f>
        <v>0</v>
      </c>
      <c r="J1667" s="35">
        <f>Tabla1[[#This Row],[P.U. USD]]*Tabla1[[#This Row],[CANTIDADES DE REFERENCIA]]</f>
        <v>0</v>
      </c>
      <c r="K1667" s="36"/>
      <c r="L1667" s="36"/>
      <c r="M1667" s="36"/>
      <c r="N1667" s="37" t="s">
        <v>392</v>
      </c>
      <c r="O1667" s="37" t="s">
        <v>393</v>
      </c>
      <c r="P1667" s="38"/>
      <c r="Q1667" s="37" t="s">
        <v>3637</v>
      </c>
      <c r="R1667" s="37"/>
      <c r="S1667" s="37" t="s">
        <v>395</v>
      </c>
      <c r="T1667" s="31"/>
    </row>
    <row r="1668" spans="1:20">
      <c r="A1668" s="31"/>
      <c r="B1668" s="32"/>
      <c r="C1668" s="33"/>
      <c r="D1668" s="32" t="s">
        <v>3638</v>
      </c>
      <c r="E1668" s="33" t="s">
        <v>116</v>
      </c>
      <c r="F1668" s="34">
        <v>1</v>
      </c>
      <c r="G1668" s="35">
        <v>0</v>
      </c>
      <c r="H1668" s="35">
        <v>0</v>
      </c>
      <c r="I1668" s="35">
        <f>Tabla1[[#This Row],[P.U. M.N.]]*Tabla1[[#This Row],[CANTIDADES DE REFERENCIA]]</f>
        <v>0</v>
      </c>
      <c r="J1668" s="35">
        <f>Tabla1[[#This Row],[P.U. USD]]*Tabla1[[#This Row],[CANTIDADES DE REFERENCIA]]</f>
        <v>0</v>
      </c>
      <c r="K1668" s="36"/>
      <c r="L1668" s="36"/>
      <c r="M1668" s="36"/>
      <c r="N1668" s="37" t="s">
        <v>392</v>
      </c>
      <c r="O1668" s="37" t="s">
        <v>393</v>
      </c>
      <c r="P1668" s="38"/>
      <c r="Q1668" s="37" t="s">
        <v>3639</v>
      </c>
      <c r="R1668" s="37"/>
      <c r="S1668" s="37" t="s">
        <v>395</v>
      </c>
      <c r="T1668" s="31"/>
    </row>
    <row r="1669" spans="1:20">
      <c r="A1669" s="31"/>
      <c r="B1669" s="32"/>
      <c r="C1669" s="33"/>
      <c r="D1669" s="32" t="s">
        <v>3640</v>
      </c>
      <c r="E1669" s="33" t="s">
        <v>116</v>
      </c>
      <c r="F1669" s="34">
        <v>1</v>
      </c>
      <c r="G1669" s="35">
        <v>0</v>
      </c>
      <c r="H1669" s="35">
        <v>0</v>
      </c>
      <c r="I1669" s="35">
        <f>Tabla1[[#This Row],[P.U. M.N.]]*Tabla1[[#This Row],[CANTIDADES DE REFERENCIA]]</f>
        <v>0</v>
      </c>
      <c r="J1669" s="35">
        <f>Tabla1[[#This Row],[P.U. USD]]*Tabla1[[#This Row],[CANTIDADES DE REFERENCIA]]</f>
        <v>0</v>
      </c>
      <c r="K1669" s="36"/>
      <c r="L1669" s="36"/>
      <c r="M1669" s="36"/>
      <c r="N1669" s="37" t="s">
        <v>392</v>
      </c>
      <c r="O1669" s="37" t="s">
        <v>393</v>
      </c>
      <c r="P1669" s="38"/>
      <c r="Q1669" s="37" t="s">
        <v>3641</v>
      </c>
      <c r="R1669" s="37"/>
      <c r="S1669" s="37" t="s">
        <v>395</v>
      </c>
      <c r="T1669" s="31"/>
    </row>
    <row r="1670" spans="1:20">
      <c r="A1670" s="31"/>
      <c r="B1670" s="32"/>
      <c r="C1670" s="33"/>
      <c r="D1670" s="32" t="s">
        <v>3642</v>
      </c>
      <c r="E1670" s="33" t="s">
        <v>116</v>
      </c>
      <c r="F1670" s="34">
        <v>1</v>
      </c>
      <c r="G1670" s="35">
        <v>0</v>
      </c>
      <c r="H1670" s="35">
        <v>0</v>
      </c>
      <c r="I1670" s="35">
        <f>Tabla1[[#This Row],[P.U. M.N.]]*Tabla1[[#This Row],[CANTIDADES DE REFERENCIA]]</f>
        <v>0</v>
      </c>
      <c r="J1670" s="35">
        <f>Tabla1[[#This Row],[P.U. USD]]*Tabla1[[#This Row],[CANTIDADES DE REFERENCIA]]</f>
        <v>0</v>
      </c>
      <c r="K1670" s="36"/>
      <c r="L1670" s="36"/>
      <c r="M1670" s="36"/>
      <c r="N1670" s="37" t="s">
        <v>392</v>
      </c>
      <c r="O1670" s="37" t="s">
        <v>393</v>
      </c>
      <c r="P1670" s="38"/>
      <c r="Q1670" s="37" t="s">
        <v>3643</v>
      </c>
      <c r="R1670" s="37"/>
      <c r="S1670" s="37" t="s">
        <v>395</v>
      </c>
      <c r="T1670" s="31"/>
    </row>
    <row r="1671" spans="1:20">
      <c r="A1671" s="31"/>
      <c r="B1671" s="32"/>
      <c r="C1671" s="33"/>
      <c r="D1671" s="32" t="s">
        <v>3644</v>
      </c>
      <c r="E1671" s="33" t="s">
        <v>116</v>
      </c>
      <c r="F1671" s="34">
        <v>1</v>
      </c>
      <c r="G1671" s="35">
        <v>0</v>
      </c>
      <c r="H1671" s="35">
        <v>0</v>
      </c>
      <c r="I1671" s="35">
        <f>Tabla1[[#This Row],[P.U. M.N.]]*Tabla1[[#This Row],[CANTIDADES DE REFERENCIA]]</f>
        <v>0</v>
      </c>
      <c r="J1671" s="35">
        <f>Tabla1[[#This Row],[P.U. USD]]*Tabla1[[#This Row],[CANTIDADES DE REFERENCIA]]</f>
        <v>0</v>
      </c>
      <c r="K1671" s="36"/>
      <c r="L1671" s="36"/>
      <c r="M1671" s="36"/>
      <c r="N1671" s="37" t="s">
        <v>392</v>
      </c>
      <c r="O1671" s="37" t="s">
        <v>393</v>
      </c>
      <c r="P1671" s="38"/>
      <c r="Q1671" s="37" t="s">
        <v>3645</v>
      </c>
      <c r="R1671" s="37"/>
      <c r="S1671" s="37" t="s">
        <v>395</v>
      </c>
      <c r="T1671" s="31"/>
    </row>
    <row r="1672" spans="1:20">
      <c r="A1672" s="31" t="s">
        <v>3006</v>
      </c>
      <c r="B1672" s="32" t="s">
        <v>3646</v>
      </c>
      <c r="C1672" s="33" t="str">
        <f>Tabla1[[#This Row],[PARTIDA]] &amp; "."</f>
        <v>19C-19.</v>
      </c>
      <c r="D1672" s="32" t="s">
        <v>3647</v>
      </c>
      <c r="E1672" s="33" t="s">
        <v>116</v>
      </c>
      <c r="F1672" s="34">
        <v>1</v>
      </c>
      <c r="G1672" s="35">
        <v>81183.86</v>
      </c>
      <c r="H1672" s="35">
        <v>0</v>
      </c>
      <c r="I1672" s="35">
        <f>Tabla1[[#This Row],[P.U. M.N.]]*Tabla1[[#This Row],[CANTIDADES DE REFERENCIA]]</f>
        <v>81183.86</v>
      </c>
      <c r="J1672" s="35">
        <f>Tabla1[[#This Row],[P.U. USD]]*Tabla1[[#This Row],[CANTIDADES DE REFERENCIA]]</f>
        <v>0</v>
      </c>
      <c r="K1672" s="36"/>
      <c r="L1672" s="36"/>
      <c r="M1672" s="36"/>
      <c r="N1672" s="37" t="s">
        <v>1031</v>
      </c>
      <c r="O1672" s="37" t="s">
        <v>1032</v>
      </c>
      <c r="P1672" s="38"/>
      <c r="Q1672" s="37" t="s">
        <v>3648</v>
      </c>
      <c r="R1672" s="37"/>
      <c r="S1672" s="37" t="s">
        <v>2902</v>
      </c>
      <c r="T1672" s="31"/>
    </row>
    <row r="1673" spans="1:20">
      <c r="A1673" s="31" t="s">
        <v>3006</v>
      </c>
      <c r="B1673" s="32" t="s">
        <v>3649</v>
      </c>
      <c r="C1673" s="33" t="str">
        <f>Tabla1[[#This Row],[PARTIDA]] &amp; "."</f>
        <v>1C-19.</v>
      </c>
      <c r="D1673" s="32" t="s">
        <v>3650</v>
      </c>
      <c r="E1673" s="33" t="s">
        <v>116</v>
      </c>
      <c r="F1673" s="34">
        <v>1</v>
      </c>
      <c r="G1673" s="35">
        <v>3621.17</v>
      </c>
      <c r="H1673" s="35">
        <v>0</v>
      </c>
      <c r="I1673" s="35">
        <f>Tabla1[[#This Row],[P.U. M.N.]]*Tabla1[[#This Row],[CANTIDADES DE REFERENCIA]]</f>
        <v>3621.17</v>
      </c>
      <c r="J1673" s="35">
        <f>Tabla1[[#This Row],[P.U. USD]]*Tabla1[[#This Row],[CANTIDADES DE REFERENCIA]]</f>
        <v>0</v>
      </c>
      <c r="K1673" s="36"/>
      <c r="L1673" s="36"/>
      <c r="M1673" s="36"/>
      <c r="N1673" s="37" t="s">
        <v>455</v>
      </c>
      <c r="O1673" s="37" t="s">
        <v>456</v>
      </c>
      <c r="P1673" s="38"/>
      <c r="Q1673" s="37" t="s">
        <v>3651</v>
      </c>
      <c r="R1673" s="37"/>
      <c r="S1673" s="37" t="s">
        <v>458</v>
      </c>
      <c r="T1673" s="31"/>
    </row>
    <row r="1674" spans="1:20">
      <c r="A1674" s="31"/>
      <c r="B1674" s="32"/>
      <c r="C1674" s="33"/>
      <c r="D1674" s="32" t="s">
        <v>3652</v>
      </c>
      <c r="E1674" s="33" t="s">
        <v>116</v>
      </c>
      <c r="F1674" s="34">
        <v>1</v>
      </c>
      <c r="G1674" s="35">
        <v>0</v>
      </c>
      <c r="H1674" s="35">
        <v>0</v>
      </c>
      <c r="I1674" s="35">
        <f>Tabla1[[#This Row],[P.U. M.N.]]*Tabla1[[#This Row],[CANTIDADES DE REFERENCIA]]</f>
        <v>0</v>
      </c>
      <c r="J1674" s="35">
        <f>Tabla1[[#This Row],[P.U. USD]]*Tabla1[[#This Row],[CANTIDADES DE REFERENCIA]]</f>
        <v>0</v>
      </c>
      <c r="K1674" s="36"/>
      <c r="L1674" s="36"/>
      <c r="M1674" s="36"/>
      <c r="N1674" s="37" t="s">
        <v>392</v>
      </c>
      <c r="O1674" s="37" t="s">
        <v>393</v>
      </c>
      <c r="P1674" s="38"/>
      <c r="Q1674" s="37" t="s">
        <v>3653</v>
      </c>
      <c r="R1674" s="37"/>
      <c r="S1674" s="37" t="s">
        <v>395</v>
      </c>
      <c r="T1674" s="31"/>
    </row>
    <row r="1675" spans="1:20">
      <c r="A1675" s="31" t="s">
        <v>3006</v>
      </c>
      <c r="B1675" s="32" t="s">
        <v>3654</v>
      </c>
      <c r="C1675" s="33" t="str">
        <f>Tabla1[[#This Row],[PARTIDA]] &amp; "."</f>
        <v>20C-19.</v>
      </c>
      <c r="D1675" s="32" t="s">
        <v>3655</v>
      </c>
      <c r="E1675" s="33" t="s">
        <v>116</v>
      </c>
      <c r="F1675" s="34">
        <v>1</v>
      </c>
      <c r="G1675" s="35">
        <v>2267.27</v>
      </c>
      <c r="H1675" s="35">
        <v>0</v>
      </c>
      <c r="I1675" s="35">
        <f>Tabla1[[#This Row],[P.U. M.N.]]*Tabla1[[#This Row],[CANTIDADES DE REFERENCIA]]</f>
        <v>2267.27</v>
      </c>
      <c r="J1675" s="35">
        <f>Tabla1[[#This Row],[P.U. USD]]*Tabla1[[#This Row],[CANTIDADES DE REFERENCIA]]</f>
        <v>0</v>
      </c>
      <c r="K1675" s="36"/>
      <c r="L1675" s="36"/>
      <c r="M1675" s="36"/>
      <c r="N1675" s="37" t="s">
        <v>1031</v>
      </c>
      <c r="O1675" s="37" t="s">
        <v>1032</v>
      </c>
      <c r="P1675" s="38"/>
      <c r="Q1675" s="37" t="s">
        <v>3656</v>
      </c>
      <c r="R1675" s="37"/>
      <c r="S1675" s="37" t="s">
        <v>2902</v>
      </c>
      <c r="T1675" s="31"/>
    </row>
    <row r="1676" spans="1:20">
      <c r="A1676" s="31" t="s">
        <v>3006</v>
      </c>
      <c r="B1676" s="32" t="s">
        <v>3657</v>
      </c>
      <c r="C1676" s="33" t="str">
        <f>Tabla1[[#This Row],[PARTIDA]] &amp; "."</f>
        <v>21C-19.</v>
      </c>
      <c r="D1676" s="32" t="s">
        <v>3658</v>
      </c>
      <c r="E1676" s="33" t="s">
        <v>116</v>
      </c>
      <c r="F1676" s="34">
        <v>1</v>
      </c>
      <c r="G1676" s="35">
        <v>366.59</v>
      </c>
      <c r="H1676" s="35">
        <v>0</v>
      </c>
      <c r="I1676" s="35">
        <f>Tabla1[[#This Row],[P.U. M.N.]]*Tabla1[[#This Row],[CANTIDADES DE REFERENCIA]]</f>
        <v>366.59</v>
      </c>
      <c r="J1676" s="35">
        <f>Tabla1[[#This Row],[P.U. USD]]*Tabla1[[#This Row],[CANTIDADES DE REFERENCIA]]</f>
        <v>0</v>
      </c>
      <c r="K1676" s="36"/>
      <c r="L1676" s="36"/>
      <c r="M1676" s="36"/>
      <c r="N1676" s="37" t="s">
        <v>1031</v>
      </c>
      <c r="O1676" s="37" t="s">
        <v>1032</v>
      </c>
      <c r="P1676" s="38"/>
      <c r="Q1676" s="37" t="s">
        <v>3659</v>
      </c>
      <c r="R1676" s="37"/>
      <c r="S1676" s="37" t="s">
        <v>2902</v>
      </c>
      <c r="T1676" s="31"/>
    </row>
    <row r="1677" spans="1:20">
      <c r="A1677" s="31" t="s">
        <v>3006</v>
      </c>
      <c r="B1677" s="32" t="s">
        <v>3660</v>
      </c>
      <c r="C1677" s="33" t="str">
        <f>Tabla1[[#This Row],[PARTIDA]] &amp; "."</f>
        <v>22C-19.</v>
      </c>
      <c r="D1677" s="32" t="s">
        <v>3661</v>
      </c>
      <c r="E1677" s="33" t="s">
        <v>116</v>
      </c>
      <c r="F1677" s="34">
        <v>1</v>
      </c>
      <c r="G1677" s="35">
        <v>366.59</v>
      </c>
      <c r="H1677" s="35">
        <v>0</v>
      </c>
      <c r="I1677" s="35">
        <f>Tabla1[[#This Row],[P.U. M.N.]]*Tabla1[[#This Row],[CANTIDADES DE REFERENCIA]]</f>
        <v>366.59</v>
      </c>
      <c r="J1677" s="35">
        <f>Tabla1[[#This Row],[P.U. USD]]*Tabla1[[#This Row],[CANTIDADES DE REFERENCIA]]</f>
        <v>0</v>
      </c>
      <c r="K1677" s="36"/>
      <c r="L1677" s="36"/>
      <c r="M1677" s="36"/>
      <c r="N1677" s="37" t="s">
        <v>1031</v>
      </c>
      <c r="O1677" s="37" t="s">
        <v>1032</v>
      </c>
      <c r="P1677" s="38"/>
      <c r="Q1677" s="37" t="s">
        <v>3662</v>
      </c>
      <c r="R1677" s="37"/>
      <c r="S1677" s="37" t="s">
        <v>2902</v>
      </c>
      <c r="T1677" s="31"/>
    </row>
    <row r="1678" spans="1:20">
      <c r="A1678" s="31"/>
      <c r="B1678" s="32"/>
      <c r="C1678" s="33"/>
      <c r="D1678" s="32" t="s">
        <v>3663</v>
      </c>
      <c r="E1678" s="33" t="s">
        <v>116</v>
      </c>
      <c r="F1678" s="34">
        <v>1</v>
      </c>
      <c r="G1678" s="35">
        <v>0</v>
      </c>
      <c r="H1678" s="35">
        <v>0</v>
      </c>
      <c r="I1678" s="35">
        <f>Tabla1[[#This Row],[P.U. M.N.]]*Tabla1[[#This Row],[CANTIDADES DE REFERENCIA]]</f>
        <v>0</v>
      </c>
      <c r="J1678" s="35">
        <f>Tabla1[[#This Row],[P.U. USD]]*Tabla1[[#This Row],[CANTIDADES DE REFERENCIA]]</f>
        <v>0</v>
      </c>
      <c r="K1678" s="36"/>
      <c r="L1678" s="36"/>
      <c r="M1678" s="36"/>
      <c r="N1678" s="37" t="s">
        <v>392</v>
      </c>
      <c r="O1678" s="37" t="s">
        <v>393</v>
      </c>
      <c r="P1678" s="38"/>
      <c r="Q1678" s="37" t="s">
        <v>3664</v>
      </c>
      <c r="R1678" s="37"/>
      <c r="S1678" s="37" t="s">
        <v>395</v>
      </c>
      <c r="T1678" s="31"/>
    </row>
    <row r="1679" spans="1:20">
      <c r="A1679" s="31"/>
      <c r="B1679" s="32"/>
      <c r="C1679" s="33"/>
      <c r="D1679" s="32" t="s">
        <v>3665</v>
      </c>
      <c r="E1679" s="33" t="s">
        <v>116</v>
      </c>
      <c r="F1679" s="34">
        <v>1</v>
      </c>
      <c r="G1679" s="35">
        <v>0</v>
      </c>
      <c r="H1679" s="35">
        <v>0</v>
      </c>
      <c r="I1679" s="35">
        <f>Tabla1[[#This Row],[P.U. M.N.]]*Tabla1[[#This Row],[CANTIDADES DE REFERENCIA]]</f>
        <v>0</v>
      </c>
      <c r="J1679" s="35">
        <f>Tabla1[[#This Row],[P.U. USD]]*Tabla1[[#This Row],[CANTIDADES DE REFERENCIA]]</f>
        <v>0</v>
      </c>
      <c r="K1679" s="36"/>
      <c r="L1679" s="36"/>
      <c r="M1679" s="36"/>
      <c r="N1679" s="37" t="s">
        <v>392</v>
      </c>
      <c r="O1679" s="37" t="s">
        <v>393</v>
      </c>
      <c r="P1679" s="38"/>
      <c r="Q1679" s="37" t="s">
        <v>3666</v>
      </c>
      <c r="R1679" s="37"/>
      <c r="S1679" s="37" t="s">
        <v>395</v>
      </c>
      <c r="T1679" s="31"/>
    </row>
    <row r="1680" spans="1:20">
      <c r="A1680" s="31"/>
      <c r="B1680" s="32"/>
      <c r="C1680" s="33"/>
      <c r="D1680" s="32" t="s">
        <v>3667</v>
      </c>
      <c r="E1680" s="33" t="s">
        <v>116</v>
      </c>
      <c r="F1680" s="34">
        <v>1</v>
      </c>
      <c r="G1680" s="35">
        <v>0</v>
      </c>
      <c r="H1680" s="35">
        <v>0</v>
      </c>
      <c r="I1680" s="35">
        <f>Tabla1[[#This Row],[P.U. M.N.]]*Tabla1[[#This Row],[CANTIDADES DE REFERENCIA]]</f>
        <v>0</v>
      </c>
      <c r="J1680" s="35">
        <f>Tabla1[[#This Row],[P.U. USD]]*Tabla1[[#This Row],[CANTIDADES DE REFERENCIA]]</f>
        <v>0</v>
      </c>
      <c r="K1680" s="36"/>
      <c r="L1680" s="36"/>
      <c r="M1680" s="36"/>
      <c r="N1680" s="37" t="s">
        <v>392</v>
      </c>
      <c r="O1680" s="37" t="s">
        <v>393</v>
      </c>
      <c r="P1680" s="38"/>
      <c r="Q1680" s="37" t="s">
        <v>3668</v>
      </c>
      <c r="R1680" s="37"/>
      <c r="S1680" s="37" t="s">
        <v>395</v>
      </c>
      <c r="T1680" s="31"/>
    </row>
    <row r="1681" spans="1:20">
      <c r="A1681" s="31"/>
      <c r="B1681" s="32"/>
      <c r="C1681" s="33"/>
      <c r="D1681" s="32" t="s">
        <v>3669</v>
      </c>
      <c r="E1681" s="33" t="s">
        <v>116</v>
      </c>
      <c r="F1681" s="34">
        <v>1</v>
      </c>
      <c r="G1681" s="35">
        <v>0</v>
      </c>
      <c r="H1681" s="35">
        <v>0</v>
      </c>
      <c r="I1681" s="35">
        <f>Tabla1[[#This Row],[P.U. M.N.]]*Tabla1[[#This Row],[CANTIDADES DE REFERENCIA]]</f>
        <v>0</v>
      </c>
      <c r="J1681" s="35">
        <f>Tabla1[[#This Row],[P.U. USD]]*Tabla1[[#This Row],[CANTIDADES DE REFERENCIA]]</f>
        <v>0</v>
      </c>
      <c r="K1681" s="36"/>
      <c r="L1681" s="36"/>
      <c r="M1681" s="36"/>
      <c r="N1681" s="37" t="s">
        <v>392</v>
      </c>
      <c r="O1681" s="37" t="s">
        <v>393</v>
      </c>
      <c r="P1681" s="38"/>
      <c r="Q1681" s="37" t="s">
        <v>3670</v>
      </c>
      <c r="R1681" s="37"/>
      <c r="S1681" s="37" t="s">
        <v>395</v>
      </c>
      <c r="T1681" s="31"/>
    </row>
    <row r="1682" spans="1:20">
      <c r="A1682" s="31"/>
      <c r="B1682" s="32"/>
      <c r="C1682" s="33"/>
      <c r="D1682" s="32" t="s">
        <v>3671</v>
      </c>
      <c r="E1682" s="33" t="s">
        <v>116</v>
      </c>
      <c r="F1682" s="34">
        <v>1</v>
      </c>
      <c r="G1682" s="35">
        <v>0</v>
      </c>
      <c r="H1682" s="35">
        <v>0</v>
      </c>
      <c r="I1682" s="35">
        <f>Tabla1[[#This Row],[P.U. M.N.]]*Tabla1[[#This Row],[CANTIDADES DE REFERENCIA]]</f>
        <v>0</v>
      </c>
      <c r="J1682" s="35">
        <f>Tabla1[[#This Row],[P.U. USD]]*Tabla1[[#This Row],[CANTIDADES DE REFERENCIA]]</f>
        <v>0</v>
      </c>
      <c r="K1682" s="36"/>
      <c r="L1682" s="36"/>
      <c r="M1682" s="36"/>
      <c r="N1682" s="37" t="s">
        <v>392</v>
      </c>
      <c r="O1682" s="37" t="s">
        <v>393</v>
      </c>
      <c r="P1682" s="38"/>
      <c r="Q1682" s="37" t="s">
        <v>3672</v>
      </c>
      <c r="R1682" s="37" t="s">
        <v>58</v>
      </c>
      <c r="S1682" s="37" t="s">
        <v>395</v>
      </c>
      <c r="T1682" s="31"/>
    </row>
    <row r="1683" spans="1:20">
      <c r="A1683" s="31"/>
      <c r="B1683" s="32"/>
      <c r="C1683" s="33"/>
      <c r="D1683" s="32" t="s">
        <v>3673</v>
      </c>
      <c r="E1683" s="33" t="s">
        <v>116</v>
      </c>
      <c r="F1683" s="34">
        <v>1</v>
      </c>
      <c r="G1683" s="35">
        <v>0</v>
      </c>
      <c r="H1683" s="35">
        <v>0</v>
      </c>
      <c r="I1683" s="35">
        <f>Tabla1[[#This Row],[P.U. M.N.]]*Tabla1[[#This Row],[CANTIDADES DE REFERENCIA]]</f>
        <v>0</v>
      </c>
      <c r="J1683" s="35">
        <f>Tabla1[[#This Row],[P.U. USD]]*Tabla1[[#This Row],[CANTIDADES DE REFERENCIA]]</f>
        <v>0</v>
      </c>
      <c r="K1683" s="36"/>
      <c r="L1683" s="36"/>
      <c r="M1683" s="36"/>
      <c r="N1683" s="37" t="s">
        <v>455</v>
      </c>
      <c r="O1683" s="37" t="s">
        <v>456</v>
      </c>
      <c r="P1683" s="38"/>
      <c r="Q1683" s="37" t="s">
        <v>3674</v>
      </c>
      <c r="R1683" s="37"/>
      <c r="S1683" s="37" t="s">
        <v>458</v>
      </c>
      <c r="T1683" s="31"/>
    </row>
    <row r="1684" spans="1:20">
      <c r="A1684" s="31"/>
      <c r="B1684" s="32"/>
      <c r="C1684" s="33"/>
      <c r="D1684" s="32" t="s">
        <v>3675</v>
      </c>
      <c r="E1684" s="33" t="s">
        <v>116</v>
      </c>
      <c r="F1684" s="34">
        <v>1</v>
      </c>
      <c r="G1684" s="35">
        <v>0</v>
      </c>
      <c r="H1684" s="35">
        <v>0</v>
      </c>
      <c r="I1684" s="35">
        <f>Tabla1[[#This Row],[P.U. M.N.]]*Tabla1[[#This Row],[CANTIDADES DE REFERENCIA]]</f>
        <v>0</v>
      </c>
      <c r="J1684" s="35">
        <f>Tabla1[[#This Row],[P.U. USD]]*Tabla1[[#This Row],[CANTIDADES DE REFERENCIA]]</f>
        <v>0</v>
      </c>
      <c r="K1684" s="36"/>
      <c r="L1684" s="36"/>
      <c r="M1684" s="36"/>
      <c r="N1684" s="37" t="s">
        <v>455</v>
      </c>
      <c r="O1684" s="37" t="s">
        <v>456</v>
      </c>
      <c r="P1684" s="38"/>
      <c r="Q1684" s="37" t="s">
        <v>3676</v>
      </c>
      <c r="R1684" s="37"/>
      <c r="S1684" s="37" t="s">
        <v>458</v>
      </c>
      <c r="T1684" s="31"/>
    </row>
    <row r="1685" spans="1:20">
      <c r="A1685" s="31"/>
      <c r="B1685" s="32"/>
      <c r="C1685" s="33"/>
      <c r="D1685" s="32" t="s">
        <v>3677</v>
      </c>
      <c r="E1685" s="33" t="s">
        <v>116</v>
      </c>
      <c r="F1685" s="34">
        <v>1</v>
      </c>
      <c r="G1685" s="35">
        <v>0</v>
      </c>
      <c r="H1685" s="35">
        <v>0</v>
      </c>
      <c r="I1685" s="35">
        <f>Tabla1[[#This Row],[P.U. M.N.]]*Tabla1[[#This Row],[CANTIDADES DE REFERENCIA]]</f>
        <v>0</v>
      </c>
      <c r="J1685" s="35">
        <f>Tabla1[[#This Row],[P.U. USD]]*Tabla1[[#This Row],[CANTIDADES DE REFERENCIA]]</f>
        <v>0</v>
      </c>
      <c r="K1685" s="36"/>
      <c r="L1685" s="36"/>
      <c r="M1685" s="36"/>
      <c r="N1685" s="37" t="s">
        <v>392</v>
      </c>
      <c r="O1685" s="37" t="s">
        <v>393</v>
      </c>
      <c r="P1685" s="38"/>
      <c r="Q1685" s="37" t="s">
        <v>3678</v>
      </c>
      <c r="R1685" s="37" t="s">
        <v>58</v>
      </c>
      <c r="S1685" s="37" t="s">
        <v>395</v>
      </c>
      <c r="T1685" s="31"/>
    </row>
    <row r="1686" spans="1:20">
      <c r="A1686" s="31"/>
      <c r="B1686" s="32"/>
      <c r="C1686" s="33"/>
      <c r="D1686" s="32" t="s">
        <v>3679</v>
      </c>
      <c r="E1686" s="33" t="s">
        <v>116</v>
      </c>
      <c r="F1686" s="34">
        <v>1</v>
      </c>
      <c r="G1686" s="35">
        <v>0</v>
      </c>
      <c r="H1686" s="35">
        <v>0</v>
      </c>
      <c r="I1686" s="35">
        <f>Tabla1[[#This Row],[P.U. M.N.]]*Tabla1[[#This Row],[CANTIDADES DE REFERENCIA]]</f>
        <v>0</v>
      </c>
      <c r="J1686" s="35">
        <f>Tabla1[[#This Row],[P.U. USD]]*Tabla1[[#This Row],[CANTIDADES DE REFERENCIA]]</f>
        <v>0</v>
      </c>
      <c r="K1686" s="36"/>
      <c r="L1686" s="36"/>
      <c r="M1686" s="36"/>
      <c r="N1686" s="37" t="s">
        <v>392</v>
      </c>
      <c r="O1686" s="37" t="s">
        <v>393</v>
      </c>
      <c r="P1686" s="38"/>
      <c r="Q1686" s="37" t="s">
        <v>3680</v>
      </c>
      <c r="R1686" s="37" t="s">
        <v>58</v>
      </c>
      <c r="S1686" s="37" t="s">
        <v>395</v>
      </c>
      <c r="T1686" s="31"/>
    </row>
    <row r="1687" spans="1:20">
      <c r="A1687" s="31" t="s">
        <v>3006</v>
      </c>
      <c r="B1687" s="32" t="s">
        <v>3681</v>
      </c>
      <c r="C1687" s="33" t="str">
        <f>Tabla1[[#This Row],[PARTIDA]] &amp; "."</f>
        <v>23C-19.</v>
      </c>
      <c r="D1687" s="32" t="s">
        <v>3682</v>
      </c>
      <c r="E1687" s="33" t="s">
        <v>116</v>
      </c>
      <c r="F1687" s="34">
        <v>1</v>
      </c>
      <c r="G1687" s="35">
        <v>245.32</v>
      </c>
      <c r="H1687" s="35">
        <v>0</v>
      </c>
      <c r="I1687" s="35">
        <f>Tabla1[[#This Row],[P.U. M.N.]]*Tabla1[[#This Row],[CANTIDADES DE REFERENCIA]]</f>
        <v>245.32</v>
      </c>
      <c r="J1687" s="35">
        <f>Tabla1[[#This Row],[P.U. USD]]*Tabla1[[#This Row],[CANTIDADES DE REFERENCIA]]</f>
        <v>0</v>
      </c>
      <c r="K1687" s="36"/>
      <c r="L1687" s="36"/>
      <c r="M1687" s="36"/>
      <c r="N1687" s="37" t="s">
        <v>1031</v>
      </c>
      <c r="O1687" s="37" t="s">
        <v>1032</v>
      </c>
      <c r="P1687" s="38"/>
      <c r="Q1687" s="37" t="s">
        <v>3683</v>
      </c>
      <c r="R1687" s="37"/>
      <c r="S1687" s="37" t="s">
        <v>2902</v>
      </c>
      <c r="T1687" s="31"/>
    </row>
    <row r="1688" spans="1:20">
      <c r="A1688" s="31"/>
      <c r="B1688" s="32"/>
      <c r="C1688" s="33"/>
      <c r="D1688" s="32" t="s">
        <v>3684</v>
      </c>
      <c r="E1688" s="33" t="s">
        <v>116</v>
      </c>
      <c r="F1688" s="34">
        <v>1</v>
      </c>
      <c r="G1688" s="35">
        <v>0</v>
      </c>
      <c r="H1688" s="35">
        <v>0</v>
      </c>
      <c r="I1688" s="35">
        <f>Tabla1[[#This Row],[P.U. M.N.]]*Tabla1[[#This Row],[CANTIDADES DE REFERENCIA]]</f>
        <v>0</v>
      </c>
      <c r="J1688" s="35">
        <f>Tabla1[[#This Row],[P.U. USD]]*Tabla1[[#This Row],[CANTIDADES DE REFERENCIA]]</f>
        <v>0</v>
      </c>
      <c r="K1688" s="36"/>
      <c r="L1688" s="36"/>
      <c r="M1688" s="36"/>
      <c r="N1688" s="37" t="s">
        <v>392</v>
      </c>
      <c r="O1688" s="37" t="s">
        <v>393</v>
      </c>
      <c r="P1688" s="38"/>
      <c r="Q1688" s="37" t="s">
        <v>3685</v>
      </c>
      <c r="R1688" s="37" t="s">
        <v>58</v>
      </c>
      <c r="S1688" s="37" t="s">
        <v>395</v>
      </c>
      <c r="T1688" s="31"/>
    </row>
    <row r="1689" spans="1:20">
      <c r="A1689" s="31"/>
      <c r="B1689" s="32"/>
      <c r="C1689" s="33"/>
      <c r="D1689" s="32" t="s">
        <v>3686</v>
      </c>
      <c r="E1689" s="33" t="s">
        <v>116</v>
      </c>
      <c r="F1689" s="34">
        <v>1</v>
      </c>
      <c r="G1689" s="35">
        <v>0</v>
      </c>
      <c r="H1689" s="35">
        <v>0</v>
      </c>
      <c r="I1689" s="35">
        <f>Tabla1[[#This Row],[P.U. M.N.]]*Tabla1[[#This Row],[CANTIDADES DE REFERENCIA]]</f>
        <v>0</v>
      </c>
      <c r="J1689" s="35">
        <f>Tabla1[[#This Row],[P.U. USD]]*Tabla1[[#This Row],[CANTIDADES DE REFERENCIA]]</f>
        <v>0</v>
      </c>
      <c r="K1689" s="36"/>
      <c r="L1689" s="36"/>
      <c r="M1689" s="36"/>
      <c r="N1689" s="37" t="s">
        <v>455</v>
      </c>
      <c r="O1689" s="37" t="s">
        <v>456</v>
      </c>
      <c r="P1689" s="38"/>
      <c r="Q1689" s="37" t="s">
        <v>3687</v>
      </c>
      <c r="R1689" s="37"/>
      <c r="S1689" s="37" t="s">
        <v>458</v>
      </c>
      <c r="T1689" s="31"/>
    </row>
    <row r="1690" spans="1:20">
      <c r="A1690" s="31"/>
      <c r="B1690" s="32"/>
      <c r="C1690" s="33"/>
      <c r="D1690" s="32" t="s">
        <v>3688</v>
      </c>
      <c r="E1690" s="33" t="s">
        <v>116</v>
      </c>
      <c r="F1690" s="34">
        <v>1</v>
      </c>
      <c r="G1690" s="35">
        <v>0</v>
      </c>
      <c r="H1690" s="35">
        <v>0</v>
      </c>
      <c r="I1690" s="35">
        <f>Tabla1[[#This Row],[P.U. M.N.]]*Tabla1[[#This Row],[CANTIDADES DE REFERENCIA]]</f>
        <v>0</v>
      </c>
      <c r="J1690" s="35">
        <f>Tabla1[[#This Row],[P.U. USD]]*Tabla1[[#This Row],[CANTIDADES DE REFERENCIA]]</f>
        <v>0</v>
      </c>
      <c r="K1690" s="36"/>
      <c r="L1690" s="36"/>
      <c r="M1690" s="36"/>
      <c r="N1690" s="37" t="s">
        <v>392</v>
      </c>
      <c r="O1690" s="37" t="s">
        <v>393</v>
      </c>
      <c r="P1690" s="38"/>
      <c r="Q1690" s="37" t="s">
        <v>3689</v>
      </c>
      <c r="R1690" s="37" t="s">
        <v>58</v>
      </c>
      <c r="S1690" s="37" t="s">
        <v>395</v>
      </c>
      <c r="T1690" s="31"/>
    </row>
    <row r="1691" spans="1:20">
      <c r="A1691" s="31"/>
      <c r="B1691" s="32"/>
      <c r="C1691" s="33"/>
      <c r="D1691" s="32" t="s">
        <v>3690</v>
      </c>
      <c r="E1691" s="33" t="s">
        <v>116</v>
      </c>
      <c r="F1691" s="34">
        <v>1</v>
      </c>
      <c r="G1691" s="35">
        <v>0</v>
      </c>
      <c r="H1691" s="35">
        <v>0</v>
      </c>
      <c r="I1691" s="35">
        <f>Tabla1[[#This Row],[P.U. M.N.]]*Tabla1[[#This Row],[CANTIDADES DE REFERENCIA]]</f>
        <v>0</v>
      </c>
      <c r="J1691" s="35">
        <f>Tabla1[[#This Row],[P.U. USD]]*Tabla1[[#This Row],[CANTIDADES DE REFERENCIA]]</f>
        <v>0</v>
      </c>
      <c r="K1691" s="36"/>
      <c r="L1691" s="36"/>
      <c r="M1691" s="36"/>
      <c r="N1691" s="37" t="s">
        <v>392</v>
      </c>
      <c r="O1691" s="37" t="s">
        <v>393</v>
      </c>
      <c r="P1691" s="38"/>
      <c r="Q1691" s="37" t="s">
        <v>3691</v>
      </c>
      <c r="R1691" s="37" t="s">
        <v>58</v>
      </c>
      <c r="S1691" s="37" t="s">
        <v>395</v>
      </c>
      <c r="T1691" s="31"/>
    </row>
    <row r="1692" spans="1:20">
      <c r="A1692" s="31"/>
      <c r="B1692" s="32"/>
      <c r="C1692" s="33"/>
      <c r="D1692" s="32" t="s">
        <v>3692</v>
      </c>
      <c r="E1692" s="33" t="s">
        <v>116</v>
      </c>
      <c r="F1692" s="34">
        <v>1</v>
      </c>
      <c r="G1692" s="35">
        <v>0</v>
      </c>
      <c r="H1692" s="35">
        <v>0</v>
      </c>
      <c r="I1692" s="35">
        <f>Tabla1[[#This Row],[P.U. M.N.]]*Tabla1[[#This Row],[CANTIDADES DE REFERENCIA]]</f>
        <v>0</v>
      </c>
      <c r="J1692" s="35">
        <f>Tabla1[[#This Row],[P.U. USD]]*Tabla1[[#This Row],[CANTIDADES DE REFERENCIA]]</f>
        <v>0</v>
      </c>
      <c r="K1692" s="36"/>
      <c r="L1692" s="36"/>
      <c r="M1692" s="36"/>
      <c r="N1692" s="37" t="s">
        <v>392</v>
      </c>
      <c r="O1692" s="37" t="s">
        <v>393</v>
      </c>
      <c r="P1692" s="38"/>
      <c r="Q1692" s="37" t="s">
        <v>3693</v>
      </c>
      <c r="R1692" s="37"/>
      <c r="S1692" s="37" t="s">
        <v>395</v>
      </c>
      <c r="T1692" s="31"/>
    </row>
    <row r="1693" spans="1:20">
      <c r="A1693" s="31"/>
      <c r="B1693" s="32"/>
      <c r="C1693" s="33"/>
      <c r="D1693" s="32" t="s">
        <v>3694</v>
      </c>
      <c r="E1693" s="33" t="s">
        <v>116</v>
      </c>
      <c r="F1693" s="34">
        <v>1</v>
      </c>
      <c r="G1693" s="35">
        <v>0</v>
      </c>
      <c r="H1693" s="35">
        <v>0</v>
      </c>
      <c r="I1693" s="35">
        <f>Tabla1[[#This Row],[P.U. M.N.]]*Tabla1[[#This Row],[CANTIDADES DE REFERENCIA]]</f>
        <v>0</v>
      </c>
      <c r="J1693" s="35">
        <f>Tabla1[[#This Row],[P.U. USD]]*Tabla1[[#This Row],[CANTIDADES DE REFERENCIA]]</f>
        <v>0</v>
      </c>
      <c r="K1693" s="36"/>
      <c r="L1693" s="36"/>
      <c r="M1693" s="36"/>
      <c r="N1693" s="37" t="s">
        <v>392</v>
      </c>
      <c r="O1693" s="37" t="s">
        <v>393</v>
      </c>
      <c r="P1693" s="38"/>
      <c r="Q1693" s="37" t="s">
        <v>3695</v>
      </c>
      <c r="R1693" s="37" t="s">
        <v>58</v>
      </c>
      <c r="S1693" s="37" t="s">
        <v>395</v>
      </c>
      <c r="T1693" s="31"/>
    </row>
    <row r="1694" spans="1:20">
      <c r="A1694" s="31"/>
      <c r="B1694" s="32"/>
      <c r="C1694" s="33"/>
      <c r="D1694" s="32" t="s">
        <v>3696</v>
      </c>
      <c r="E1694" s="33" t="s">
        <v>116</v>
      </c>
      <c r="F1694" s="34">
        <v>1</v>
      </c>
      <c r="G1694" s="35">
        <v>0</v>
      </c>
      <c r="H1694" s="35">
        <v>0</v>
      </c>
      <c r="I1694" s="35">
        <f>Tabla1[[#This Row],[P.U. M.N.]]*Tabla1[[#This Row],[CANTIDADES DE REFERENCIA]]</f>
        <v>0</v>
      </c>
      <c r="J1694" s="35">
        <f>Tabla1[[#This Row],[P.U. USD]]*Tabla1[[#This Row],[CANTIDADES DE REFERENCIA]]</f>
        <v>0</v>
      </c>
      <c r="K1694" s="36"/>
      <c r="L1694" s="36"/>
      <c r="M1694" s="36"/>
      <c r="N1694" s="37" t="s">
        <v>392</v>
      </c>
      <c r="O1694" s="37" t="s">
        <v>393</v>
      </c>
      <c r="P1694" s="38"/>
      <c r="Q1694" s="37" t="s">
        <v>3697</v>
      </c>
      <c r="R1694" s="37" t="s">
        <v>58</v>
      </c>
      <c r="S1694" s="37" t="s">
        <v>395</v>
      </c>
      <c r="T1694" s="31"/>
    </row>
    <row r="1695" spans="1:20">
      <c r="A1695" s="31"/>
      <c r="B1695" s="32"/>
      <c r="C1695" s="33"/>
      <c r="D1695" s="32" t="s">
        <v>3698</v>
      </c>
      <c r="E1695" s="33" t="s">
        <v>116</v>
      </c>
      <c r="F1695" s="34">
        <v>1</v>
      </c>
      <c r="G1695" s="35">
        <v>0</v>
      </c>
      <c r="H1695" s="35">
        <v>0</v>
      </c>
      <c r="I1695" s="35">
        <f>Tabla1[[#This Row],[P.U. M.N.]]*Tabla1[[#This Row],[CANTIDADES DE REFERENCIA]]</f>
        <v>0</v>
      </c>
      <c r="J1695" s="35">
        <f>Tabla1[[#This Row],[P.U. USD]]*Tabla1[[#This Row],[CANTIDADES DE REFERENCIA]]</f>
        <v>0</v>
      </c>
      <c r="K1695" s="36"/>
      <c r="L1695" s="36"/>
      <c r="M1695" s="36"/>
      <c r="N1695" s="37" t="s">
        <v>455</v>
      </c>
      <c r="O1695" s="37" t="s">
        <v>456</v>
      </c>
      <c r="P1695" s="38"/>
      <c r="Q1695" s="37" t="s">
        <v>3699</v>
      </c>
      <c r="R1695" s="37"/>
      <c r="S1695" s="37" t="s">
        <v>458</v>
      </c>
      <c r="T1695" s="31"/>
    </row>
    <row r="1696" spans="1:20">
      <c r="A1696" s="31"/>
      <c r="B1696" s="32"/>
      <c r="C1696" s="33"/>
      <c r="D1696" s="32" t="s">
        <v>3700</v>
      </c>
      <c r="E1696" s="33" t="s">
        <v>116</v>
      </c>
      <c r="F1696" s="34">
        <v>1</v>
      </c>
      <c r="G1696" s="35">
        <v>0</v>
      </c>
      <c r="H1696" s="35">
        <v>0</v>
      </c>
      <c r="I1696" s="35">
        <f>Tabla1[[#This Row],[P.U. M.N.]]*Tabla1[[#This Row],[CANTIDADES DE REFERENCIA]]</f>
        <v>0</v>
      </c>
      <c r="J1696" s="35">
        <f>Tabla1[[#This Row],[P.U. USD]]*Tabla1[[#This Row],[CANTIDADES DE REFERENCIA]]</f>
        <v>0</v>
      </c>
      <c r="K1696" s="36"/>
      <c r="L1696" s="36"/>
      <c r="M1696" s="36"/>
      <c r="N1696" s="37" t="s">
        <v>455</v>
      </c>
      <c r="O1696" s="37" t="s">
        <v>456</v>
      </c>
      <c r="P1696" s="38"/>
      <c r="Q1696" s="37" t="s">
        <v>3701</v>
      </c>
      <c r="R1696" s="37"/>
      <c r="S1696" s="37" t="s">
        <v>458</v>
      </c>
      <c r="T1696" s="31"/>
    </row>
    <row r="1697" spans="1:20">
      <c r="A1697" s="31"/>
      <c r="B1697" s="32"/>
      <c r="C1697" s="33"/>
      <c r="D1697" s="32" t="s">
        <v>3702</v>
      </c>
      <c r="E1697" s="33" t="s">
        <v>116</v>
      </c>
      <c r="F1697" s="34">
        <v>1</v>
      </c>
      <c r="G1697" s="35">
        <v>0</v>
      </c>
      <c r="H1697" s="35">
        <v>0</v>
      </c>
      <c r="I1697" s="35">
        <f>Tabla1[[#This Row],[P.U. M.N.]]*Tabla1[[#This Row],[CANTIDADES DE REFERENCIA]]</f>
        <v>0</v>
      </c>
      <c r="J1697" s="35">
        <f>Tabla1[[#This Row],[P.U. USD]]*Tabla1[[#This Row],[CANTIDADES DE REFERENCIA]]</f>
        <v>0</v>
      </c>
      <c r="K1697" s="36"/>
      <c r="L1697" s="36"/>
      <c r="M1697" s="36"/>
      <c r="N1697" s="37" t="s">
        <v>455</v>
      </c>
      <c r="O1697" s="37" t="s">
        <v>456</v>
      </c>
      <c r="P1697" s="38"/>
      <c r="Q1697" s="37" t="s">
        <v>3703</v>
      </c>
      <c r="R1697" s="37"/>
      <c r="S1697" s="37" t="s">
        <v>458</v>
      </c>
      <c r="T1697" s="31"/>
    </row>
    <row r="1698" spans="1:20">
      <c r="A1698" s="31" t="s">
        <v>3006</v>
      </c>
      <c r="B1698" s="32" t="s">
        <v>3704</v>
      </c>
      <c r="C1698" s="33" t="str">
        <f>Tabla1[[#This Row],[PARTIDA]] &amp; "."</f>
        <v>24C-19.</v>
      </c>
      <c r="D1698" s="32" t="s">
        <v>3705</v>
      </c>
      <c r="E1698" s="33" t="s">
        <v>116</v>
      </c>
      <c r="F1698" s="34">
        <v>1</v>
      </c>
      <c r="G1698" s="35">
        <v>245.32</v>
      </c>
      <c r="H1698" s="35">
        <v>0</v>
      </c>
      <c r="I1698" s="35">
        <f>Tabla1[[#This Row],[P.U. M.N.]]*Tabla1[[#This Row],[CANTIDADES DE REFERENCIA]]</f>
        <v>245.32</v>
      </c>
      <c r="J1698" s="35">
        <f>Tabla1[[#This Row],[P.U. USD]]*Tabla1[[#This Row],[CANTIDADES DE REFERENCIA]]</f>
        <v>0</v>
      </c>
      <c r="K1698" s="36"/>
      <c r="L1698" s="36"/>
      <c r="M1698" s="36"/>
      <c r="N1698" s="37" t="s">
        <v>1031</v>
      </c>
      <c r="O1698" s="37" t="s">
        <v>1032</v>
      </c>
      <c r="P1698" s="38"/>
      <c r="Q1698" s="37" t="s">
        <v>3706</v>
      </c>
      <c r="R1698" s="37"/>
      <c r="S1698" s="37" t="s">
        <v>2902</v>
      </c>
      <c r="T1698" s="31"/>
    </row>
    <row r="1699" spans="1:20">
      <c r="A1699" s="31"/>
      <c r="B1699" s="32"/>
      <c r="C1699" s="33"/>
      <c r="D1699" s="32" t="s">
        <v>3707</v>
      </c>
      <c r="E1699" s="33" t="s">
        <v>116</v>
      </c>
      <c r="F1699" s="34">
        <v>1</v>
      </c>
      <c r="G1699" s="35">
        <v>0</v>
      </c>
      <c r="H1699" s="35">
        <v>0</v>
      </c>
      <c r="I1699" s="35">
        <f>Tabla1[[#This Row],[P.U. M.N.]]*Tabla1[[#This Row],[CANTIDADES DE REFERENCIA]]</f>
        <v>0</v>
      </c>
      <c r="J1699" s="35">
        <f>Tabla1[[#This Row],[P.U. USD]]*Tabla1[[#This Row],[CANTIDADES DE REFERENCIA]]</f>
        <v>0</v>
      </c>
      <c r="K1699" s="36"/>
      <c r="L1699" s="36"/>
      <c r="M1699" s="36"/>
      <c r="N1699" s="37" t="s">
        <v>455</v>
      </c>
      <c r="O1699" s="37" t="s">
        <v>456</v>
      </c>
      <c r="P1699" s="38"/>
      <c r="Q1699" s="37" t="s">
        <v>3708</v>
      </c>
      <c r="R1699" s="37"/>
      <c r="S1699" s="37" t="s">
        <v>458</v>
      </c>
      <c r="T1699" s="31"/>
    </row>
    <row r="1700" spans="1:20">
      <c r="A1700" s="31"/>
      <c r="B1700" s="32"/>
      <c r="C1700" s="33"/>
      <c r="D1700" s="32" t="s">
        <v>3709</v>
      </c>
      <c r="E1700" s="33" t="s">
        <v>116</v>
      </c>
      <c r="F1700" s="34">
        <v>1</v>
      </c>
      <c r="G1700" s="35">
        <v>0</v>
      </c>
      <c r="H1700" s="35">
        <v>0</v>
      </c>
      <c r="I1700" s="35">
        <f>Tabla1[[#This Row],[P.U. M.N.]]*Tabla1[[#This Row],[CANTIDADES DE REFERENCIA]]</f>
        <v>0</v>
      </c>
      <c r="J1700" s="35">
        <f>Tabla1[[#This Row],[P.U. USD]]*Tabla1[[#This Row],[CANTIDADES DE REFERENCIA]]</f>
        <v>0</v>
      </c>
      <c r="K1700" s="36"/>
      <c r="L1700" s="36"/>
      <c r="M1700" s="36"/>
      <c r="N1700" s="37" t="s">
        <v>455</v>
      </c>
      <c r="O1700" s="37" t="s">
        <v>456</v>
      </c>
      <c r="P1700" s="38"/>
      <c r="Q1700" s="37" t="s">
        <v>3710</v>
      </c>
      <c r="R1700" s="37"/>
      <c r="S1700" s="37" t="s">
        <v>458</v>
      </c>
      <c r="T1700" s="31"/>
    </row>
    <row r="1701" spans="1:20">
      <c r="A1701" s="31"/>
      <c r="B1701" s="32"/>
      <c r="C1701" s="33"/>
      <c r="D1701" s="32" t="s">
        <v>3711</v>
      </c>
      <c r="E1701" s="33" t="s">
        <v>116</v>
      </c>
      <c r="F1701" s="34">
        <v>1</v>
      </c>
      <c r="G1701" s="35">
        <v>0</v>
      </c>
      <c r="H1701" s="35">
        <v>0</v>
      </c>
      <c r="I1701" s="35">
        <f>Tabla1[[#This Row],[P.U. M.N.]]*Tabla1[[#This Row],[CANTIDADES DE REFERENCIA]]</f>
        <v>0</v>
      </c>
      <c r="J1701" s="35">
        <f>Tabla1[[#This Row],[P.U. USD]]*Tabla1[[#This Row],[CANTIDADES DE REFERENCIA]]</f>
        <v>0</v>
      </c>
      <c r="K1701" s="36"/>
      <c r="L1701" s="36"/>
      <c r="M1701" s="36"/>
      <c r="N1701" s="37" t="s">
        <v>455</v>
      </c>
      <c r="O1701" s="37" t="s">
        <v>456</v>
      </c>
      <c r="P1701" s="38"/>
      <c r="Q1701" s="37" t="s">
        <v>3712</v>
      </c>
      <c r="R1701" s="37"/>
      <c r="S1701" s="37" t="s">
        <v>458</v>
      </c>
      <c r="T1701" s="31"/>
    </row>
    <row r="1702" spans="1:20">
      <c r="A1702" s="31" t="s">
        <v>3006</v>
      </c>
      <c r="B1702" s="32" t="s">
        <v>3713</v>
      </c>
      <c r="C1702" s="33" t="str">
        <f>Tabla1[[#This Row],[PARTIDA]] &amp; "."</f>
        <v>25C-19.</v>
      </c>
      <c r="D1702" s="32" t="s">
        <v>3714</v>
      </c>
      <c r="E1702" s="33" t="s">
        <v>116</v>
      </c>
      <c r="F1702" s="34">
        <v>1</v>
      </c>
      <c r="G1702" s="35">
        <v>245.32</v>
      </c>
      <c r="H1702" s="35">
        <v>0</v>
      </c>
      <c r="I1702" s="35">
        <f>Tabla1[[#This Row],[P.U. M.N.]]*Tabla1[[#This Row],[CANTIDADES DE REFERENCIA]]</f>
        <v>245.32</v>
      </c>
      <c r="J1702" s="35">
        <f>Tabla1[[#This Row],[P.U. USD]]*Tabla1[[#This Row],[CANTIDADES DE REFERENCIA]]</f>
        <v>0</v>
      </c>
      <c r="K1702" s="36"/>
      <c r="L1702" s="36"/>
      <c r="M1702" s="36"/>
      <c r="N1702" s="37" t="s">
        <v>1031</v>
      </c>
      <c r="O1702" s="37" t="s">
        <v>1032</v>
      </c>
      <c r="P1702" s="38"/>
      <c r="Q1702" s="37" t="s">
        <v>3715</v>
      </c>
      <c r="R1702" s="37"/>
      <c r="S1702" s="37" t="s">
        <v>2902</v>
      </c>
      <c r="T1702" s="31"/>
    </row>
    <row r="1703" spans="1:20">
      <c r="A1703" s="31"/>
      <c r="B1703" s="32"/>
      <c r="C1703" s="33"/>
      <c r="D1703" s="32" t="s">
        <v>3716</v>
      </c>
      <c r="E1703" s="33" t="s">
        <v>116</v>
      </c>
      <c r="F1703" s="34">
        <v>1</v>
      </c>
      <c r="G1703" s="35">
        <v>0</v>
      </c>
      <c r="H1703" s="35">
        <v>0</v>
      </c>
      <c r="I1703" s="35">
        <f>Tabla1[[#This Row],[P.U. M.N.]]*Tabla1[[#This Row],[CANTIDADES DE REFERENCIA]]</f>
        <v>0</v>
      </c>
      <c r="J1703" s="35">
        <f>Tabla1[[#This Row],[P.U. USD]]*Tabla1[[#This Row],[CANTIDADES DE REFERENCIA]]</f>
        <v>0</v>
      </c>
      <c r="K1703" s="36"/>
      <c r="L1703" s="36"/>
      <c r="M1703" s="36"/>
      <c r="N1703" s="37" t="s">
        <v>3477</v>
      </c>
      <c r="O1703" s="37" t="s">
        <v>3478</v>
      </c>
      <c r="P1703" s="38"/>
      <c r="Q1703" s="37" t="s">
        <v>3717</v>
      </c>
      <c r="R1703" s="37" t="s">
        <v>58</v>
      </c>
      <c r="S1703" s="37" t="s">
        <v>3610</v>
      </c>
      <c r="T1703" s="31"/>
    </row>
    <row r="1704" spans="1:20">
      <c r="A1704" s="31"/>
      <c r="B1704" s="32"/>
      <c r="C1704" s="33"/>
      <c r="D1704" s="32" t="s">
        <v>3718</v>
      </c>
      <c r="E1704" s="33" t="s">
        <v>116</v>
      </c>
      <c r="F1704" s="34">
        <v>1</v>
      </c>
      <c r="G1704" s="35">
        <v>0</v>
      </c>
      <c r="H1704" s="35">
        <v>0</v>
      </c>
      <c r="I1704" s="35">
        <f>Tabla1[[#This Row],[P.U. M.N.]]*Tabla1[[#This Row],[CANTIDADES DE REFERENCIA]]</f>
        <v>0</v>
      </c>
      <c r="J1704" s="35">
        <f>Tabla1[[#This Row],[P.U. USD]]*Tabla1[[#This Row],[CANTIDADES DE REFERENCIA]]</f>
        <v>0</v>
      </c>
      <c r="K1704" s="36"/>
      <c r="L1704" s="36"/>
      <c r="M1704" s="36"/>
      <c r="N1704" s="37" t="s">
        <v>392</v>
      </c>
      <c r="O1704" s="37" t="s">
        <v>393</v>
      </c>
      <c r="P1704" s="38"/>
      <c r="Q1704" s="37" t="s">
        <v>3719</v>
      </c>
      <c r="R1704" s="37" t="s">
        <v>58</v>
      </c>
      <c r="S1704" s="37" t="s">
        <v>395</v>
      </c>
      <c r="T1704" s="31"/>
    </row>
    <row r="1705" spans="1:20">
      <c r="A1705" s="31"/>
      <c r="B1705" s="32"/>
      <c r="C1705" s="33"/>
      <c r="D1705" s="32" t="s">
        <v>3720</v>
      </c>
      <c r="E1705" s="33" t="s">
        <v>116</v>
      </c>
      <c r="F1705" s="34">
        <v>1</v>
      </c>
      <c r="G1705" s="35">
        <v>0</v>
      </c>
      <c r="H1705" s="35">
        <v>0</v>
      </c>
      <c r="I1705" s="35">
        <f>Tabla1[[#This Row],[P.U. M.N.]]*Tabla1[[#This Row],[CANTIDADES DE REFERENCIA]]</f>
        <v>0</v>
      </c>
      <c r="J1705" s="35">
        <f>Tabla1[[#This Row],[P.U. USD]]*Tabla1[[#This Row],[CANTIDADES DE REFERENCIA]]</f>
        <v>0</v>
      </c>
      <c r="K1705" s="36"/>
      <c r="L1705" s="36"/>
      <c r="M1705" s="36"/>
      <c r="N1705" s="37" t="s">
        <v>392</v>
      </c>
      <c r="O1705" s="37" t="s">
        <v>393</v>
      </c>
      <c r="P1705" s="38"/>
      <c r="Q1705" s="37" t="s">
        <v>3721</v>
      </c>
      <c r="R1705" s="37" t="s">
        <v>58</v>
      </c>
      <c r="S1705" s="37" t="s">
        <v>395</v>
      </c>
      <c r="T1705" s="31"/>
    </row>
    <row r="1706" spans="1:20">
      <c r="A1706" s="31"/>
      <c r="B1706" s="32"/>
      <c r="C1706" s="33"/>
      <c r="D1706" s="32" t="s">
        <v>3722</v>
      </c>
      <c r="E1706" s="33" t="s">
        <v>116</v>
      </c>
      <c r="F1706" s="34">
        <v>1</v>
      </c>
      <c r="G1706" s="35">
        <v>0</v>
      </c>
      <c r="H1706" s="35">
        <v>0</v>
      </c>
      <c r="I1706" s="35">
        <f>Tabla1[[#This Row],[P.U. M.N.]]*Tabla1[[#This Row],[CANTIDADES DE REFERENCIA]]</f>
        <v>0</v>
      </c>
      <c r="J1706" s="35">
        <f>Tabla1[[#This Row],[P.U. USD]]*Tabla1[[#This Row],[CANTIDADES DE REFERENCIA]]</f>
        <v>0</v>
      </c>
      <c r="K1706" s="36"/>
      <c r="L1706" s="36"/>
      <c r="M1706" s="36"/>
      <c r="N1706" s="37" t="s">
        <v>392</v>
      </c>
      <c r="O1706" s="37" t="s">
        <v>393</v>
      </c>
      <c r="P1706" s="38"/>
      <c r="Q1706" s="37" t="s">
        <v>3723</v>
      </c>
      <c r="R1706" s="37" t="s">
        <v>58</v>
      </c>
      <c r="S1706" s="37" t="s">
        <v>395</v>
      </c>
      <c r="T1706" s="31"/>
    </row>
    <row r="1707" spans="1:20">
      <c r="A1707" s="31"/>
      <c r="B1707" s="32"/>
      <c r="C1707" s="33"/>
      <c r="D1707" s="32" t="s">
        <v>3724</v>
      </c>
      <c r="E1707" s="33" t="s">
        <v>116</v>
      </c>
      <c r="F1707" s="34">
        <v>1</v>
      </c>
      <c r="G1707" s="35">
        <v>0</v>
      </c>
      <c r="H1707" s="35">
        <v>0</v>
      </c>
      <c r="I1707" s="35">
        <f>Tabla1[[#This Row],[P.U. M.N.]]*Tabla1[[#This Row],[CANTIDADES DE REFERENCIA]]</f>
        <v>0</v>
      </c>
      <c r="J1707" s="35">
        <f>Tabla1[[#This Row],[P.U. USD]]*Tabla1[[#This Row],[CANTIDADES DE REFERENCIA]]</f>
        <v>0</v>
      </c>
      <c r="K1707" s="36"/>
      <c r="L1707" s="36"/>
      <c r="M1707" s="36"/>
      <c r="N1707" s="37" t="s">
        <v>392</v>
      </c>
      <c r="O1707" s="37" t="s">
        <v>393</v>
      </c>
      <c r="P1707" s="38"/>
      <c r="Q1707" s="37" t="s">
        <v>3725</v>
      </c>
      <c r="R1707" s="37" t="s">
        <v>58</v>
      </c>
      <c r="S1707" s="37" t="s">
        <v>395</v>
      </c>
      <c r="T1707" s="31"/>
    </row>
    <row r="1708" spans="1:20">
      <c r="A1708" s="31"/>
      <c r="B1708" s="32"/>
      <c r="C1708" s="33"/>
      <c r="D1708" s="32" t="s">
        <v>3726</v>
      </c>
      <c r="E1708" s="33" t="s">
        <v>116</v>
      </c>
      <c r="F1708" s="34">
        <v>1</v>
      </c>
      <c r="G1708" s="35">
        <v>0</v>
      </c>
      <c r="H1708" s="35">
        <v>0</v>
      </c>
      <c r="I1708" s="35">
        <f>Tabla1[[#This Row],[P.U. M.N.]]*Tabla1[[#This Row],[CANTIDADES DE REFERENCIA]]</f>
        <v>0</v>
      </c>
      <c r="J1708" s="35">
        <f>Tabla1[[#This Row],[P.U. USD]]*Tabla1[[#This Row],[CANTIDADES DE REFERENCIA]]</f>
        <v>0</v>
      </c>
      <c r="K1708" s="36"/>
      <c r="L1708" s="36"/>
      <c r="M1708" s="36"/>
      <c r="N1708" s="37" t="s">
        <v>392</v>
      </c>
      <c r="O1708" s="37" t="s">
        <v>393</v>
      </c>
      <c r="P1708" s="38"/>
      <c r="Q1708" s="37" t="s">
        <v>3727</v>
      </c>
      <c r="R1708" s="37"/>
      <c r="S1708" s="37" t="s">
        <v>395</v>
      </c>
      <c r="T1708" s="31"/>
    </row>
    <row r="1709" spans="1:20">
      <c r="A1709" s="31"/>
      <c r="B1709" s="32"/>
      <c r="C1709" s="33"/>
      <c r="D1709" s="32" t="s">
        <v>3728</v>
      </c>
      <c r="E1709" s="33" t="s">
        <v>116</v>
      </c>
      <c r="F1709" s="34">
        <v>1</v>
      </c>
      <c r="G1709" s="35">
        <v>0</v>
      </c>
      <c r="H1709" s="35">
        <v>0</v>
      </c>
      <c r="I1709" s="35">
        <f>Tabla1[[#This Row],[P.U. M.N.]]*Tabla1[[#This Row],[CANTIDADES DE REFERENCIA]]</f>
        <v>0</v>
      </c>
      <c r="J1709" s="35">
        <f>Tabla1[[#This Row],[P.U. USD]]*Tabla1[[#This Row],[CANTIDADES DE REFERENCIA]]</f>
        <v>0</v>
      </c>
      <c r="K1709" s="36"/>
      <c r="L1709" s="36"/>
      <c r="M1709" s="36"/>
      <c r="N1709" s="37" t="s">
        <v>392</v>
      </c>
      <c r="O1709" s="37" t="s">
        <v>393</v>
      </c>
      <c r="P1709" s="38"/>
      <c r="Q1709" s="37" t="s">
        <v>3729</v>
      </c>
      <c r="R1709" s="37"/>
      <c r="S1709" s="37" t="s">
        <v>395</v>
      </c>
      <c r="T1709" s="31"/>
    </row>
    <row r="1710" spans="1:20">
      <c r="A1710" s="31"/>
      <c r="B1710" s="32"/>
      <c r="C1710" s="33"/>
      <c r="D1710" s="32" t="s">
        <v>3730</v>
      </c>
      <c r="E1710" s="33" t="s">
        <v>116</v>
      </c>
      <c r="F1710" s="34">
        <v>1</v>
      </c>
      <c r="G1710" s="35">
        <v>0</v>
      </c>
      <c r="H1710" s="35">
        <v>0</v>
      </c>
      <c r="I1710" s="35">
        <f>Tabla1[[#This Row],[P.U. M.N.]]*Tabla1[[#This Row],[CANTIDADES DE REFERENCIA]]</f>
        <v>0</v>
      </c>
      <c r="J1710" s="35">
        <f>Tabla1[[#This Row],[P.U. USD]]*Tabla1[[#This Row],[CANTIDADES DE REFERENCIA]]</f>
        <v>0</v>
      </c>
      <c r="K1710" s="36"/>
      <c r="L1710" s="36"/>
      <c r="M1710" s="36"/>
      <c r="N1710" s="37" t="s">
        <v>392</v>
      </c>
      <c r="O1710" s="37" t="s">
        <v>393</v>
      </c>
      <c r="P1710" s="38"/>
      <c r="Q1710" s="37" t="s">
        <v>3731</v>
      </c>
      <c r="R1710" s="37" t="s">
        <v>58</v>
      </c>
      <c r="S1710" s="37" t="s">
        <v>395</v>
      </c>
      <c r="T1710" s="31"/>
    </row>
    <row r="1711" spans="1:20">
      <c r="A1711" s="31"/>
      <c r="B1711" s="32"/>
      <c r="C1711" s="33"/>
      <c r="D1711" s="32" t="s">
        <v>3732</v>
      </c>
      <c r="E1711" s="33" t="s">
        <v>116</v>
      </c>
      <c r="F1711" s="34">
        <v>1</v>
      </c>
      <c r="G1711" s="35">
        <v>0</v>
      </c>
      <c r="H1711" s="35">
        <v>0</v>
      </c>
      <c r="I1711" s="35">
        <f>Tabla1[[#This Row],[P.U. M.N.]]*Tabla1[[#This Row],[CANTIDADES DE REFERENCIA]]</f>
        <v>0</v>
      </c>
      <c r="J1711" s="35">
        <f>Tabla1[[#This Row],[P.U. USD]]*Tabla1[[#This Row],[CANTIDADES DE REFERENCIA]]</f>
        <v>0</v>
      </c>
      <c r="K1711" s="36"/>
      <c r="L1711" s="36"/>
      <c r="M1711" s="36"/>
      <c r="N1711" s="37" t="s">
        <v>392</v>
      </c>
      <c r="O1711" s="37" t="s">
        <v>393</v>
      </c>
      <c r="P1711" s="38"/>
      <c r="Q1711" s="37" t="s">
        <v>3733</v>
      </c>
      <c r="R1711" s="37" t="s">
        <v>58</v>
      </c>
      <c r="S1711" s="37" t="s">
        <v>395</v>
      </c>
      <c r="T1711" s="31"/>
    </row>
    <row r="1712" spans="1:20">
      <c r="A1712" s="31"/>
      <c r="B1712" s="32"/>
      <c r="C1712" s="33"/>
      <c r="D1712" s="32" t="s">
        <v>3734</v>
      </c>
      <c r="E1712" s="33" t="s">
        <v>116</v>
      </c>
      <c r="F1712" s="34">
        <v>1</v>
      </c>
      <c r="G1712" s="35">
        <v>0</v>
      </c>
      <c r="H1712" s="35">
        <v>0</v>
      </c>
      <c r="I1712" s="35">
        <f>Tabla1[[#This Row],[P.U. M.N.]]*Tabla1[[#This Row],[CANTIDADES DE REFERENCIA]]</f>
        <v>0</v>
      </c>
      <c r="J1712" s="35">
        <f>Tabla1[[#This Row],[P.U. USD]]*Tabla1[[#This Row],[CANTIDADES DE REFERENCIA]]</f>
        <v>0</v>
      </c>
      <c r="K1712" s="36"/>
      <c r="L1712" s="36"/>
      <c r="M1712" s="36"/>
      <c r="N1712" s="37" t="s">
        <v>392</v>
      </c>
      <c r="O1712" s="37" t="s">
        <v>393</v>
      </c>
      <c r="P1712" s="38"/>
      <c r="Q1712" s="37" t="s">
        <v>3735</v>
      </c>
      <c r="R1712" s="37" t="s">
        <v>58</v>
      </c>
      <c r="S1712" s="37" t="s">
        <v>395</v>
      </c>
      <c r="T1712" s="31"/>
    </row>
    <row r="1713" spans="1:20">
      <c r="A1713" s="31" t="s">
        <v>3006</v>
      </c>
      <c r="B1713" s="32" t="s">
        <v>3736</v>
      </c>
      <c r="C1713" s="33" t="str">
        <f>Tabla1[[#This Row],[PARTIDA]] &amp; "."</f>
        <v>26C-19.</v>
      </c>
      <c r="D1713" s="32" t="s">
        <v>3737</v>
      </c>
      <c r="E1713" s="33" t="s">
        <v>116</v>
      </c>
      <c r="F1713" s="34">
        <v>1</v>
      </c>
      <c r="G1713" s="35">
        <v>19468.98</v>
      </c>
      <c r="H1713" s="35">
        <v>16.84</v>
      </c>
      <c r="I1713" s="35">
        <f>Tabla1[[#This Row],[P.U. M.N.]]*Tabla1[[#This Row],[CANTIDADES DE REFERENCIA]]</f>
        <v>19468.98</v>
      </c>
      <c r="J1713" s="35">
        <f>Tabla1[[#This Row],[P.U. USD]]*Tabla1[[#This Row],[CANTIDADES DE REFERENCIA]]</f>
        <v>16.84</v>
      </c>
      <c r="K1713" s="36"/>
      <c r="L1713" s="36"/>
      <c r="M1713" s="36"/>
      <c r="N1713" s="37" t="s">
        <v>392</v>
      </c>
      <c r="O1713" s="37" t="s">
        <v>393</v>
      </c>
      <c r="P1713" s="38"/>
      <c r="Q1713" s="37" t="s">
        <v>3738</v>
      </c>
      <c r="R1713" s="37"/>
      <c r="S1713" s="37" t="s">
        <v>395</v>
      </c>
      <c r="T1713" s="31"/>
    </row>
    <row r="1714" spans="1:20">
      <c r="A1714" s="31" t="s">
        <v>3006</v>
      </c>
      <c r="B1714" s="32" t="s">
        <v>3739</v>
      </c>
      <c r="C1714" s="33" t="str">
        <f>Tabla1[[#This Row],[PARTIDA]] &amp; "."</f>
        <v>2C-19.</v>
      </c>
      <c r="D1714" s="32" t="s">
        <v>3740</v>
      </c>
      <c r="E1714" s="33" t="s">
        <v>116</v>
      </c>
      <c r="F1714" s="34">
        <v>1</v>
      </c>
      <c r="G1714" s="35">
        <v>3582.47</v>
      </c>
      <c r="H1714" s="35">
        <v>0</v>
      </c>
      <c r="I1714" s="35">
        <f>Tabla1[[#This Row],[P.U. M.N.]]*Tabla1[[#This Row],[CANTIDADES DE REFERENCIA]]</f>
        <v>3582.47</v>
      </c>
      <c r="J1714" s="35">
        <f>Tabla1[[#This Row],[P.U. USD]]*Tabla1[[#This Row],[CANTIDADES DE REFERENCIA]]</f>
        <v>0</v>
      </c>
      <c r="K1714" s="36"/>
      <c r="L1714" s="36"/>
      <c r="M1714" s="36"/>
      <c r="N1714" s="37" t="s">
        <v>392</v>
      </c>
      <c r="O1714" s="37" t="s">
        <v>393</v>
      </c>
      <c r="P1714" s="38"/>
      <c r="Q1714" s="37" t="s">
        <v>3741</v>
      </c>
      <c r="R1714" s="37"/>
      <c r="S1714" s="37" t="s">
        <v>395</v>
      </c>
      <c r="T1714" s="31"/>
    </row>
    <row r="1715" spans="1:20">
      <c r="A1715" s="31" t="s">
        <v>3006</v>
      </c>
      <c r="B1715" s="32" t="s">
        <v>3742</v>
      </c>
      <c r="C1715" s="33" t="str">
        <f>Tabla1[[#This Row],[PARTIDA]] &amp; "."</f>
        <v>3C-19.</v>
      </c>
      <c r="D1715" s="32" t="s">
        <v>3743</v>
      </c>
      <c r="E1715" s="33" t="s">
        <v>116</v>
      </c>
      <c r="F1715" s="34">
        <v>1</v>
      </c>
      <c r="G1715" s="35">
        <v>153.41</v>
      </c>
      <c r="H1715" s="35">
        <v>0</v>
      </c>
      <c r="I1715" s="35">
        <f>Tabla1[[#This Row],[P.U. M.N.]]*Tabla1[[#This Row],[CANTIDADES DE REFERENCIA]]</f>
        <v>153.41</v>
      </c>
      <c r="J1715" s="35">
        <f>Tabla1[[#This Row],[P.U. USD]]*Tabla1[[#This Row],[CANTIDADES DE REFERENCIA]]</f>
        <v>0</v>
      </c>
      <c r="K1715" s="36"/>
      <c r="L1715" s="36"/>
      <c r="M1715" s="36"/>
      <c r="N1715" s="37" t="s">
        <v>455</v>
      </c>
      <c r="O1715" s="37" t="s">
        <v>456</v>
      </c>
      <c r="P1715" s="38"/>
      <c r="Q1715" s="37" t="s">
        <v>3744</v>
      </c>
      <c r="R1715" s="37"/>
      <c r="S1715" s="37" t="s">
        <v>458</v>
      </c>
      <c r="T1715" s="31"/>
    </row>
    <row r="1716" spans="1:20">
      <c r="A1716" s="31"/>
      <c r="B1716" s="32"/>
      <c r="C1716" s="33"/>
      <c r="D1716" s="32" t="s">
        <v>3745</v>
      </c>
      <c r="E1716" s="33" t="s">
        <v>116</v>
      </c>
      <c r="F1716" s="34">
        <v>1</v>
      </c>
      <c r="G1716" s="35">
        <v>0</v>
      </c>
      <c r="H1716" s="35">
        <v>0</v>
      </c>
      <c r="I1716" s="35">
        <f>Tabla1[[#This Row],[P.U. M.N.]]*Tabla1[[#This Row],[CANTIDADES DE REFERENCIA]]</f>
        <v>0</v>
      </c>
      <c r="J1716" s="35">
        <f>Tabla1[[#This Row],[P.U. USD]]*Tabla1[[#This Row],[CANTIDADES DE REFERENCIA]]</f>
        <v>0</v>
      </c>
      <c r="K1716" s="36"/>
      <c r="L1716" s="36"/>
      <c r="M1716" s="36"/>
      <c r="N1716" s="37" t="s">
        <v>392</v>
      </c>
      <c r="O1716" s="37" t="s">
        <v>393</v>
      </c>
      <c r="P1716" s="38"/>
      <c r="Q1716" s="37" t="s">
        <v>3746</v>
      </c>
      <c r="R1716" s="37"/>
      <c r="S1716" s="37" t="s">
        <v>395</v>
      </c>
      <c r="T1716" s="31"/>
    </row>
    <row r="1717" spans="1:20">
      <c r="A1717" s="31" t="s">
        <v>3006</v>
      </c>
      <c r="B1717" s="32" t="s">
        <v>3747</v>
      </c>
      <c r="C1717" s="33" t="str">
        <f>Tabla1[[#This Row],[PARTIDA]] &amp; "."</f>
        <v>4C-19.</v>
      </c>
      <c r="D1717" s="32" t="s">
        <v>3748</v>
      </c>
      <c r="E1717" s="33" t="s">
        <v>116</v>
      </c>
      <c r="F1717" s="34">
        <v>1</v>
      </c>
      <c r="G1717" s="35">
        <v>275.55</v>
      </c>
      <c r="H1717" s="35">
        <v>0</v>
      </c>
      <c r="I1717" s="35">
        <f>Tabla1[[#This Row],[P.U. M.N.]]*Tabla1[[#This Row],[CANTIDADES DE REFERENCIA]]</f>
        <v>275.55</v>
      </c>
      <c r="J1717" s="35">
        <f>Tabla1[[#This Row],[P.U. USD]]*Tabla1[[#This Row],[CANTIDADES DE REFERENCIA]]</f>
        <v>0</v>
      </c>
      <c r="K1717" s="36"/>
      <c r="L1717" s="36"/>
      <c r="M1717" s="36"/>
      <c r="N1717" s="37" t="s">
        <v>392</v>
      </c>
      <c r="O1717" s="37" t="s">
        <v>393</v>
      </c>
      <c r="P1717" s="38"/>
      <c r="Q1717" s="37" t="s">
        <v>3749</v>
      </c>
      <c r="R1717" s="37"/>
      <c r="S1717" s="37" t="s">
        <v>395</v>
      </c>
      <c r="T1717" s="31"/>
    </row>
    <row r="1718" spans="1:20">
      <c r="A1718" s="31" t="s">
        <v>3006</v>
      </c>
      <c r="B1718" s="32" t="s">
        <v>3750</v>
      </c>
      <c r="C1718" s="33" t="str">
        <f>Tabla1[[#This Row],[PARTIDA]] &amp; "."</f>
        <v>5C-19.</v>
      </c>
      <c r="D1718" s="32" t="s">
        <v>3751</v>
      </c>
      <c r="E1718" s="33" t="s">
        <v>116</v>
      </c>
      <c r="F1718" s="34">
        <v>1</v>
      </c>
      <c r="G1718" s="35">
        <v>301.70999999999998</v>
      </c>
      <c r="H1718" s="35">
        <v>0</v>
      </c>
      <c r="I1718" s="35">
        <f>Tabla1[[#This Row],[P.U. M.N.]]*Tabla1[[#This Row],[CANTIDADES DE REFERENCIA]]</f>
        <v>301.70999999999998</v>
      </c>
      <c r="J1718" s="35">
        <f>Tabla1[[#This Row],[P.U. USD]]*Tabla1[[#This Row],[CANTIDADES DE REFERENCIA]]</f>
        <v>0</v>
      </c>
      <c r="K1718" s="36"/>
      <c r="L1718" s="36"/>
      <c r="M1718" s="36"/>
      <c r="N1718" s="37" t="s">
        <v>392</v>
      </c>
      <c r="O1718" s="37" t="s">
        <v>393</v>
      </c>
      <c r="P1718" s="38"/>
      <c r="Q1718" s="37" t="s">
        <v>3752</v>
      </c>
      <c r="R1718" s="37"/>
      <c r="S1718" s="37" t="s">
        <v>395</v>
      </c>
      <c r="T1718" s="31"/>
    </row>
    <row r="1719" spans="1:20">
      <c r="A1719" s="31" t="s">
        <v>3006</v>
      </c>
      <c r="B1719" s="32" t="s">
        <v>3753</v>
      </c>
      <c r="C1719" s="33" t="str">
        <f>Tabla1[[#This Row],[PARTIDA]] &amp; "."</f>
        <v>6C-19.</v>
      </c>
      <c r="D1719" s="32" t="s">
        <v>3754</v>
      </c>
      <c r="E1719" s="33" t="s">
        <v>116</v>
      </c>
      <c r="F1719" s="34">
        <v>1</v>
      </c>
      <c r="G1719" s="35">
        <v>572.72</v>
      </c>
      <c r="H1719" s="35">
        <v>0</v>
      </c>
      <c r="I1719" s="35">
        <f>Tabla1[[#This Row],[P.U. M.N.]]*Tabla1[[#This Row],[CANTIDADES DE REFERENCIA]]</f>
        <v>572.72</v>
      </c>
      <c r="J1719" s="35">
        <f>Tabla1[[#This Row],[P.U. USD]]*Tabla1[[#This Row],[CANTIDADES DE REFERENCIA]]</f>
        <v>0</v>
      </c>
      <c r="K1719" s="36"/>
      <c r="L1719" s="36"/>
      <c r="M1719" s="36"/>
      <c r="N1719" s="37" t="s">
        <v>392</v>
      </c>
      <c r="O1719" s="37" t="s">
        <v>393</v>
      </c>
      <c r="P1719" s="38"/>
      <c r="Q1719" s="37" t="s">
        <v>3755</v>
      </c>
      <c r="R1719" s="37"/>
      <c r="S1719" s="37" t="s">
        <v>395</v>
      </c>
      <c r="T1719" s="31"/>
    </row>
    <row r="1720" spans="1:20">
      <c r="A1720" s="31"/>
      <c r="B1720" s="32"/>
      <c r="C1720" s="33"/>
      <c r="D1720" s="32" t="s">
        <v>3756</v>
      </c>
      <c r="E1720" s="33" t="s">
        <v>135</v>
      </c>
      <c r="F1720" s="34">
        <v>1</v>
      </c>
      <c r="G1720" s="35">
        <v>0</v>
      </c>
      <c r="H1720" s="35">
        <v>0</v>
      </c>
      <c r="I1720" s="35">
        <f>Tabla1[[#This Row],[P.U. M.N.]]*Tabla1[[#This Row],[CANTIDADES DE REFERENCIA]]</f>
        <v>0</v>
      </c>
      <c r="J1720" s="35">
        <f>Tabla1[[#This Row],[P.U. USD]]*Tabla1[[#This Row],[CANTIDADES DE REFERENCIA]]</f>
        <v>0</v>
      </c>
      <c r="K1720" s="36"/>
      <c r="L1720" s="36"/>
      <c r="M1720" s="36"/>
      <c r="N1720" s="37" t="s">
        <v>392</v>
      </c>
      <c r="O1720" s="37" t="s">
        <v>393</v>
      </c>
      <c r="P1720" s="38"/>
      <c r="Q1720" s="37" t="s">
        <v>3757</v>
      </c>
      <c r="R1720" s="37"/>
      <c r="S1720" s="37" t="s">
        <v>395</v>
      </c>
      <c r="T1720" s="31"/>
    </row>
    <row r="1721" spans="1:20">
      <c r="A1721" s="31"/>
      <c r="B1721" s="32"/>
      <c r="C1721" s="33"/>
      <c r="D1721" s="32" t="s">
        <v>3758</v>
      </c>
      <c r="E1721" s="33" t="s">
        <v>135</v>
      </c>
      <c r="F1721" s="34">
        <v>1</v>
      </c>
      <c r="G1721" s="35">
        <v>0</v>
      </c>
      <c r="H1721" s="35">
        <v>0</v>
      </c>
      <c r="I1721" s="35">
        <f>Tabla1[[#This Row],[P.U. M.N.]]*Tabla1[[#This Row],[CANTIDADES DE REFERENCIA]]</f>
        <v>0</v>
      </c>
      <c r="J1721" s="35">
        <f>Tabla1[[#This Row],[P.U. USD]]*Tabla1[[#This Row],[CANTIDADES DE REFERENCIA]]</f>
        <v>0</v>
      </c>
      <c r="K1721" s="36"/>
      <c r="L1721" s="36"/>
      <c r="M1721" s="36"/>
      <c r="N1721" s="37" t="s">
        <v>392</v>
      </c>
      <c r="O1721" s="37" t="s">
        <v>393</v>
      </c>
      <c r="P1721" s="38"/>
      <c r="Q1721" s="37" t="s">
        <v>3759</v>
      </c>
      <c r="R1721" s="37"/>
      <c r="S1721" s="37" t="s">
        <v>395</v>
      </c>
      <c r="T1721" s="31"/>
    </row>
    <row r="1722" spans="1:20">
      <c r="A1722" s="31" t="s">
        <v>3006</v>
      </c>
      <c r="B1722" s="32" t="s">
        <v>3760</v>
      </c>
      <c r="C1722" s="33" t="str">
        <f>Tabla1[[#This Row],[PARTIDA]] &amp; "."</f>
        <v>7C-19.</v>
      </c>
      <c r="D1722" s="32" t="s">
        <v>3761</v>
      </c>
      <c r="E1722" s="33" t="s">
        <v>116</v>
      </c>
      <c r="F1722" s="34">
        <v>1</v>
      </c>
      <c r="G1722" s="35">
        <v>65830.31</v>
      </c>
      <c r="H1722" s="35">
        <v>0</v>
      </c>
      <c r="I1722" s="35">
        <f>Tabla1[[#This Row],[P.U. M.N.]]*Tabla1[[#This Row],[CANTIDADES DE REFERENCIA]]</f>
        <v>65830.31</v>
      </c>
      <c r="J1722" s="35">
        <f>Tabla1[[#This Row],[P.U. USD]]*Tabla1[[#This Row],[CANTIDADES DE REFERENCIA]]</f>
        <v>0</v>
      </c>
      <c r="K1722" s="36"/>
      <c r="L1722" s="36"/>
      <c r="M1722" s="36"/>
      <c r="N1722" s="37" t="s">
        <v>392</v>
      </c>
      <c r="O1722" s="37" t="s">
        <v>393</v>
      </c>
      <c r="P1722" s="38"/>
      <c r="Q1722" s="37" t="s">
        <v>3762</v>
      </c>
      <c r="R1722" s="37"/>
      <c r="S1722" s="37" t="s">
        <v>395</v>
      </c>
      <c r="T1722" s="31"/>
    </row>
    <row r="1723" spans="1:20">
      <c r="A1723" s="31"/>
      <c r="B1723" s="32"/>
      <c r="C1723" s="33"/>
      <c r="D1723" s="32" t="s">
        <v>3763</v>
      </c>
      <c r="E1723" s="33" t="s">
        <v>116</v>
      </c>
      <c r="F1723" s="34">
        <v>1</v>
      </c>
      <c r="G1723" s="35">
        <v>0</v>
      </c>
      <c r="H1723" s="35">
        <v>0</v>
      </c>
      <c r="I1723" s="35">
        <f>Tabla1[[#This Row],[P.U. M.N.]]*Tabla1[[#This Row],[CANTIDADES DE REFERENCIA]]</f>
        <v>0</v>
      </c>
      <c r="J1723" s="35">
        <f>Tabla1[[#This Row],[P.U. USD]]*Tabla1[[#This Row],[CANTIDADES DE REFERENCIA]]</f>
        <v>0</v>
      </c>
      <c r="K1723" s="36"/>
      <c r="L1723" s="36"/>
      <c r="M1723" s="36"/>
      <c r="N1723" s="37" t="s">
        <v>392</v>
      </c>
      <c r="O1723" s="37" t="s">
        <v>393</v>
      </c>
      <c r="P1723" s="38"/>
      <c r="Q1723" s="37" t="s">
        <v>3764</v>
      </c>
      <c r="R1723" s="37"/>
      <c r="S1723" s="37" t="s">
        <v>395</v>
      </c>
      <c r="T1723" s="31"/>
    </row>
    <row r="1724" spans="1:20">
      <c r="A1724" s="31"/>
      <c r="B1724" s="32"/>
      <c r="C1724" s="33"/>
      <c r="D1724" s="32" t="s">
        <v>3765</v>
      </c>
      <c r="E1724" s="33" t="s">
        <v>135</v>
      </c>
      <c r="F1724" s="34">
        <v>1</v>
      </c>
      <c r="G1724" s="35">
        <v>0</v>
      </c>
      <c r="H1724" s="35">
        <v>0</v>
      </c>
      <c r="I1724" s="35">
        <f>Tabla1[[#This Row],[P.U. M.N.]]*Tabla1[[#This Row],[CANTIDADES DE REFERENCIA]]</f>
        <v>0</v>
      </c>
      <c r="J1724" s="35">
        <f>Tabla1[[#This Row],[P.U. USD]]*Tabla1[[#This Row],[CANTIDADES DE REFERENCIA]]</f>
        <v>0</v>
      </c>
      <c r="K1724" s="36"/>
      <c r="L1724" s="36"/>
      <c r="M1724" s="36"/>
      <c r="N1724" s="37" t="s">
        <v>392</v>
      </c>
      <c r="O1724" s="37" t="s">
        <v>393</v>
      </c>
      <c r="P1724" s="38"/>
      <c r="Q1724" s="37" t="s">
        <v>3766</v>
      </c>
      <c r="R1724" s="37"/>
      <c r="S1724" s="37" t="s">
        <v>395</v>
      </c>
      <c r="T1724" s="31"/>
    </row>
    <row r="1725" spans="1:20">
      <c r="A1725" s="31"/>
      <c r="B1725" s="32"/>
      <c r="C1725" s="33"/>
      <c r="D1725" s="32" t="s">
        <v>3767</v>
      </c>
      <c r="E1725" s="33" t="s">
        <v>116</v>
      </c>
      <c r="F1725" s="34">
        <v>1</v>
      </c>
      <c r="G1725" s="35">
        <v>0</v>
      </c>
      <c r="H1725" s="35">
        <v>0</v>
      </c>
      <c r="I1725" s="35">
        <f>Tabla1[[#This Row],[P.U. M.N.]]*Tabla1[[#This Row],[CANTIDADES DE REFERENCIA]]</f>
        <v>0</v>
      </c>
      <c r="J1725" s="35">
        <f>Tabla1[[#This Row],[P.U. USD]]*Tabla1[[#This Row],[CANTIDADES DE REFERENCIA]]</f>
        <v>0</v>
      </c>
      <c r="K1725" s="36"/>
      <c r="L1725" s="36"/>
      <c r="M1725" s="36"/>
      <c r="N1725" s="37" t="s">
        <v>392</v>
      </c>
      <c r="O1725" s="37" t="s">
        <v>393</v>
      </c>
      <c r="P1725" s="38"/>
      <c r="Q1725" s="37" t="s">
        <v>3768</v>
      </c>
      <c r="R1725" s="37" t="s">
        <v>58</v>
      </c>
      <c r="S1725" s="37" t="s">
        <v>395</v>
      </c>
      <c r="T1725" s="31"/>
    </row>
    <row r="1726" spans="1:20">
      <c r="A1726" s="31"/>
      <c r="B1726" s="32"/>
      <c r="C1726" s="33"/>
      <c r="D1726" s="32" t="s">
        <v>3769</v>
      </c>
      <c r="E1726" s="33" t="s">
        <v>116</v>
      </c>
      <c r="F1726" s="34">
        <v>1</v>
      </c>
      <c r="G1726" s="35">
        <v>0</v>
      </c>
      <c r="H1726" s="35">
        <v>0</v>
      </c>
      <c r="I1726" s="35">
        <f>Tabla1[[#This Row],[P.U. M.N.]]*Tabla1[[#This Row],[CANTIDADES DE REFERENCIA]]</f>
        <v>0</v>
      </c>
      <c r="J1726" s="35">
        <f>Tabla1[[#This Row],[P.U. USD]]*Tabla1[[#This Row],[CANTIDADES DE REFERENCIA]]</f>
        <v>0</v>
      </c>
      <c r="K1726" s="36"/>
      <c r="L1726" s="36"/>
      <c r="M1726" s="36"/>
      <c r="N1726" s="37" t="s">
        <v>392</v>
      </c>
      <c r="O1726" s="37" t="s">
        <v>393</v>
      </c>
      <c r="P1726" s="38"/>
      <c r="Q1726" s="37" t="s">
        <v>3770</v>
      </c>
      <c r="R1726" s="37"/>
      <c r="S1726" s="37" t="s">
        <v>395</v>
      </c>
      <c r="T1726" s="31"/>
    </row>
    <row r="1727" spans="1:20">
      <c r="A1727" s="31"/>
      <c r="B1727" s="32"/>
      <c r="C1727" s="33"/>
      <c r="D1727" s="32" t="s">
        <v>3771</v>
      </c>
      <c r="E1727" s="33" t="s">
        <v>116</v>
      </c>
      <c r="F1727" s="34">
        <v>1</v>
      </c>
      <c r="G1727" s="35">
        <v>0</v>
      </c>
      <c r="H1727" s="35">
        <v>0</v>
      </c>
      <c r="I1727" s="35">
        <f>Tabla1[[#This Row],[P.U. M.N.]]*Tabla1[[#This Row],[CANTIDADES DE REFERENCIA]]</f>
        <v>0</v>
      </c>
      <c r="J1727" s="35">
        <f>Tabla1[[#This Row],[P.U. USD]]*Tabla1[[#This Row],[CANTIDADES DE REFERENCIA]]</f>
        <v>0</v>
      </c>
      <c r="K1727" s="36"/>
      <c r="L1727" s="36"/>
      <c r="M1727" s="36"/>
      <c r="N1727" s="37" t="s">
        <v>392</v>
      </c>
      <c r="O1727" s="37" t="s">
        <v>393</v>
      </c>
      <c r="P1727" s="38"/>
      <c r="Q1727" s="37" t="s">
        <v>3772</v>
      </c>
      <c r="R1727" s="37"/>
      <c r="S1727" s="37" t="s">
        <v>395</v>
      </c>
      <c r="T1727" s="31"/>
    </row>
    <row r="1728" spans="1:20">
      <c r="A1728" s="31"/>
      <c r="B1728" s="32"/>
      <c r="C1728" s="33"/>
      <c r="D1728" s="32" t="s">
        <v>3773</v>
      </c>
      <c r="E1728" s="33" t="s">
        <v>116</v>
      </c>
      <c r="F1728" s="34">
        <v>1</v>
      </c>
      <c r="G1728" s="35">
        <v>0</v>
      </c>
      <c r="H1728" s="35">
        <v>0</v>
      </c>
      <c r="I1728" s="35">
        <f>Tabla1[[#This Row],[P.U. M.N.]]*Tabla1[[#This Row],[CANTIDADES DE REFERENCIA]]</f>
        <v>0</v>
      </c>
      <c r="J1728" s="35">
        <f>Tabla1[[#This Row],[P.U. USD]]*Tabla1[[#This Row],[CANTIDADES DE REFERENCIA]]</f>
        <v>0</v>
      </c>
      <c r="K1728" s="36"/>
      <c r="L1728" s="36"/>
      <c r="M1728" s="36"/>
      <c r="N1728" s="37" t="s">
        <v>392</v>
      </c>
      <c r="O1728" s="37" t="s">
        <v>393</v>
      </c>
      <c r="P1728" s="38"/>
      <c r="Q1728" s="37" t="s">
        <v>3774</v>
      </c>
      <c r="R1728" s="37"/>
      <c r="S1728" s="37" t="s">
        <v>395</v>
      </c>
      <c r="T1728" s="31"/>
    </row>
    <row r="1729" spans="1:20">
      <c r="A1729" s="31" t="s">
        <v>3006</v>
      </c>
      <c r="B1729" s="32" t="s">
        <v>3775</v>
      </c>
      <c r="C1729" s="33" t="str">
        <f>Tabla1[[#This Row],[PARTIDA]] &amp; "."</f>
        <v>8C-19.</v>
      </c>
      <c r="D1729" s="32" t="s">
        <v>3776</v>
      </c>
      <c r="E1729" s="33" t="s">
        <v>116</v>
      </c>
      <c r="F1729" s="34">
        <v>1</v>
      </c>
      <c r="G1729" s="35">
        <v>13130.38</v>
      </c>
      <c r="H1729" s="35">
        <v>0</v>
      </c>
      <c r="I1729" s="35">
        <f>Tabla1[[#This Row],[P.U. M.N.]]*Tabla1[[#This Row],[CANTIDADES DE REFERENCIA]]</f>
        <v>13130.38</v>
      </c>
      <c r="J1729" s="35">
        <f>Tabla1[[#This Row],[P.U. USD]]*Tabla1[[#This Row],[CANTIDADES DE REFERENCIA]]</f>
        <v>0</v>
      </c>
      <c r="K1729" s="36"/>
      <c r="L1729" s="36"/>
      <c r="M1729" s="36"/>
      <c r="N1729" s="37" t="s">
        <v>392</v>
      </c>
      <c r="O1729" s="37" t="s">
        <v>393</v>
      </c>
      <c r="P1729" s="38"/>
      <c r="Q1729" s="37" t="s">
        <v>3777</v>
      </c>
      <c r="R1729" s="37"/>
      <c r="S1729" s="37" t="s">
        <v>395</v>
      </c>
      <c r="T1729" s="31"/>
    </row>
    <row r="1730" spans="1:20">
      <c r="A1730" s="31" t="s">
        <v>3006</v>
      </c>
      <c r="B1730" s="32" t="s">
        <v>3778</v>
      </c>
      <c r="C1730" s="33" t="str">
        <f>Tabla1[[#This Row],[PARTIDA]] &amp; "."</f>
        <v>9C-19.</v>
      </c>
      <c r="D1730" s="32" t="s">
        <v>3779</v>
      </c>
      <c r="E1730" s="33" t="s">
        <v>116</v>
      </c>
      <c r="F1730" s="34">
        <v>1</v>
      </c>
      <c r="G1730" s="35">
        <v>1903.95</v>
      </c>
      <c r="H1730" s="35">
        <v>0</v>
      </c>
      <c r="I1730" s="35">
        <f>Tabla1[[#This Row],[P.U. M.N.]]*Tabla1[[#This Row],[CANTIDADES DE REFERENCIA]]</f>
        <v>1903.95</v>
      </c>
      <c r="J1730" s="35">
        <f>Tabla1[[#This Row],[P.U. USD]]*Tabla1[[#This Row],[CANTIDADES DE REFERENCIA]]</f>
        <v>0</v>
      </c>
      <c r="K1730" s="36"/>
      <c r="L1730" s="36"/>
      <c r="M1730" s="36"/>
      <c r="N1730" s="37" t="s">
        <v>392</v>
      </c>
      <c r="O1730" s="37" t="s">
        <v>393</v>
      </c>
      <c r="P1730" s="38"/>
      <c r="Q1730" s="37" t="s">
        <v>3780</v>
      </c>
      <c r="R1730" s="37"/>
      <c r="S1730" s="37" t="s">
        <v>395</v>
      </c>
      <c r="T1730" s="31"/>
    </row>
    <row r="1731" spans="1:20">
      <c r="A1731" s="31"/>
      <c r="B1731" s="32"/>
      <c r="C1731" s="33"/>
      <c r="D1731" s="32" t="s">
        <v>3781</v>
      </c>
      <c r="E1731" s="33" t="s">
        <v>116</v>
      </c>
      <c r="F1731" s="34">
        <v>1</v>
      </c>
      <c r="G1731" s="35">
        <v>0</v>
      </c>
      <c r="H1731" s="35">
        <v>0</v>
      </c>
      <c r="I1731" s="35">
        <f>Tabla1[[#This Row],[P.U. M.N.]]*Tabla1[[#This Row],[CANTIDADES DE REFERENCIA]]</f>
        <v>0</v>
      </c>
      <c r="J1731" s="35">
        <f>Tabla1[[#This Row],[P.U. USD]]*Tabla1[[#This Row],[CANTIDADES DE REFERENCIA]]</f>
        <v>0</v>
      </c>
      <c r="K1731" s="36"/>
      <c r="L1731" s="36"/>
      <c r="M1731" s="36"/>
      <c r="N1731" s="37" t="s">
        <v>392</v>
      </c>
      <c r="O1731" s="37" t="s">
        <v>393</v>
      </c>
      <c r="P1731" s="38"/>
      <c r="Q1731" s="37" t="s">
        <v>3782</v>
      </c>
      <c r="R1731" s="37" t="s">
        <v>58</v>
      </c>
      <c r="S1731" s="37" t="s">
        <v>395</v>
      </c>
      <c r="T1731" s="31"/>
    </row>
    <row r="1732" spans="1:20">
      <c r="A1732" s="31"/>
      <c r="B1732" s="32"/>
      <c r="C1732" s="33"/>
      <c r="D1732" s="32" t="s">
        <v>3783</v>
      </c>
      <c r="E1732" s="33" t="s">
        <v>116</v>
      </c>
      <c r="F1732" s="34">
        <v>1</v>
      </c>
      <c r="G1732" s="35">
        <v>0</v>
      </c>
      <c r="H1732" s="35">
        <v>0</v>
      </c>
      <c r="I1732" s="35">
        <f>Tabla1[[#This Row],[P.U. M.N.]]*Tabla1[[#This Row],[CANTIDADES DE REFERENCIA]]</f>
        <v>0</v>
      </c>
      <c r="J1732" s="35">
        <f>Tabla1[[#This Row],[P.U. USD]]*Tabla1[[#This Row],[CANTIDADES DE REFERENCIA]]</f>
        <v>0</v>
      </c>
      <c r="K1732" s="36"/>
      <c r="L1732" s="36"/>
      <c r="M1732" s="36"/>
      <c r="N1732" s="37" t="s">
        <v>392</v>
      </c>
      <c r="O1732" s="37" t="s">
        <v>393</v>
      </c>
      <c r="P1732" s="38"/>
      <c r="Q1732" s="37" t="s">
        <v>3784</v>
      </c>
      <c r="R1732" s="37"/>
      <c r="S1732" s="37" t="s">
        <v>395</v>
      </c>
      <c r="T1732" s="31"/>
    </row>
    <row r="1733" spans="1:20">
      <c r="A1733" s="31"/>
      <c r="B1733" s="32"/>
      <c r="C1733" s="33"/>
      <c r="D1733" s="32" t="s">
        <v>3785</v>
      </c>
      <c r="E1733" s="33" t="s">
        <v>116</v>
      </c>
      <c r="F1733" s="34">
        <v>1</v>
      </c>
      <c r="G1733" s="35">
        <v>0</v>
      </c>
      <c r="H1733" s="35">
        <v>0</v>
      </c>
      <c r="I1733" s="35">
        <f>Tabla1[[#This Row],[P.U. M.N.]]*Tabla1[[#This Row],[CANTIDADES DE REFERENCIA]]</f>
        <v>0</v>
      </c>
      <c r="J1733" s="35">
        <f>Tabla1[[#This Row],[P.U. USD]]*Tabla1[[#This Row],[CANTIDADES DE REFERENCIA]]</f>
        <v>0</v>
      </c>
      <c r="K1733" s="36"/>
      <c r="L1733" s="36"/>
      <c r="M1733" s="36"/>
      <c r="N1733" s="37" t="s">
        <v>392</v>
      </c>
      <c r="O1733" s="37" t="s">
        <v>393</v>
      </c>
      <c r="P1733" s="38"/>
      <c r="Q1733" s="37" t="s">
        <v>3786</v>
      </c>
      <c r="R1733" s="37" t="s">
        <v>58</v>
      </c>
      <c r="S1733" s="37" t="s">
        <v>395</v>
      </c>
      <c r="T1733" s="31"/>
    </row>
    <row r="1734" spans="1:20">
      <c r="A1734" s="31" t="s">
        <v>3787</v>
      </c>
      <c r="B1734" s="32" t="s">
        <v>3788</v>
      </c>
      <c r="C1734" s="33" t="str">
        <f>Tabla1[[#This Row],[PARTIDA]] &amp; "."</f>
        <v>1C-20.</v>
      </c>
      <c r="D1734" s="32" t="s">
        <v>3789</v>
      </c>
      <c r="E1734" s="33" t="s">
        <v>116</v>
      </c>
      <c r="F1734" s="34">
        <v>1</v>
      </c>
      <c r="G1734" s="35">
        <v>128086.73</v>
      </c>
      <c r="H1734" s="35">
        <v>0</v>
      </c>
      <c r="I1734" s="35">
        <f>Tabla1[[#This Row],[P.U. M.N.]]*Tabla1[[#This Row],[CANTIDADES DE REFERENCIA]]</f>
        <v>128086.73</v>
      </c>
      <c r="J1734" s="35">
        <f>Tabla1[[#This Row],[P.U. USD]]*Tabla1[[#This Row],[CANTIDADES DE REFERENCIA]]</f>
        <v>0</v>
      </c>
      <c r="K1734" s="36"/>
      <c r="L1734" s="36"/>
      <c r="M1734" s="36"/>
      <c r="N1734" s="37" t="s">
        <v>3790</v>
      </c>
      <c r="O1734" s="37" t="s">
        <v>3791</v>
      </c>
      <c r="P1734" s="39"/>
      <c r="Q1734" s="37" t="s">
        <v>3792</v>
      </c>
      <c r="R1734" s="37"/>
      <c r="S1734" s="37" t="s">
        <v>3793</v>
      </c>
      <c r="T1734" s="31"/>
    </row>
    <row r="1735" spans="1:20">
      <c r="A1735" s="31"/>
      <c r="B1735" s="32"/>
      <c r="C1735" s="33"/>
      <c r="D1735" s="32" t="s">
        <v>3794</v>
      </c>
      <c r="E1735" s="33" t="s">
        <v>116</v>
      </c>
      <c r="F1735" s="34">
        <v>1</v>
      </c>
      <c r="G1735" s="35">
        <v>0</v>
      </c>
      <c r="H1735" s="35">
        <v>0</v>
      </c>
      <c r="I1735" s="35">
        <f>Tabla1[[#This Row],[P.U. M.N.]]*Tabla1[[#This Row],[CANTIDADES DE REFERENCIA]]</f>
        <v>0</v>
      </c>
      <c r="J1735" s="35">
        <f>Tabla1[[#This Row],[P.U. USD]]*Tabla1[[#This Row],[CANTIDADES DE REFERENCIA]]</f>
        <v>0</v>
      </c>
      <c r="K1735" s="36"/>
      <c r="L1735" s="36"/>
      <c r="M1735" s="36"/>
      <c r="N1735" s="37" t="s">
        <v>392</v>
      </c>
      <c r="O1735" s="37" t="s">
        <v>393</v>
      </c>
      <c r="P1735" s="38"/>
      <c r="Q1735" s="37" t="s">
        <v>3795</v>
      </c>
      <c r="R1735" s="37"/>
      <c r="S1735" s="37" t="s">
        <v>395</v>
      </c>
      <c r="T1735" s="31"/>
    </row>
    <row r="1736" spans="1:20">
      <c r="A1736" s="31"/>
      <c r="B1736" s="32"/>
      <c r="C1736" s="33"/>
      <c r="D1736" s="32" t="s">
        <v>3796</v>
      </c>
      <c r="E1736" s="33" t="s">
        <v>116</v>
      </c>
      <c r="F1736" s="34">
        <v>1</v>
      </c>
      <c r="G1736" s="35">
        <v>0</v>
      </c>
      <c r="H1736" s="35">
        <v>0</v>
      </c>
      <c r="I1736" s="35">
        <f>Tabla1[[#This Row],[P.U. M.N.]]*Tabla1[[#This Row],[CANTIDADES DE REFERENCIA]]</f>
        <v>0</v>
      </c>
      <c r="J1736" s="35">
        <f>Tabla1[[#This Row],[P.U. USD]]*Tabla1[[#This Row],[CANTIDADES DE REFERENCIA]]</f>
        <v>0</v>
      </c>
      <c r="K1736" s="36"/>
      <c r="L1736" s="36"/>
      <c r="M1736" s="36"/>
      <c r="N1736" s="37" t="s">
        <v>392</v>
      </c>
      <c r="O1736" s="37" t="s">
        <v>393</v>
      </c>
      <c r="P1736" s="38"/>
      <c r="Q1736" s="37" t="s">
        <v>3797</v>
      </c>
      <c r="R1736" s="37"/>
      <c r="S1736" s="37" t="s">
        <v>395</v>
      </c>
      <c r="T1736" s="31"/>
    </row>
    <row r="1737" spans="1:20">
      <c r="A1737" s="31"/>
      <c r="B1737" s="32"/>
      <c r="C1737" s="33"/>
      <c r="D1737" s="32" t="s">
        <v>3798</v>
      </c>
      <c r="E1737" s="33" t="s">
        <v>116</v>
      </c>
      <c r="F1737" s="34">
        <v>1</v>
      </c>
      <c r="G1737" s="35">
        <v>0</v>
      </c>
      <c r="H1737" s="35">
        <v>0</v>
      </c>
      <c r="I1737" s="35">
        <f>Tabla1[[#This Row],[P.U. M.N.]]*Tabla1[[#This Row],[CANTIDADES DE REFERENCIA]]</f>
        <v>0</v>
      </c>
      <c r="J1737" s="35">
        <f>Tabla1[[#This Row],[P.U. USD]]*Tabla1[[#This Row],[CANTIDADES DE REFERENCIA]]</f>
        <v>0</v>
      </c>
      <c r="K1737" s="36"/>
      <c r="L1737" s="36"/>
      <c r="M1737" s="36"/>
      <c r="N1737" s="37" t="s">
        <v>392</v>
      </c>
      <c r="O1737" s="37" t="s">
        <v>393</v>
      </c>
      <c r="P1737" s="38"/>
      <c r="Q1737" s="37" t="s">
        <v>3799</v>
      </c>
      <c r="R1737" s="37"/>
      <c r="S1737" s="37" t="s">
        <v>395</v>
      </c>
      <c r="T1737" s="31"/>
    </row>
    <row r="1738" spans="1:20">
      <c r="A1738" s="31"/>
      <c r="B1738" s="32"/>
      <c r="C1738" s="33"/>
      <c r="D1738" s="32" t="s">
        <v>3800</v>
      </c>
      <c r="E1738" s="33" t="s">
        <v>116</v>
      </c>
      <c r="F1738" s="34">
        <v>1</v>
      </c>
      <c r="G1738" s="35">
        <v>0</v>
      </c>
      <c r="H1738" s="35">
        <v>0</v>
      </c>
      <c r="I1738" s="35">
        <f>Tabla1[[#This Row],[P.U. M.N.]]*Tabla1[[#This Row],[CANTIDADES DE REFERENCIA]]</f>
        <v>0</v>
      </c>
      <c r="J1738" s="35">
        <f>Tabla1[[#This Row],[P.U. USD]]*Tabla1[[#This Row],[CANTIDADES DE REFERENCIA]]</f>
        <v>0</v>
      </c>
      <c r="K1738" s="36"/>
      <c r="L1738" s="36"/>
      <c r="M1738" s="36"/>
      <c r="N1738" s="37" t="s">
        <v>392</v>
      </c>
      <c r="O1738" s="37" t="s">
        <v>393</v>
      </c>
      <c r="P1738" s="38"/>
      <c r="Q1738" s="37" t="s">
        <v>3801</v>
      </c>
      <c r="R1738" s="37"/>
      <c r="S1738" s="37" t="s">
        <v>395</v>
      </c>
      <c r="T1738" s="31"/>
    </row>
    <row r="1739" spans="1:20">
      <c r="A1739" s="31"/>
      <c r="B1739" s="32"/>
      <c r="C1739" s="33"/>
      <c r="D1739" s="32" t="s">
        <v>3802</v>
      </c>
      <c r="E1739" s="33" t="s">
        <v>116</v>
      </c>
      <c r="F1739" s="34">
        <v>1</v>
      </c>
      <c r="G1739" s="35">
        <v>0</v>
      </c>
      <c r="H1739" s="35">
        <v>0</v>
      </c>
      <c r="I1739" s="35">
        <f>Tabla1[[#This Row],[P.U. M.N.]]*Tabla1[[#This Row],[CANTIDADES DE REFERENCIA]]</f>
        <v>0</v>
      </c>
      <c r="J1739" s="35">
        <f>Tabla1[[#This Row],[P.U. USD]]*Tabla1[[#This Row],[CANTIDADES DE REFERENCIA]]</f>
        <v>0</v>
      </c>
      <c r="K1739" s="36"/>
      <c r="L1739" s="36"/>
      <c r="M1739" s="36"/>
      <c r="N1739" s="37" t="s">
        <v>392</v>
      </c>
      <c r="O1739" s="37" t="s">
        <v>393</v>
      </c>
      <c r="P1739" s="38"/>
      <c r="Q1739" s="37" t="s">
        <v>3803</v>
      </c>
      <c r="R1739" s="37" t="s">
        <v>58</v>
      </c>
      <c r="S1739" s="37" t="s">
        <v>395</v>
      </c>
      <c r="T1739" s="31"/>
    </row>
    <row r="1740" spans="1:20">
      <c r="A1740" s="31"/>
      <c r="B1740" s="32"/>
      <c r="C1740" s="33"/>
      <c r="D1740" s="32" t="s">
        <v>3804</v>
      </c>
      <c r="E1740" s="33" t="s">
        <v>116</v>
      </c>
      <c r="F1740" s="34">
        <v>1</v>
      </c>
      <c r="G1740" s="35">
        <v>0</v>
      </c>
      <c r="H1740" s="35">
        <v>0</v>
      </c>
      <c r="I1740" s="35">
        <f>Tabla1[[#This Row],[P.U. M.N.]]*Tabla1[[#This Row],[CANTIDADES DE REFERENCIA]]</f>
        <v>0</v>
      </c>
      <c r="J1740" s="35">
        <f>Tabla1[[#This Row],[P.U. USD]]*Tabla1[[#This Row],[CANTIDADES DE REFERENCIA]]</f>
        <v>0</v>
      </c>
      <c r="K1740" s="36"/>
      <c r="L1740" s="36"/>
      <c r="M1740" s="36"/>
      <c r="N1740" s="37" t="s">
        <v>392</v>
      </c>
      <c r="O1740" s="37" t="s">
        <v>393</v>
      </c>
      <c r="P1740" s="38"/>
      <c r="Q1740" s="37" t="s">
        <v>3805</v>
      </c>
      <c r="R1740" s="37"/>
      <c r="S1740" s="37" t="s">
        <v>395</v>
      </c>
      <c r="T1740" s="31"/>
    </row>
    <row r="1741" spans="1:20">
      <c r="A1741" s="31"/>
      <c r="B1741" s="32"/>
      <c r="C1741" s="33"/>
      <c r="D1741" s="32" t="s">
        <v>3806</v>
      </c>
      <c r="E1741" s="33" t="s">
        <v>116</v>
      </c>
      <c r="F1741" s="34">
        <v>1</v>
      </c>
      <c r="G1741" s="35">
        <v>0</v>
      </c>
      <c r="H1741" s="35">
        <v>0</v>
      </c>
      <c r="I1741" s="35">
        <f>Tabla1[[#This Row],[P.U. M.N.]]*Tabla1[[#This Row],[CANTIDADES DE REFERENCIA]]</f>
        <v>0</v>
      </c>
      <c r="J1741" s="35">
        <f>Tabla1[[#This Row],[P.U. USD]]*Tabla1[[#This Row],[CANTIDADES DE REFERENCIA]]</f>
        <v>0</v>
      </c>
      <c r="K1741" s="36"/>
      <c r="L1741" s="36"/>
      <c r="M1741" s="36"/>
      <c r="N1741" s="37" t="s">
        <v>392</v>
      </c>
      <c r="O1741" s="37" t="s">
        <v>393</v>
      </c>
      <c r="P1741" s="38"/>
      <c r="Q1741" s="37" t="s">
        <v>3807</v>
      </c>
      <c r="R1741" s="37"/>
      <c r="S1741" s="37" t="s">
        <v>395</v>
      </c>
      <c r="T1741" s="31"/>
    </row>
    <row r="1742" spans="1:20">
      <c r="A1742" s="31"/>
      <c r="B1742" s="32"/>
      <c r="C1742" s="33"/>
      <c r="D1742" s="32" t="s">
        <v>3808</v>
      </c>
      <c r="E1742" s="33" t="s">
        <v>116</v>
      </c>
      <c r="F1742" s="34">
        <v>1</v>
      </c>
      <c r="G1742" s="35">
        <v>0</v>
      </c>
      <c r="H1742" s="35">
        <v>0</v>
      </c>
      <c r="I1742" s="35">
        <f>Tabla1[[#This Row],[P.U. M.N.]]*Tabla1[[#This Row],[CANTIDADES DE REFERENCIA]]</f>
        <v>0</v>
      </c>
      <c r="J1742" s="35">
        <f>Tabla1[[#This Row],[P.U. USD]]*Tabla1[[#This Row],[CANTIDADES DE REFERENCIA]]</f>
        <v>0</v>
      </c>
      <c r="K1742" s="36"/>
      <c r="L1742" s="36"/>
      <c r="M1742" s="36"/>
      <c r="N1742" s="37" t="s">
        <v>3477</v>
      </c>
      <c r="O1742" s="37" t="s">
        <v>3478</v>
      </c>
      <c r="P1742" s="38"/>
      <c r="Q1742" s="37" t="s">
        <v>3809</v>
      </c>
      <c r="R1742" s="37" t="s">
        <v>58</v>
      </c>
      <c r="S1742" s="37" t="s">
        <v>3610</v>
      </c>
      <c r="T1742" s="31"/>
    </row>
    <row r="1743" spans="1:20">
      <c r="A1743" s="31"/>
      <c r="B1743" s="32"/>
      <c r="C1743" s="33"/>
      <c r="D1743" s="32" t="s">
        <v>3810</v>
      </c>
      <c r="E1743" s="33" t="s">
        <v>1058</v>
      </c>
      <c r="F1743" s="34">
        <v>1</v>
      </c>
      <c r="G1743" s="35">
        <v>0</v>
      </c>
      <c r="H1743" s="35">
        <v>0</v>
      </c>
      <c r="I1743" s="35">
        <f>Tabla1[[#This Row],[P.U. M.N.]]*Tabla1[[#This Row],[CANTIDADES DE REFERENCIA]]</f>
        <v>0</v>
      </c>
      <c r="J1743" s="35">
        <f>Tabla1[[#This Row],[P.U. USD]]*Tabla1[[#This Row],[CANTIDADES DE REFERENCIA]]</f>
        <v>0</v>
      </c>
      <c r="K1743" s="36"/>
      <c r="L1743" s="36"/>
      <c r="M1743" s="36"/>
      <c r="N1743" s="37" t="s">
        <v>392</v>
      </c>
      <c r="O1743" s="37" t="s">
        <v>393</v>
      </c>
      <c r="P1743" s="38"/>
      <c r="Q1743" s="37" t="s">
        <v>3811</v>
      </c>
      <c r="R1743" s="37"/>
      <c r="S1743" s="37" t="s">
        <v>395</v>
      </c>
      <c r="T1743" s="31"/>
    </row>
    <row r="1744" spans="1:20">
      <c r="A1744" s="31"/>
      <c r="B1744" s="32"/>
      <c r="C1744" s="33"/>
      <c r="D1744" s="32" t="s">
        <v>3812</v>
      </c>
      <c r="E1744" s="33" t="s">
        <v>1058</v>
      </c>
      <c r="F1744" s="34">
        <v>1</v>
      </c>
      <c r="G1744" s="35">
        <v>0</v>
      </c>
      <c r="H1744" s="35">
        <v>0</v>
      </c>
      <c r="I1744" s="35">
        <f>Tabla1[[#This Row],[P.U. M.N.]]*Tabla1[[#This Row],[CANTIDADES DE REFERENCIA]]</f>
        <v>0</v>
      </c>
      <c r="J1744" s="35">
        <f>Tabla1[[#This Row],[P.U. USD]]*Tabla1[[#This Row],[CANTIDADES DE REFERENCIA]]</f>
        <v>0</v>
      </c>
      <c r="K1744" s="36"/>
      <c r="L1744" s="36"/>
      <c r="M1744" s="36"/>
      <c r="N1744" s="37" t="s">
        <v>392</v>
      </c>
      <c r="O1744" s="37" t="s">
        <v>393</v>
      </c>
      <c r="P1744" s="38"/>
      <c r="Q1744" s="37" t="s">
        <v>3813</v>
      </c>
      <c r="R1744" s="37" t="s">
        <v>58</v>
      </c>
      <c r="S1744" s="37" t="s">
        <v>395</v>
      </c>
      <c r="T1744" s="31"/>
    </row>
    <row r="1745" spans="1:20">
      <c r="A1745" s="31"/>
      <c r="B1745" s="32"/>
      <c r="C1745" s="33"/>
      <c r="D1745" s="32" t="s">
        <v>3814</v>
      </c>
      <c r="E1745" s="33" t="s">
        <v>1058</v>
      </c>
      <c r="F1745" s="34">
        <v>1</v>
      </c>
      <c r="G1745" s="35">
        <v>0</v>
      </c>
      <c r="H1745" s="35">
        <v>0</v>
      </c>
      <c r="I1745" s="35">
        <f>Tabla1[[#This Row],[P.U. M.N.]]*Tabla1[[#This Row],[CANTIDADES DE REFERENCIA]]</f>
        <v>0</v>
      </c>
      <c r="J1745" s="35">
        <f>Tabla1[[#This Row],[P.U. USD]]*Tabla1[[#This Row],[CANTIDADES DE REFERENCIA]]</f>
        <v>0</v>
      </c>
      <c r="K1745" s="36"/>
      <c r="L1745" s="36"/>
      <c r="M1745" s="36"/>
      <c r="N1745" s="37" t="s">
        <v>392</v>
      </c>
      <c r="O1745" s="37" t="s">
        <v>393</v>
      </c>
      <c r="P1745" s="38"/>
      <c r="Q1745" s="37" t="s">
        <v>3815</v>
      </c>
      <c r="R1745" s="37"/>
      <c r="S1745" s="37" t="s">
        <v>395</v>
      </c>
      <c r="T1745" s="31"/>
    </row>
    <row r="1746" spans="1:20">
      <c r="A1746" s="31"/>
      <c r="B1746" s="32"/>
      <c r="C1746" s="33"/>
      <c r="D1746" s="32" t="s">
        <v>3816</v>
      </c>
      <c r="E1746" s="33" t="s">
        <v>1058</v>
      </c>
      <c r="F1746" s="34">
        <v>1</v>
      </c>
      <c r="G1746" s="35">
        <v>0</v>
      </c>
      <c r="H1746" s="35">
        <v>0</v>
      </c>
      <c r="I1746" s="35">
        <f>Tabla1[[#This Row],[P.U. M.N.]]*Tabla1[[#This Row],[CANTIDADES DE REFERENCIA]]</f>
        <v>0</v>
      </c>
      <c r="J1746" s="35">
        <f>Tabla1[[#This Row],[P.U. USD]]*Tabla1[[#This Row],[CANTIDADES DE REFERENCIA]]</f>
        <v>0</v>
      </c>
      <c r="K1746" s="36"/>
      <c r="L1746" s="36"/>
      <c r="M1746" s="36"/>
      <c r="N1746" s="37" t="s">
        <v>392</v>
      </c>
      <c r="O1746" s="37" t="s">
        <v>393</v>
      </c>
      <c r="P1746" s="38"/>
      <c r="Q1746" s="37" t="s">
        <v>3817</v>
      </c>
      <c r="R1746" s="37"/>
      <c r="S1746" s="37" t="s">
        <v>395</v>
      </c>
      <c r="T1746" s="31"/>
    </row>
    <row r="1747" spans="1:20">
      <c r="A1747" s="31"/>
      <c r="B1747" s="32"/>
      <c r="C1747" s="33"/>
      <c r="D1747" s="32" t="s">
        <v>3818</v>
      </c>
      <c r="E1747" s="33" t="s">
        <v>130</v>
      </c>
      <c r="F1747" s="34">
        <v>1</v>
      </c>
      <c r="G1747" s="35">
        <v>0</v>
      </c>
      <c r="H1747" s="35">
        <v>0</v>
      </c>
      <c r="I1747" s="35">
        <f>Tabla1[[#This Row],[P.U. M.N.]]*Tabla1[[#This Row],[CANTIDADES DE REFERENCIA]]</f>
        <v>0</v>
      </c>
      <c r="J1747" s="35">
        <f>Tabla1[[#This Row],[P.U. USD]]*Tabla1[[#This Row],[CANTIDADES DE REFERENCIA]]</f>
        <v>0</v>
      </c>
      <c r="K1747" s="36"/>
      <c r="L1747" s="36"/>
      <c r="M1747" s="36"/>
      <c r="N1747" s="37" t="s">
        <v>392</v>
      </c>
      <c r="O1747" s="37" t="s">
        <v>393</v>
      </c>
      <c r="P1747" s="38"/>
      <c r="Q1747" s="37" t="s">
        <v>3819</v>
      </c>
      <c r="R1747" s="37"/>
      <c r="S1747" s="37" t="s">
        <v>395</v>
      </c>
      <c r="T1747" s="31"/>
    </row>
    <row r="1748" spans="1:20">
      <c r="A1748" s="31"/>
      <c r="B1748" s="32"/>
      <c r="C1748" s="33"/>
      <c r="D1748" s="32" t="s">
        <v>3820</v>
      </c>
      <c r="E1748" s="33" t="s">
        <v>1058</v>
      </c>
      <c r="F1748" s="34">
        <v>1</v>
      </c>
      <c r="G1748" s="35">
        <v>0</v>
      </c>
      <c r="H1748" s="35">
        <v>0</v>
      </c>
      <c r="I1748" s="35">
        <f>Tabla1[[#This Row],[P.U. M.N.]]*Tabla1[[#This Row],[CANTIDADES DE REFERENCIA]]</f>
        <v>0</v>
      </c>
      <c r="J1748" s="35">
        <f>Tabla1[[#This Row],[P.U. USD]]*Tabla1[[#This Row],[CANTIDADES DE REFERENCIA]]</f>
        <v>0</v>
      </c>
      <c r="K1748" s="36"/>
      <c r="L1748" s="36"/>
      <c r="M1748" s="36"/>
      <c r="N1748" s="37" t="s">
        <v>392</v>
      </c>
      <c r="O1748" s="37" t="s">
        <v>393</v>
      </c>
      <c r="P1748" s="38"/>
      <c r="Q1748" s="37" t="s">
        <v>3821</v>
      </c>
      <c r="R1748" s="37"/>
      <c r="S1748" s="37" t="s">
        <v>395</v>
      </c>
      <c r="T1748" s="31"/>
    </row>
    <row r="1749" spans="1:20">
      <c r="A1749" s="31"/>
      <c r="B1749" s="32"/>
      <c r="C1749" s="33"/>
      <c r="D1749" s="32" t="s">
        <v>3822</v>
      </c>
      <c r="E1749" s="33" t="s">
        <v>116</v>
      </c>
      <c r="F1749" s="34">
        <v>1</v>
      </c>
      <c r="G1749" s="35">
        <v>0</v>
      </c>
      <c r="H1749" s="35">
        <v>0</v>
      </c>
      <c r="I1749" s="35">
        <f>Tabla1[[#This Row],[P.U. M.N.]]*Tabla1[[#This Row],[CANTIDADES DE REFERENCIA]]</f>
        <v>0</v>
      </c>
      <c r="J1749" s="35">
        <f>Tabla1[[#This Row],[P.U. USD]]*Tabla1[[#This Row],[CANTIDADES DE REFERENCIA]]</f>
        <v>0</v>
      </c>
      <c r="K1749" s="36"/>
      <c r="L1749" s="36"/>
      <c r="M1749" s="36"/>
      <c r="N1749" s="37" t="s">
        <v>117</v>
      </c>
      <c r="O1749" s="37" t="s">
        <v>118</v>
      </c>
      <c r="P1749" s="38"/>
      <c r="Q1749" s="37" t="s">
        <v>3823</v>
      </c>
      <c r="R1749" s="37"/>
      <c r="S1749" s="37" t="s">
        <v>120</v>
      </c>
      <c r="T1749" s="31"/>
    </row>
    <row r="1750" spans="1:20">
      <c r="A1750" s="31"/>
      <c r="B1750" s="32"/>
      <c r="C1750" s="33"/>
      <c r="D1750" s="32" t="s">
        <v>3824</v>
      </c>
      <c r="E1750" s="33" t="s">
        <v>116</v>
      </c>
      <c r="F1750" s="34">
        <v>1</v>
      </c>
      <c r="G1750" s="35">
        <v>0</v>
      </c>
      <c r="H1750" s="35">
        <v>0</v>
      </c>
      <c r="I1750" s="35">
        <f>Tabla1[[#This Row],[P.U. M.N.]]*Tabla1[[#This Row],[CANTIDADES DE REFERENCIA]]</f>
        <v>0</v>
      </c>
      <c r="J1750" s="35">
        <f>Tabla1[[#This Row],[P.U. USD]]*Tabla1[[#This Row],[CANTIDADES DE REFERENCIA]]</f>
        <v>0</v>
      </c>
      <c r="K1750" s="36"/>
      <c r="L1750" s="36"/>
      <c r="M1750" s="36"/>
      <c r="N1750" s="37" t="s">
        <v>3477</v>
      </c>
      <c r="O1750" s="37" t="s">
        <v>3478</v>
      </c>
      <c r="P1750" s="38"/>
      <c r="Q1750" s="37" t="s">
        <v>3825</v>
      </c>
      <c r="R1750" s="37"/>
      <c r="S1750" s="37" t="s">
        <v>3610</v>
      </c>
      <c r="T1750" s="31"/>
    </row>
    <row r="1751" spans="1:20">
      <c r="A1751" s="31" t="s">
        <v>3787</v>
      </c>
      <c r="B1751" s="32" t="s">
        <v>3826</v>
      </c>
      <c r="C1751" s="33" t="str">
        <f>Tabla1[[#This Row],[PARTIDA]] &amp; "."</f>
        <v>2C-20.</v>
      </c>
      <c r="D1751" s="32" t="s">
        <v>3827</v>
      </c>
      <c r="E1751" s="33" t="s">
        <v>116</v>
      </c>
      <c r="F1751" s="34">
        <v>1</v>
      </c>
      <c r="G1751" s="35">
        <v>375012.72</v>
      </c>
      <c r="H1751" s="35">
        <v>16.84</v>
      </c>
      <c r="I1751" s="35">
        <f>Tabla1[[#This Row],[P.U. M.N.]]*Tabla1[[#This Row],[CANTIDADES DE REFERENCIA]]</f>
        <v>375012.72</v>
      </c>
      <c r="J1751" s="35">
        <f>Tabla1[[#This Row],[P.U. USD]]*Tabla1[[#This Row],[CANTIDADES DE REFERENCIA]]</f>
        <v>16.84</v>
      </c>
      <c r="K1751" s="36"/>
      <c r="L1751" s="36"/>
      <c r="M1751" s="36"/>
      <c r="N1751" s="37" t="s">
        <v>3790</v>
      </c>
      <c r="O1751" s="37" t="s">
        <v>3791</v>
      </c>
      <c r="P1751" s="39"/>
      <c r="Q1751" s="37" t="s">
        <v>3828</v>
      </c>
      <c r="R1751" s="37"/>
      <c r="S1751" s="37" t="s">
        <v>3793</v>
      </c>
      <c r="T1751" s="31"/>
    </row>
    <row r="1752" spans="1:20">
      <c r="A1752" s="31"/>
      <c r="B1752" s="32"/>
      <c r="C1752" s="33"/>
      <c r="D1752" s="32" t="s">
        <v>3829</v>
      </c>
      <c r="E1752" s="33" t="s">
        <v>116</v>
      </c>
      <c r="F1752" s="34">
        <v>1</v>
      </c>
      <c r="G1752" s="35">
        <v>0</v>
      </c>
      <c r="H1752" s="35">
        <v>0</v>
      </c>
      <c r="I1752" s="35">
        <f>Tabla1[[#This Row],[P.U. M.N.]]*Tabla1[[#This Row],[CANTIDADES DE REFERENCIA]]</f>
        <v>0</v>
      </c>
      <c r="J1752" s="35">
        <f>Tabla1[[#This Row],[P.U. USD]]*Tabla1[[#This Row],[CANTIDADES DE REFERENCIA]]</f>
        <v>0</v>
      </c>
      <c r="K1752" s="36"/>
      <c r="L1752" s="36"/>
      <c r="M1752" s="36"/>
      <c r="N1752" s="37" t="s">
        <v>392</v>
      </c>
      <c r="O1752" s="37" t="s">
        <v>393</v>
      </c>
      <c r="P1752" s="38"/>
      <c r="Q1752" s="37" t="s">
        <v>3830</v>
      </c>
      <c r="R1752" s="37" t="s">
        <v>58</v>
      </c>
      <c r="S1752" s="37" t="s">
        <v>395</v>
      </c>
      <c r="T1752" s="31"/>
    </row>
    <row r="1753" spans="1:20">
      <c r="A1753" s="31"/>
      <c r="B1753" s="32"/>
      <c r="C1753" s="33"/>
      <c r="D1753" s="32" t="s">
        <v>3831</v>
      </c>
      <c r="E1753" s="33" t="s">
        <v>1058</v>
      </c>
      <c r="F1753" s="34">
        <v>1</v>
      </c>
      <c r="G1753" s="35">
        <v>0</v>
      </c>
      <c r="H1753" s="35">
        <v>0</v>
      </c>
      <c r="I1753" s="35">
        <f>Tabla1[[#This Row],[P.U. M.N.]]*Tabla1[[#This Row],[CANTIDADES DE REFERENCIA]]</f>
        <v>0</v>
      </c>
      <c r="J1753" s="35">
        <f>Tabla1[[#This Row],[P.U. USD]]*Tabla1[[#This Row],[CANTIDADES DE REFERENCIA]]</f>
        <v>0</v>
      </c>
      <c r="K1753" s="36"/>
      <c r="L1753" s="36"/>
      <c r="M1753" s="36"/>
      <c r="N1753" s="37" t="s">
        <v>392</v>
      </c>
      <c r="O1753" s="37" t="s">
        <v>393</v>
      </c>
      <c r="P1753" s="38"/>
      <c r="Q1753" s="37" t="s">
        <v>3832</v>
      </c>
      <c r="R1753" s="37" t="s">
        <v>58</v>
      </c>
      <c r="S1753" s="37" t="s">
        <v>395</v>
      </c>
      <c r="T1753" s="31"/>
    </row>
    <row r="1754" spans="1:20">
      <c r="A1754" s="31"/>
      <c r="B1754" s="32"/>
      <c r="C1754" s="33"/>
      <c r="D1754" s="32" t="s">
        <v>3833</v>
      </c>
      <c r="E1754" s="33" t="s">
        <v>42</v>
      </c>
      <c r="F1754" s="34">
        <v>1</v>
      </c>
      <c r="G1754" s="35">
        <v>0</v>
      </c>
      <c r="H1754" s="35">
        <v>0</v>
      </c>
      <c r="I1754" s="35">
        <f>Tabla1[[#This Row],[P.U. M.N.]]*Tabla1[[#This Row],[CANTIDADES DE REFERENCIA]]</f>
        <v>0</v>
      </c>
      <c r="J1754" s="35">
        <f>Tabla1[[#This Row],[P.U. USD]]*Tabla1[[#This Row],[CANTIDADES DE REFERENCIA]]</f>
        <v>0</v>
      </c>
      <c r="K1754" s="36"/>
      <c r="L1754" s="36"/>
      <c r="M1754" s="36"/>
      <c r="N1754" s="37" t="s">
        <v>3477</v>
      </c>
      <c r="O1754" s="37" t="s">
        <v>3478</v>
      </c>
      <c r="P1754" s="38"/>
      <c r="Q1754" s="37" t="s">
        <v>3834</v>
      </c>
      <c r="R1754" s="37"/>
      <c r="S1754" s="37" t="s">
        <v>3610</v>
      </c>
      <c r="T1754" s="31"/>
    </row>
    <row r="1755" spans="1:20">
      <c r="A1755" s="31"/>
      <c r="B1755" s="32"/>
      <c r="C1755" s="33"/>
      <c r="D1755" s="32" t="s">
        <v>3835</v>
      </c>
      <c r="E1755" s="33" t="s">
        <v>42</v>
      </c>
      <c r="F1755" s="34">
        <v>1</v>
      </c>
      <c r="G1755" s="35">
        <v>0</v>
      </c>
      <c r="H1755" s="35">
        <v>0</v>
      </c>
      <c r="I1755" s="35">
        <f>Tabla1[[#This Row],[P.U. M.N.]]*Tabla1[[#This Row],[CANTIDADES DE REFERENCIA]]</f>
        <v>0</v>
      </c>
      <c r="J1755" s="35">
        <f>Tabla1[[#This Row],[P.U. USD]]*Tabla1[[#This Row],[CANTIDADES DE REFERENCIA]]</f>
        <v>0</v>
      </c>
      <c r="K1755" s="36"/>
      <c r="L1755" s="36"/>
      <c r="M1755" s="36"/>
      <c r="N1755" s="37" t="s">
        <v>3836</v>
      </c>
      <c r="O1755" s="37"/>
      <c r="P1755" s="38"/>
      <c r="Q1755" s="37" t="s">
        <v>3837</v>
      </c>
      <c r="R1755" s="37" t="s">
        <v>389</v>
      </c>
      <c r="S1755" s="37" t="s">
        <v>3838</v>
      </c>
      <c r="T1755" s="31"/>
    </row>
    <row r="1756" spans="1:20">
      <c r="A1756" s="31"/>
      <c r="B1756" s="32"/>
      <c r="C1756" s="33"/>
      <c r="D1756" s="32" t="s">
        <v>3839</v>
      </c>
      <c r="E1756" s="33" t="s">
        <v>116</v>
      </c>
      <c r="F1756" s="34">
        <v>1</v>
      </c>
      <c r="G1756" s="35">
        <v>0</v>
      </c>
      <c r="H1756" s="35">
        <v>0</v>
      </c>
      <c r="I1756" s="35">
        <f>Tabla1[[#This Row],[P.U. M.N.]]*Tabla1[[#This Row],[CANTIDADES DE REFERENCIA]]</f>
        <v>0</v>
      </c>
      <c r="J1756" s="35">
        <f>Tabla1[[#This Row],[P.U. USD]]*Tabla1[[#This Row],[CANTIDADES DE REFERENCIA]]</f>
        <v>0</v>
      </c>
      <c r="K1756" s="36"/>
      <c r="L1756" s="36"/>
      <c r="M1756" s="36"/>
      <c r="N1756" s="37"/>
      <c r="O1756" s="37"/>
      <c r="P1756" s="38"/>
      <c r="Q1756" s="37" t="s">
        <v>3840</v>
      </c>
      <c r="R1756" s="37"/>
      <c r="S1756" s="37" t="s">
        <v>559</v>
      </c>
      <c r="T1756" s="31"/>
    </row>
    <row r="1757" spans="1:20">
      <c r="A1757" s="31"/>
      <c r="B1757" s="32"/>
      <c r="C1757" s="33"/>
      <c r="D1757" s="32" t="s">
        <v>3841</v>
      </c>
      <c r="E1757" s="33" t="s">
        <v>116</v>
      </c>
      <c r="F1757" s="34">
        <v>1</v>
      </c>
      <c r="G1757" s="35">
        <v>0</v>
      </c>
      <c r="H1757" s="35">
        <v>0</v>
      </c>
      <c r="I1757" s="35">
        <f>Tabla1[[#This Row],[P.U. M.N.]]*Tabla1[[#This Row],[CANTIDADES DE REFERENCIA]]</f>
        <v>0</v>
      </c>
      <c r="J1757" s="35">
        <f>Tabla1[[#This Row],[P.U. USD]]*Tabla1[[#This Row],[CANTIDADES DE REFERENCIA]]</f>
        <v>0</v>
      </c>
      <c r="K1757" s="36"/>
      <c r="L1757" s="36"/>
      <c r="M1757" s="36"/>
      <c r="N1757" s="37"/>
      <c r="O1757" s="37"/>
      <c r="P1757" s="38"/>
      <c r="Q1757" s="37" t="s">
        <v>3842</v>
      </c>
      <c r="R1757" s="37"/>
      <c r="S1757" s="37" t="s">
        <v>559</v>
      </c>
      <c r="T1757" s="31"/>
    </row>
    <row r="1758" spans="1:20">
      <c r="A1758" s="31"/>
      <c r="B1758" s="32"/>
      <c r="C1758" s="33"/>
      <c r="D1758" s="32" t="s">
        <v>3843</v>
      </c>
      <c r="E1758" s="33" t="s">
        <v>116</v>
      </c>
      <c r="F1758" s="34">
        <v>1</v>
      </c>
      <c r="G1758" s="35">
        <v>0</v>
      </c>
      <c r="H1758" s="35">
        <v>0</v>
      </c>
      <c r="I1758" s="35">
        <f>Tabla1[[#This Row],[P.U. M.N.]]*Tabla1[[#This Row],[CANTIDADES DE REFERENCIA]]</f>
        <v>0</v>
      </c>
      <c r="J1758" s="35">
        <f>Tabla1[[#This Row],[P.U. USD]]*Tabla1[[#This Row],[CANTIDADES DE REFERENCIA]]</f>
        <v>0</v>
      </c>
      <c r="K1758" s="36"/>
      <c r="L1758" s="36"/>
      <c r="M1758" s="36"/>
      <c r="N1758" s="37"/>
      <c r="O1758" s="37"/>
      <c r="P1758" s="38"/>
      <c r="Q1758" s="37" t="s">
        <v>3844</v>
      </c>
      <c r="R1758" s="37"/>
      <c r="S1758" s="37" t="s">
        <v>559</v>
      </c>
      <c r="T1758" s="31"/>
    </row>
    <row r="1759" spans="1:20">
      <c r="A1759" s="31"/>
      <c r="B1759" s="32"/>
      <c r="C1759" s="33"/>
      <c r="D1759" s="32" t="s">
        <v>3845</v>
      </c>
      <c r="E1759" s="33" t="s">
        <v>116</v>
      </c>
      <c r="F1759" s="34">
        <v>1</v>
      </c>
      <c r="G1759" s="35">
        <v>0</v>
      </c>
      <c r="H1759" s="35">
        <v>0</v>
      </c>
      <c r="I1759" s="35">
        <f>Tabla1[[#This Row],[P.U. M.N.]]*Tabla1[[#This Row],[CANTIDADES DE REFERENCIA]]</f>
        <v>0</v>
      </c>
      <c r="J1759" s="35">
        <f>Tabla1[[#This Row],[P.U. USD]]*Tabla1[[#This Row],[CANTIDADES DE REFERENCIA]]</f>
        <v>0</v>
      </c>
      <c r="K1759" s="36"/>
      <c r="L1759" s="36"/>
      <c r="M1759" s="36"/>
      <c r="N1759" s="37"/>
      <c r="O1759" s="37"/>
      <c r="P1759" s="38"/>
      <c r="Q1759" s="37" t="s">
        <v>3846</v>
      </c>
      <c r="R1759" s="37"/>
      <c r="S1759" s="37" t="s">
        <v>559</v>
      </c>
      <c r="T1759" s="31"/>
    </row>
    <row r="1760" spans="1:20">
      <c r="A1760" s="31"/>
      <c r="B1760" s="32"/>
      <c r="C1760" s="33"/>
      <c r="D1760" s="32" t="s">
        <v>3847</v>
      </c>
      <c r="E1760" s="33" t="s">
        <v>116</v>
      </c>
      <c r="F1760" s="34">
        <v>1</v>
      </c>
      <c r="G1760" s="35">
        <v>0</v>
      </c>
      <c r="H1760" s="35">
        <v>0</v>
      </c>
      <c r="I1760" s="35">
        <f>Tabla1[[#This Row],[P.U. M.N.]]*Tabla1[[#This Row],[CANTIDADES DE REFERENCIA]]</f>
        <v>0</v>
      </c>
      <c r="J1760" s="35">
        <f>Tabla1[[#This Row],[P.U. USD]]*Tabla1[[#This Row],[CANTIDADES DE REFERENCIA]]</f>
        <v>0</v>
      </c>
      <c r="K1760" s="36"/>
      <c r="L1760" s="36"/>
      <c r="M1760" s="36"/>
      <c r="N1760" s="37" t="s">
        <v>392</v>
      </c>
      <c r="O1760" s="37" t="s">
        <v>393</v>
      </c>
      <c r="P1760" s="38"/>
      <c r="Q1760" s="37" t="s">
        <v>3848</v>
      </c>
      <c r="R1760" s="37"/>
      <c r="S1760" s="37" t="s">
        <v>395</v>
      </c>
      <c r="T1760" s="31"/>
    </row>
    <row r="1761" spans="1:20">
      <c r="A1761" s="31"/>
      <c r="B1761" s="32"/>
      <c r="C1761" s="33"/>
      <c r="D1761" s="32" t="s">
        <v>3849</v>
      </c>
      <c r="E1761" s="33" t="s">
        <v>116</v>
      </c>
      <c r="F1761" s="34">
        <v>1</v>
      </c>
      <c r="G1761" s="35">
        <v>0</v>
      </c>
      <c r="H1761" s="35">
        <v>0</v>
      </c>
      <c r="I1761" s="35">
        <f>Tabla1[[#This Row],[P.U. M.N.]]*Tabla1[[#This Row],[CANTIDADES DE REFERENCIA]]</f>
        <v>0</v>
      </c>
      <c r="J1761" s="35">
        <f>Tabla1[[#This Row],[P.U. USD]]*Tabla1[[#This Row],[CANTIDADES DE REFERENCIA]]</f>
        <v>0</v>
      </c>
      <c r="K1761" s="36"/>
      <c r="L1761" s="36"/>
      <c r="M1761" s="36"/>
      <c r="N1761" s="37"/>
      <c r="O1761" s="37"/>
      <c r="P1761" s="38"/>
      <c r="Q1761" s="37" t="s">
        <v>3850</v>
      </c>
      <c r="R1761" s="37"/>
      <c r="S1761" s="37" t="s">
        <v>559</v>
      </c>
      <c r="T1761" s="31"/>
    </row>
    <row r="1762" spans="1:20">
      <c r="A1762" s="31"/>
      <c r="B1762" s="32"/>
      <c r="C1762" s="33"/>
      <c r="D1762" s="32" t="s">
        <v>3851</v>
      </c>
      <c r="E1762" s="33" t="s">
        <v>116</v>
      </c>
      <c r="F1762" s="34">
        <v>1</v>
      </c>
      <c r="G1762" s="35">
        <v>0</v>
      </c>
      <c r="H1762" s="35">
        <v>0</v>
      </c>
      <c r="I1762" s="35">
        <f>Tabla1[[#This Row],[P.U. M.N.]]*Tabla1[[#This Row],[CANTIDADES DE REFERENCIA]]</f>
        <v>0</v>
      </c>
      <c r="J1762" s="35">
        <f>Tabla1[[#This Row],[P.U. USD]]*Tabla1[[#This Row],[CANTIDADES DE REFERENCIA]]</f>
        <v>0</v>
      </c>
      <c r="K1762" s="36"/>
      <c r="L1762" s="36"/>
      <c r="M1762" s="36"/>
      <c r="N1762" s="37"/>
      <c r="O1762" s="37"/>
      <c r="P1762" s="38"/>
      <c r="Q1762" s="37" t="s">
        <v>3852</v>
      </c>
      <c r="R1762" s="37"/>
      <c r="S1762" s="37" t="s">
        <v>559</v>
      </c>
      <c r="T1762" s="31"/>
    </row>
    <row r="1763" spans="1:20">
      <c r="A1763" s="31"/>
      <c r="B1763" s="32"/>
      <c r="C1763" s="33"/>
      <c r="D1763" s="32" t="s">
        <v>3853</v>
      </c>
      <c r="E1763" s="33" t="s">
        <v>116</v>
      </c>
      <c r="F1763" s="34">
        <v>1</v>
      </c>
      <c r="G1763" s="35">
        <v>0</v>
      </c>
      <c r="H1763" s="35">
        <v>0</v>
      </c>
      <c r="I1763" s="35">
        <f>Tabla1[[#This Row],[P.U. M.N.]]*Tabla1[[#This Row],[CANTIDADES DE REFERENCIA]]</f>
        <v>0</v>
      </c>
      <c r="J1763" s="35">
        <f>Tabla1[[#This Row],[P.U. USD]]*Tabla1[[#This Row],[CANTIDADES DE REFERENCIA]]</f>
        <v>0</v>
      </c>
      <c r="K1763" s="36"/>
      <c r="L1763" s="36"/>
      <c r="M1763" s="36"/>
      <c r="N1763" s="37"/>
      <c r="O1763" s="37"/>
      <c r="P1763" s="38"/>
      <c r="Q1763" s="37" t="s">
        <v>3854</v>
      </c>
      <c r="R1763" s="37"/>
      <c r="S1763" s="37" t="s">
        <v>559</v>
      </c>
      <c r="T1763" s="31"/>
    </row>
    <row r="1764" spans="1:20">
      <c r="A1764" s="31"/>
      <c r="B1764" s="32"/>
      <c r="C1764" s="33"/>
      <c r="D1764" s="32" t="s">
        <v>3855</v>
      </c>
      <c r="E1764" s="33" t="s">
        <v>116</v>
      </c>
      <c r="F1764" s="34">
        <v>1</v>
      </c>
      <c r="G1764" s="35">
        <v>0</v>
      </c>
      <c r="H1764" s="35">
        <v>0</v>
      </c>
      <c r="I1764" s="35">
        <f>Tabla1[[#This Row],[P.U. M.N.]]*Tabla1[[#This Row],[CANTIDADES DE REFERENCIA]]</f>
        <v>0</v>
      </c>
      <c r="J1764" s="35">
        <f>Tabla1[[#This Row],[P.U. USD]]*Tabla1[[#This Row],[CANTIDADES DE REFERENCIA]]</f>
        <v>0</v>
      </c>
      <c r="K1764" s="36"/>
      <c r="L1764" s="36"/>
      <c r="M1764" s="36"/>
      <c r="N1764" s="37"/>
      <c r="O1764" s="37"/>
      <c r="P1764" s="38"/>
      <c r="Q1764" s="37" t="s">
        <v>3856</v>
      </c>
      <c r="R1764" s="37"/>
      <c r="S1764" s="37" t="s">
        <v>559</v>
      </c>
      <c r="T1764" s="31"/>
    </row>
    <row r="1765" spans="1:20">
      <c r="A1765" s="31"/>
      <c r="B1765" s="32"/>
      <c r="C1765" s="33"/>
      <c r="D1765" s="32" t="s">
        <v>3857</v>
      </c>
      <c r="E1765" s="33" t="s">
        <v>116</v>
      </c>
      <c r="F1765" s="34">
        <v>1</v>
      </c>
      <c r="G1765" s="35">
        <v>0</v>
      </c>
      <c r="H1765" s="35">
        <v>0</v>
      </c>
      <c r="I1765" s="35">
        <f>Tabla1[[#This Row],[P.U. M.N.]]*Tabla1[[#This Row],[CANTIDADES DE REFERENCIA]]</f>
        <v>0</v>
      </c>
      <c r="J1765" s="35">
        <f>Tabla1[[#This Row],[P.U. USD]]*Tabla1[[#This Row],[CANTIDADES DE REFERENCIA]]</f>
        <v>0</v>
      </c>
      <c r="K1765" s="36"/>
      <c r="L1765" s="36"/>
      <c r="M1765" s="36"/>
      <c r="N1765" s="37"/>
      <c r="O1765" s="37"/>
      <c r="P1765" s="38"/>
      <c r="Q1765" s="37" t="s">
        <v>3858</v>
      </c>
      <c r="R1765" s="37"/>
      <c r="S1765" s="37" t="s">
        <v>559</v>
      </c>
      <c r="T1765" s="31"/>
    </row>
    <row r="1766" spans="1:20">
      <c r="A1766" s="31" t="s">
        <v>3787</v>
      </c>
      <c r="B1766" s="32" t="s">
        <v>3859</v>
      </c>
      <c r="C1766" s="33" t="str">
        <f>Tabla1[[#This Row],[PARTIDA]] &amp; "."</f>
        <v>3C-20.</v>
      </c>
      <c r="D1766" s="32" t="s">
        <v>3860</v>
      </c>
      <c r="E1766" s="33" t="s">
        <v>116</v>
      </c>
      <c r="F1766" s="34">
        <v>1</v>
      </c>
      <c r="G1766" s="35">
        <v>734858.1</v>
      </c>
      <c r="H1766" s="35">
        <v>0</v>
      </c>
      <c r="I1766" s="35">
        <f>Tabla1[[#This Row],[P.U. M.N.]]*Tabla1[[#This Row],[CANTIDADES DE REFERENCIA]]</f>
        <v>734858.1</v>
      </c>
      <c r="J1766" s="35">
        <f>Tabla1[[#This Row],[P.U. USD]]*Tabla1[[#This Row],[CANTIDADES DE REFERENCIA]]</f>
        <v>0</v>
      </c>
      <c r="K1766" s="36"/>
      <c r="L1766" s="36"/>
      <c r="M1766" s="36"/>
      <c r="N1766" s="37" t="s">
        <v>3790</v>
      </c>
      <c r="O1766" s="37" t="s">
        <v>3791</v>
      </c>
      <c r="P1766" s="39"/>
      <c r="Q1766" s="37" t="s">
        <v>3861</v>
      </c>
      <c r="R1766" s="37"/>
      <c r="S1766" s="37" t="s">
        <v>3793</v>
      </c>
      <c r="T1766" s="31"/>
    </row>
    <row r="1767" spans="1:20">
      <c r="A1767" s="31"/>
      <c r="B1767" s="32"/>
      <c r="C1767" s="33"/>
      <c r="D1767" s="32" t="s">
        <v>3862</v>
      </c>
      <c r="E1767" s="33" t="s">
        <v>116</v>
      </c>
      <c r="F1767" s="34">
        <v>1</v>
      </c>
      <c r="G1767" s="35">
        <v>0</v>
      </c>
      <c r="H1767" s="35">
        <v>0</v>
      </c>
      <c r="I1767" s="35">
        <f>Tabla1[[#This Row],[P.U. M.N.]]*Tabla1[[#This Row],[CANTIDADES DE REFERENCIA]]</f>
        <v>0</v>
      </c>
      <c r="J1767" s="35">
        <f>Tabla1[[#This Row],[P.U. USD]]*Tabla1[[#This Row],[CANTIDADES DE REFERENCIA]]</f>
        <v>0</v>
      </c>
      <c r="K1767" s="36"/>
      <c r="L1767" s="36"/>
      <c r="M1767" s="36"/>
      <c r="N1767" s="37"/>
      <c r="O1767" s="37"/>
      <c r="P1767" s="38"/>
      <c r="Q1767" s="37" t="s">
        <v>3863</v>
      </c>
      <c r="R1767" s="37"/>
      <c r="S1767" s="37" t="s">
        <v>559</v>
      </c>
      <c r="T1767" s="31"/>
    </row>
    <row r="1768" spans="1:20">
      <c r="A1768" s="31"/>
      <c r="B1768" s="32"/>
      <c r="C1768" s="33"/>
      <c r="D1768" s="32" t="s">
        <v>3864</v>
      </c>
      <c r="E1768" s="33" t="s">
        <v>116</v>
      </c>
      <c r="F1768" s="34">
        <v>1</v>
      </c>
      <c r="G1768" s="35">
        <v>0</v>
      </c>
      <c r="H1768" s="35">
        <v>0</v>
      </c>
      <c r="I1768" s="35">
        <f>Tabla1[[#This Row],[P.U. M.N.]]*Tabla1[[#This Row],[CANTIDADES DE REFERENCIA]]</f>
        <v>0</v>
      </c>
      <c r="J1768" s="35">
        <f>Tabla1[[#This Row],[P.U. USD]]*Tabla1[[#This Row],[CANTIDADES DE REFERENCIA]]</f>
        <v>0</v>
      </c>
      <c r="K1768" s="36"/>
      <c r="L1768" s="36"/>
      <c r="M1768" s="36"/>
      <c r="N1768" s="37"/>
      <c r="O1768" s="37"/>
      <c r="P1768" s="38"/>
      <c r="Q1768" s="37" t="s">
        <v>3865</v>
      </c>
      <c r="R1768" s="37"/>
      <c r="S1768" s="37" t="s">
        <v>559</v>
      </c>
      <c r="T1768" s="31"/>
    </row>
    <row r="1769" spans="1:20">
      <c r="A1769" s="31"/>
      <c r="B1769" s="32"/>
      <c r="C1769" s="33"/>
      <c r="D1769" s="32" t="s">
        <v>3866</v>
      </c>
      <c r="E1769" s="33" t="s">
        <v>135</v>
      </c>
      <c r="F1769" s="34">
        <v>1</v>
      </c>
      <c r="G1769" s="35">
        <v>0</v>
      </c>
      <c r="H1769" s="35">
        <v>0</v>
      </c>
      <c r="I1769" s="35">
        <f>Tabla1[[#This Row],[P.U. M.N.]]*Tabla1[[#This Row],[CANTIDADES DE REFERENCIA]]</f>
        <v>0</v>
      </c>
      <c r="J1769" s="35">
        <f>Tabla1[[#This Row],[P.U. USD]]*Tabla1[[#This Row],[CANTIDADES DE REFERENCIA]]</f>
        <v>0</v>
      </c>
      <c r="K1769" s="36"/>
      <c r="L1769" s="36"/>
      <c r="M1769" s="36"/>
      <c r="N1769" s="37"/>
      <c r="O1769" s="37"/>
      <c r="P1769" s="38"/>
      <c r="Q1769" s="37" t="s">
        <v>3867</v>
      </c>
      <c r="R1769" s="37"/>
      <c r="S1769" s="37" t="s">
        <v>559</v>
      </c>
      <c r="T1769" s="31"/>
    </row>
    <row r="1770" spans="1:20">
      <c r="A1770" s="31"/>
      <c r="B1770" s="32"/>
      <c r="C1770" s="33"/>
      <c r="D1770" s="32" t="s">
        <v>3868</v>
      </c>
      <c r="E1770" s="33" t="s">
        <v>135</v>
      </c>
      <c r="F1770" s="34">
        <v>1</v>
      </c>
      <c r="G1770" s="35">
        <v>0</v>
      </c>
      <c r="H1770" s="35">
        <v>0</v>
      </c>
      <c r="I1770" s="35">
        <f>Tabla1[[#This Row],[P.U. M.N.]]*Tabla1[[#This Row],[CANTIDADES DE REFERENCIA]]</f>
        <v>0</v>
      </c>
      <c r="J1770" s="35">
        <f>Tabla1[[#This Row],[P.U. USD]]*Tabla1[[#This Row],[CANTIDADES DE REFERENCIA]]</f>
        <v>0</v>
      </c>
      <c r="K1770" s="36"/>
      <c r="L1770" s="36"/>
      <c r="M1770" s="36"/>
      <c r="N1770" s="37"/>
      <c r="O1770" s="37"/>
      <c r="P1770" s="38"/>
      <c r="Q1770" s="37" t="s">
        <v>3869</v>
      </c>
      <c r="R1770" s="37"/>
      <c r="S1770" s="37" t="s">
        <v>559</v>
      </c>
      <c r="T1770" s="31"/>
    </row>
    <row r="1771" spans="1:20">
      <c r="A1771" s="31"/>
      <c r="B1771" s="32"/>
      <c r="C1771" s="33"/>
      <c r="D1771" s="32" t="s">
        <v>3870</v>
      </c>
      <c r="E1771" s="33" t="s">
        <v>367</v>
      </c>
      <c r="F1771" s="34">
        <v>1</v>
      </c>
      <c r="G1771" s="35">
        <v>0</v>
      </c>
      <c r="H1771" s="35">
        <v>0</v>
      </c>
      <c r="I1771" s="35">
        <f>Tabla1[[#This Row],[P.U. M.N.]]*Tabla1[[#This Row],[CANTIDADES DE REFERENCIA]]</f>
        <v>0</v>
      </c>
      <c r="J1771" s="35">
        <f>Tabla1[[#This Row],[P.U. USD]]*Tabla1[[#This Row],[CANTIDADES DE REFERENCIA]]</f>
        <v>0</v>
      </c>
      <c r="K1771" s="36"/>
      <c r="L1771" s="36"/>
      <c r="M1771" s="36"/>
      <c r="N1771" s="37"/>
      <c r="O1771" s="37"/>
      <c r="P1771" s="38"/>
      <c r="Q1771" s="37" t="s">
        <v>3871</v>
      </c>
      <c r="R1771" s="37"/>
      <c r="S1771" s="37" t="s">
        <v>559</v>
      </c>
      <c r="T1771" s="31"/>
    </row>
    <row r="1772" spans="1:20">
      <c r="A1772" s="31"/>
      <c r="B1772" s="32"/>
      <c r="C1772" s="33"/>
      <c r="D1772" s="32" t="s">
        <v>3872</v>
      </c>
      <c r="E1772" s="33" t="s">
        <v>135</v>
      </c>
      <c r="F1772" s="34">
        <v>1</v>
      </c>
      <c r="G1772" s="35">
        <v>0</v>
      </c>
      <c r="H1772" s="35">
        <v>0</v>
      </c>
      <c r="I1772" s="35">
        <f>Tabla1[[#This Row],[P.U. M.N.]]*Tabla1[[#This Row],[CANTIDADES DE REFERENCIA]]</f>
        <v>0</v>
      </c>
      <c r="J1772" s="35">
        <f>Tabla1[[#This Row],[P.U. USD]]*Tabla1[[#This Row],[CANTIDADES DE REFERENCIA]]</f>
        <v>0</v>
      </c>
      <c r="K1772" s="36"/>
      <c r="L1772" s="36"/>
      <c r="M1772" s="36"/>
      <c r="N1772" s="37"/>
      <c r="O1772" s="37"/>
      <c r="P1772" s="38"/>
      <c r="Q1772" s="37" t="s">
        <v>3873</v>
      </c>
      <c r="R1772" s="37"/>
      <c r="S1772" s="37" t="s">
        <v>559</v>
      </c>
      <c r="T1772" s="31"/>
    </row>
    <row r="1773" spans="1:20">
      <c r="A1773" s="31"/>
      <c r="B1773" s="32"/>
      <c r="C1773" s="33"/>
      <c r="D1773" s="32" t="s">
        <v>3874</v>
      </c>
      <c r="E1773" s="33" t="s">
        <v>116</v>
      </c>
      <c r="F1773" s="34">
        <v>1</v>
      </c>
      <c r="G1773" s="35">
        <v>0</v>
      </c>
      <c r="H1773" s="35">
        <v>0</v>
      </c>
      <c r="I1773" s="35">
        <f>Tabla1[[#This Row],[P.U. M.N.]]*Tabla1[[#This Row],[CANTIDADES DE REFERENCIA]]</f>
        <v>0</v>
      </c>
      <c r="J1773" s="35">
        <f>Tabla1[[#This Row],[P.U. USD]]*Tabla1[[#This Row],[CANTIDADES DE REFERENCIA]]</f>
        <v>0</v>
      </c>
      <c r="K1773" s="36"/>
      <c r="L1773" s="36"/>
      <c r="M1773" s="36"/>
      <c r="N1773" s="37" t="s">
        <v>455</v>
      </c>
      <c r="O1773" s="37" t="s">
        <v>456</v>
      </c>
      <c r="P1773" s="38"/>
      <c r="Q1773" s="37" t="s">
        <v>3875</v>
      </c>
      <c r="R1773" s="37"/>
      <c r="S1773" s="37" t="s">
        <v>458</v>
      </c>
      <c r="T1773" s="31"/>
    </row>
    <row r="1774" spans="1:20">
      <c r="A1774" s="31"/>
      <c r="B1774" s="32"/>
      <c r="C1774" s="33"/>
      <c r="D1774" s="32" t="s">
        <v>3876</v>
      </c>
      <c r="E1774" s="33" t="s">
        <v>116</v>
      </c>
      <c r="F1774" s="34">
        <v>1</v>
      </c>
      <c r="G1774" s="35">
        <v>0</v>
      </c>
      <c r="H1774" s="35">
        <v>0</v>
      </c>
      <c r="I1774" s="35">
        <f>Tabla1[[#This Row],[P.U. M.N.]]*Tabla1[[#This Row],[CANTIDADES DE REFERENCIA]]</f>
        <v>0</v>
      </c>
      <c r="J1774" s="35">
        <f>Tabla1[[#This Row],[P.U. USD]]*Tabla1[[#This Row],[CANTIDADES DE REFERENCIA]]</f>
        <v>0</v>
      </c>
      <c r="K1774" s="36"/>
      <c r="L1774" s="36"/>
      <c r="M1774" s="36"/>
      <c r="N1774" s="37" t="s">
        <v>455</v>
      </c>
      <c r="O1774" s="37" t="s">
        <v>456</v>
      </c>
      <c r="P1774" s="38"/>
      <c r="Q1774" s="37" t="s">
        <v>3877</v>
      </c>
      <c r="R1774" s="37"/>
      <c r="S1774" s="37" t="s">
        <v>458</v>
      </c>
      <c r="T1774" s="31"/>
    </row>
    <row r="1775" spans="1:20">
      <c r="A1775" s="31"/>
      <c r="B1775" s="32"/>
      <c r="C1775" s="33"/>
      <c r="D1775" s="32" t="s">
        <v>3878</v>
      </c>
      <c r="E1775" s="33" t="s">
        <v>116</v>
      </c>
      <c r="F1775" s="34">
        <v>1</v>
      </c>
      <c r="G1775" s="35">
        <v>0</v>
      </c>
      <c r="H1775" s="35">
        <v>0</v>
      </c>
      <c r="I1775" s="35">
        <f>Tabla1[[#This Row],[P.U. M.N.]]*Tabla1[[#This Row],[CANTIDADES DE REFERENCIA]]</f>
        <v>0</v>
      </c>
      <c r="J1775" s="35">
        <f>Tabla1[[#This Row],[P.U. USD]]*Tabla1[[#This Row],[CANTIDADES DE REFERENCIA]]</f>
        <v>0</v>
      </c>
      <c r="K1775" s="36"/>
      <c r="L1775" s="36"/>
      <c r="M1775" s="36"/>
      <c r="N1775" s="37" t="s">
        <v>455</v>
      </c>
      <c r="O1775" s="37" t="s">
        <v>456</v>
      </c>
      <c r="P1775" s="38"/>
      <c r="Q1775" s="37" t="s">
        <v>3879</v>
      </c>
      <c r="R1775" s="37"/>
      <c r="S1775" s="37" t="s">
        <v>458</v>
      </c>
      <c r="T1775" s="31"/>
    </row>
    <row r="1776" spans="1:20">
      <c r="A1776" s="31"/>
      <c r="B1776" s="32"/>
      <c r="C1776" s="33"/>
      <c r="D1776" s="32" t="s">
        <v>3880</v>
      </c>
      <c r="E1776" s="33" t="s">
        <v>116</v>
      </c>
      <c r="F1776" s="34">
        <v>1</v>
      </c>
      <c r="G1776" s="35">
        <v>0</v>
      </c>
      <c r="H1776" s="35">
        <v>0</v>
      </c>
      <c r="I1776" s="35">
        <f>Tabla1[[#This Row],[P.U. M.N.]]*Tabla1[[#This Row],[CANTIDADES DE REFERENCIA]]</f>
        <v>0</v>
      </c>
      <c r="J1776" s="35">
        <f>Tabla1[[#This Row],[P.U. USD]]*Tabla1[[#This Row],[CANTIDADES DE REFERENCIA]]</f>
        <v>0</v>
      </c>
      <c r="K1776" s="36"/>
      <c r="L1776" s="36"/>
      <c r="M1776" s="36"/>
      <c r="N1776" s="37" t="s">
        <v>455</v>
      </c>
      <c r="O1776" s="37" t="s">
        <v>456</v>
      </c>
      <c r="P1776" s="38"/>
      <c r="Q1776" s="37" t="s">
        <v>3881</v>
      </c>
      <c r="R1776" s="37"/>
      <c r="S1776" s="37" t="s">
        <v>458</v>
      </c>
      <c r="T1776" s="31"/>
    </row>
    <row r="1777" spans="1:20">
      <c r="A1777" s="31"/>
      <c r="B1777" s="32"/>
      <c r="C1777" s="33"/>
      <c r="D1777" s="32" t="s">
        <v>3882</v>
      </c>
      <c r="E1777" s="33" t="s">
        <v>116</v>
      </c>
      <c r="F1777" s="34">
        <v>1</v>
      </c>
      <c r="G1777" s="35">
        <v>0</v>
      </c>
      <c r="H1777" s="35">
        <v>0</v>
      </c>
      <c r="I1777" s="35">
        <f>Tabla1[[#This Row],[P.U. M.N.]]*Tabla1[[#This Row],[CANTIDADES DE REFERENCIA]]</f>
        <v>0</v>
      </c>
      <c r="J1777" s="35">
        <f>Tabla1[[#This Row],[P.U. USD]]*Tabla1[[#This Row],[CANTIDADES DE REFERENCIA]]</f>
        <v>0</v>
      </c>
      <c r="K1777" s="36"/>
      <c r="L1777" s="36"/>
      <c r="M1777" s="36"/>
      <c r="N1777" s="37" t="s">
        <v>455</v>
      </c>
      <c r="O1777" s="37" t="s">
        <v>456</v>
      </c>
      <c r="P1777" s="38"/>
      <c r="Q1777" s="37" t="s">
        <v>3883</v>
      </c>
      <c r="R1777" s="37"/>
      <c r="S1777" s="37" t="s">
        <v>458</v>
      </c>
      <c r="T1777" s="31"/>
    </row>
    <row r="1778" spans="1:20">
      <c r="A1778" s="31"/>
      <c r="B1778" s="32"/>
      <c r="C1778" s="33"/>
      <c r="D1778" s="32" t="s">
        <v>3884</v>
      </c>
      <c r="E1778" s="33" t="s">
        <v>116</v>
      </c>
      <c r="F1778" s="34">
        <v>1</v>
      </c>
      <c r="G1778" s="35">
        <v>0</v>
      </c>
      <c r="H1778" s="35">
        <v>0</v>
      </c>
      <c r="I1778" s="35">
        <f>Tabla1[[#This Row],[P.U. M.N.]]*Tabla1[[#This Row],[CANTIDADES DE REFERENCIA]]</f>
        <v>0</v>
      </c>
      <c r="J1778" s="35">
        <f>Tabla1[[#This Row],[P.U. USD]]*Tabla1[[#This Row],[CANTIDADES DE REFERENCIA]]</f>
        <v>0</v>
      </c>
      <c r="K1778" s="36"/>
      <c r="L1778" s="36"/>
      <c r="M1778" s="36"/>
      <c r="N1778" s="37" t="s">
        <v>455</v>
      </c>
      <c r="O1778" s="37" t="s">
        <v>456</v>
      </c>
      <c r="P1778" s="38"/>
      <c r="Q1778" s="37" t="s">
        <v>3885</v>
      </c>
      <c r="R1778" s="37"/>
      <c r="S1778" s="37" t="s">
        <v>458</v>
      </c>
      <c r="T1778" s="31"/>
    </row>
    <row r="1779" spans="1:20">
      <c r="A1779" s="31"/>
      <c r="B1779" s="32"/>
      <c r="C1779" s="33"/>
      <c r="D1779" s="32" t="s">
        <v>3886</v>
      </c>
      <c r="E1779" s="33" t="s">
        <v>116</v>
      </c>
      <c r="F1779" s="34">
        <v>1</v>
      </c>
      <c r="G1779" s="35">
        <v>0</v>
      </c>
      <c r="H1779" s="35">
        <v>0</v>
      </c>
      <c r="I1779" s="35">
        <f>Tabla1[[#This Row],[P.U. M.N.]]*Tabla1[[#This Row],[CANTIDADES DE REFERENCIA]]</f>
        <v>0</v>
      </c>
      <c r="J1779" s="35">
        <f>Tabla1[[#This Row],[P.U. USD]]*Tabla1[[#This Row],[CANTIDADES DE REFERENCIA]]</f>
        <v>0</v>
      </c>
      <c r="K1779" s="36"/>
      <c r="L1779" s="36"/>
      <c r="M1779" s="36"/>
      <c r="N1779" s="37" t="s">
        <v>455</v>
      </c>
      <c r="O1779" s="37" t="s">
        <v>456</v>
      </c>
      <c r="P1779" s="38"/>
      <c r="Q1779" s="37" t="s">
        <v>3887</v>
      </c>
      <c r="R1779" s="37"/>
      <c r="S1779" s="37" t="s">
        <v>458</v>
      </c>
      <c r="T1779" s="31"/>
    </row>
    <row r="1780" spans="1:20">
      <c r="A1780" s="31"/>
      <c r="B1780" s="32"/>
      <c r="C1780" s="33"/>
      <c r="D1780" s="32" t="s">
        <v>3888</v>
      </c>
      <c r="E1780" s="33" t="s">
        <v>116</v>
      </c>
      <c r="F1780" s="34">
        <v>1</v>
      </c>
      <c r="G1780" s="35">
        <v>0</v>
      </c>
      <c r="H1780" s="35">
        <v>0</v>
      </c>
      <c r="I1780" s="35">
        <f>Tabla1[[#This Row],[P.U. M.N.]]*Tabla1[[#This Row],[CANTIDADES DE REFERENCIA]]</f>
        <v>0</v>
      </c>
      <c r="J1780" s="35">
        <f>Tabla1[[#This Row],[P.U. USD]]*Tabla1[[#This Row],[CANTIDADES DE REFERENCIA]]</f>
        <v>0</v>
      </c>
      <c r="K1780" s="36"/>
      <c r="L1780" s="36"/>
      <c r="M1780" s="36"/>
      <c r="N1780" s="37" t="s">
        <v>455</v>
      </c>
      <c r="O1780" s="37" t="s">
        <v>456</v>
      </c>
      <c r="P1780" s="38"/>
      <c r="Q1780" s="37" t="s">
        <v>3889</v>
      </c>
      <c r="R1780" s="37"/>
      <c r="S1780" s="37" t="s">
        <v>458</v>
      </c>
      <c r="T1780" s="31"/>
    </row>
    <row r="1781" spans="1:20">
      <c r="A1781" s="31"/>
      <c r="B1781" s="32"/>
      <c r="C1781" s="33"/>
      <c r="D1781" s="32" t="s">
        <v>3890</v>
      </c>
      <c r="E1781" s="33" t="s">
        <v>116</v>
      </c>
      <c r="F1781" s="34">
        <v>1</v>
      </c>
      <c r="G1781" s="35">
        <v>0</v>
      </c>
      <c r="H1781" s="35">
        <v>0</v>
      </c>
      <c r="I1781" s="35">
        <f>Tabla1[[#This Row],[P.U. M.N.]]*Tabla1[[#This Row],[CANTIDADES DE REFERENCIA]]</f>
        <v>0</v>
      </c>
      <c r="J1781" s="35">
        <f>Tabla1[[#This Row],[P.U. USD]]*Tabla1[[#This Row],[CANTIDADES DE REFERENCIA]]</f>
        <v>0</v>
      </c>
      <c r="K1781" s="36"/>
      <c r="L1781" s="36"/>
      <c r="M1781" s="36"/>
      <c r="N1781" s="37" t="s">
        <v>455</v>
      </c>
      <c r="O1781" s="37" t="s">
        <v>456</v>
      </c>
      <c r="P1781" s="38"/>
      <c r="Q1781" s="37" t="s">
        <v>3891</v>
      </c>
      <c r="R1781" s="37"/>
      <c r="S1781" s="37" t="s">
        <v>458</v>
      </c>
      <c r="T1781" s="31"/>
    </row>
    <row r="1782" spans="1:20">
      <c r="A1782" s="31"/>
      <c r="B1782" s="32"/>
      <c r="C1782" s="33"/>
      <c r="D1782" s="32" t="s">
        <v>3892</v>
      </c>
      <c r="E1782" s="33" t="s">
        <v>116</v>
      </c>
      <c r="F1782" s="34">
        <v>1</v>
      </c>
      <c r="G1782" s="35">
        <v>0</v>
      </c>
      <c r="H1782" s="35">
        <v>0</v>
      </c>
      <c r="I1782" s="35">
        <f>Tabla1[[#This Row],[P.U. M.N.]]*Tabla1[[#This Row],[CANTIDADES DE REFERENCIA]]</f>
        <v>0</v>
      </c>
      <c r="J1782" s="35">
        <f>Tabla1[[#This Row],[P.U. USD]]*Tabla1[[#This Row],[CANTIDADES DE REFERENCIA]]</f>
        <v>0</v>
      </c>
      <c r="K1782" s="36"/>
      <c r="L1782" s="36"/>
      <c r="M1782" s="36"/>
      <c r="N1782" s="37" t="s">
        <v>455</v>
      </c>
      <c r="O1782" s="37" t="s">
        <v>456</v>
      </c>
      <c r="P1782" s="38"/>
      <c r="Q1782" s="37" t="s">
        <v>3893</v>
      </c>
      <c r="R1782" s="37"/>
      <c r="S1782" s="37" t="s">
        <v>458</v>
      </c>
      <c r="T1782" s="31"/>
    </row>
    <row r="1783" spans="1:20">
      <c r="A1783" s="31"/>
      <c r="B1783" s="32"/>
      <c r="C1783" s="33"/>
      <c r="D1783" s="32" t="s">
        <v>3894</v>
      </c>
      <c r="E1783" s="33" t="s">
        <v>116</v>
      </c>
      <c r="F1783" s="34">
        <v>1</v>
      </c>
      <c r="G1783" s="35">
        <v>0</v>
      </c>
      <c r="H1783" s="35">
        <v>0</v>
      </c>
      <c r="I1783" s="35">
        <f>Tabla1[[#This Row],[P.U. M.N.]]*Tabla1[[#This Row],[CANTIDADES DE REFERENCIA]]</f>
        <v>0</v>
      </c>
      <c r="J1783" s="35">
        <f>Tabla1[[#This Row],[P.U. USD]]*Tabla1[[#This Row],[CANTIDADES DE REFERENCIA]]</f>
        <v>0</v>
      </c>
      <c r="K1783" s="36"/>
      <c r="L1783" s="36"/>
      <c r="M1783" s="36"/>
      <c r="N1783" s="37" t="s">
        <v>455</v>
      </c>
      <c r="O1783" s="37" t="s">
        <v>456</v>
      </c>
      <c r="P1783" s="38"/>
      <c r="Q1783" s="37" t="s">
        <v>3895</v>
      </c>
      <c r="R1783" s="37"/>
      <c r="S1783" s="37" t="s">
        <v>458</v>
      </c>
      <c r="T1783" s="31"/>
    </row>
    <row r="1784" spans="1:20">
      <c r="A1784" s="31"/>
      <c r="B1784" s="32"/>
      <c r="C1784" s="33"/>
      <c r="D1784" s="32" t="s">
        <v>3896</v>
      </c>
      <c r="E1784" s="33" t="s">
        <v>116</v>
      </c>
      <c r="F1784" s="34">
        <v>1</v>
      </c>
      <c r="G1784" s="35">
        <v>0</v>
      </c>
      <c r="H1784" s="35">
        <v>0</v>
      </c>
      <c r="I1784" s="35">
        <f>Tabla1[[#This Row],[P.U. M.N.]]*Tabla1[[#This Row],[CANTIDADES DE REFERENCIA]]</f>
        <v>0</v>
      </c>
      <c r="J1784" s="35">
        <f>Tabla1[[#This Row],[P.U. USD]]*Tabla1[[#This Row],[CANTIDADES DE REFERENCIA]]</f>
        <v>0</v>
      </c>
      <c r="K1784" s="36"/>
      <c r="L1784" s="36"/>
      <c r="M1784" s="36"/>
      <c r="N1784" s="37" t="s">
        <v>455</v>
      </c>
      <c r="O1784" s="37" t="s">
        <v>456</v>
      </c>
      <c r="P1784" s="38"/>
      <c r="Q1784" s="37" t="s">
        <v>3897</v>
      </c>
      <c r="R1784" s="37"/>
      <c r="S1784" s="37" t="s">
        <v>458</v>
      </c>
      <c r="T1784" s="31"/>
    </row>
    <row r="1785" spans="1:20">
      <c r="A1785" s="31"/>
      <c r="B1785" s="32"/>
      <c r="C1785" s="33"/>
      <c r="D1785" s="32" t="s">
        <v>3898</v>
      </c>
      <c r="E1785" s="33" t="s">
        <v>116</v>
      </c>
      <c r="F1785" s="34">
        <v>1</v>
      </c>
      <c r="G1785" s="35">
        <v>0</v>
      </c>
      <c r="H1785" s="35">
        <v>0</v>
      </c>
      <c r="I1785" s="35">
        <f>Tabla1[[#This Row],[P.U. M.N.]]*Tabla1[[#This Row],[CANTIDADES DE REFERENCIA]]</f>
        <v>0</v>
      </c>
      <c r="J1785" s="35">
        <f>Tabla1[[#This Row],[P.U. USD]]*Tabla1[[#This Row],[CANTIDADES DE REFERENCIA]]</f>
        <v>0</v>
      </c>
      <c r="K1785" s="36"/>
      <c r="L1785" s="36"/>
      <c r="M1785" s="36"/>
      <c r="N1785" s="37" t="s">
        <v>455</v>
      </c>
      <c r="O1785" s="37" t="s">
        <v>456</v>
      </c>
      <c r="P1785" s="38"/>
      <c r="Q1785" s="37" t="s">
        <v>3899</v>
      </c>
      <c r="R1785" s="37"/>
      <c r="S1785" s="37" t="s">
        <v>458</v>
      </c>
      <c r="T1785" s="31"/>
    </row>
    <row r="1786" spans="1:20">
      <c r="A1786" s="31"/>
      <c r="B1786" s="32"/>
      <c r="C1786" s="33"/>
      <c r="D1786" s="32" t="s">
        <v>3900</v>
      </c>
      <c r="E1786" s="33" t="s">
        <v>116</v>
      </c>
      <c r="F1786" s="34">
        <v>1</v>
      </c>
      <c r="G1786" s="35">
        <v>0</v>
      </c>
      <c r="H1786" s="35">
        <v>0</v>
      </c>
      <c r="I1786" s="35">
        <f>Tabla1[[#This Row],[P.U. M.N.]]*Tabla1[[#This Row],[CANTIDADES DE REFERENCIA]]</f>
        <v>0</v>
      </c>
      <c r="J1786" s="35">
        <f>Tabla1[[#This Row],[P.U. USD]]*Tabla1[[#This Row],[CANTIDADES DE REFERENCIA]]</f>
        <v>0</v>
      </c>
      <c r="K1786" s="36"/>
      <c r="L1786" s="36"/>
      <c r="M1786" s="36"/>
      <c r="N1786" s="37" t="s">
        <v>455</v>
      </c>
      <c r="O1786" s="37" t="s">
        <v>456</v>
      </c>
      <c r="P1786" s="38"/>
      <c r="Q1786" s="37" t="s">
        <v>3901</v>
      </c>
      <c r="R1786" s="37"/>
      <c r="S1786" s="37" t="s">
        <v>458</v>
      </c>
      <c r="T1786" s="31"/>
    </row>
    <row r="1787" spans="1:20">
      <c r="A1787" s="31"/>
      <c r="B1787" s="32"/>
      <c r="C1787" s="33"/>
      <c r="D1787" s="32" t="s">
        <v>3902</v>
      </c>
      <c r="E1787" s="33" t="s">
        <v>116</v>
      </c>
      <c r="F1787" s="34">
        <v>1</v>
      </c>
      <c r="G1787" s="35">
        <v>0</v>
      </c>
      <c r="H1787" s="35">
        <v>0</v>
      </c>
      <c r="I1787" s="35">
        <f>Tabla1[[#This Row],[P.U. M.N.]]*Tabla1[[#This Row],[CANTIDADES DE REFERENCIA]]</f>
        <v>0</v>
      </c>
      <c r="J1787" s="35">
        <f>Tabla1[[#This Row],[P.U. USD]]*Tabla1[[#This Row],[CANTIDADES DE REFERENCIA]]</f>
        <v>0</v>
      </c>
      <c r="K1787" s="36"/>
      <c r="L1787" s="36"/>
      <c r="M1787" s="36"/>
      <c r="N1787" s="37" t="s">
        <v>455</v>
      </c>
      <c r="O1787" s="37" t="s">
        <v>456</v>
      </c>
      <c r="P1787" s="38"/>
      <c r="Q1787" s="37" t="s">
        <v>3903</v>
      </c>
      <c r="R1787" s="37"/>
      <c r="S1787" s="37" t="s">
        <v>458</v>
      </c>
      <c r="T1787" s="31"/>
    </row>
    <row r="1788" spans="1:20">
      <c r="A1788" s="31"/>
      <c r="B1788" s="32"/>
      <c r="C1788" s="33"/>
      <c r="D1788" s="32" t="s">
        <v>3904</v>
      </c>
      <c r="E1788" s="33" t="s">
        <v>116</v>
      </c>
      <c r="F1788" s="34">
        <v>1</v>
      </c>
      <c r="G1788" s="35">
        <v>0</v>
      </c>
      <c r="H1788" s="35">
        <v>0</v>
      </c>
      <c r="I1788" s="35">
        <f>Tabla1[[#This Row],[P.U. M.N.]]*Tabla1[[#This Row],[CANTIDADES DE REFERENCIA]]</f>
        <v>0</v>
      </c>
      <c r="J1788" s="35">
        <f>Tabla1[[#This Row],[P.U. USD]]*Tabla1[[#This Row],[CANTIDADES DE REFERENCIA]]</f>
        <v>0</v>
      </c>
      <c r="K1788" s="36"/>
      <c r="L1788" s="36"/>
      <c r="M1788" s="36"/>
      <c r="N1788" s="37" t="s">
        <v>455</v>
      </c>
      <c r="O1788" s="37" t="s">
        <v>456</v>
      </c>
      <c r="P1788" s="38"/>
      <c r="Q1788" s="37" t="s">
        <v>3905</v>
      </c>
      <c r="R1788" s="37"/>
      <c r="S1788" s="37" t="s">
        <v>458</v>
      </c>
      <c r="T1788" s="31"/>
    </row>
    <row r="1789" spans="1:20">
      <c r="A1789" s="31"/>
      <c r="B1789" s="32"/>
      <c r="C1789" s="33"/>
      <c r="D1789" s="32" t="s">
        <v>3906</v>
      </c>
      <c r="E1789" s="33" t="s">
        <v>116</v>
      </c>
      <c r="F1789" s="34">
        <v>1</v>
      </c>
      <c r="G1789" s="35">
        <v>0</v>
      </c>
      <c r="H1789" s="35">
        <v>0</v>
      </c>
      <c r="I1789" s="35">
        <f>Tabla1[[#This Row],[P.U. M.N.]]*Tabla1[[#This Row],[CANTIDADES DE REFERENCIA]]</f>
        <v>0</v>
      </c>
      <c r="J1789" s="35">
        <f>Tabla1[[#This Row],[P.U. USD]]*Tabla1[[#This Row],[CANTIDADES DE REFERENCIA]]</f>
        <v>0</v>
      </c>
      <c r="K1789" s="36"/>
      <c r="L1789" s="36"/>
      <c r="M1789" s="36"/>
      <c r="N1789" s="37" t="s">
        <v>455</v>
      </c>
      <c r="O1789" s="37" t="s">
        <v>456</v>
      </c>
      <c r="P1789" s="38"/>
      <c r="Q1789" s="37" t="s">
        <v>3907</v>
      </c>
      <c r="R1789" s="37"/>
      <c r="S1789" s="37" t="s">
        <v>458</v>
      </c>
      <c r="T1789" s="31"/>
    </row>
    <row r="1790" spans="1:20">
      <c r="A1790" s="31"/>
      <c r="B1790" s="32"/>
      <c r="C1790" s="33"/>
      <c r="D1790" s="32" t="s">
        <v>3908</v>
      </c>
      <c r="E1790" s="33" t="s">
        <v>116</v>
      </c>
      <c r="F1790" s="34">
        <v>1</v>
      </c>
      <c r="G1790" s="35">
        <v>0</v>
      </c>
      <c r="H1790" s="35">
        <v>0</v>
      </c>
      <c r="I1790" s="35">
        <f>Tabla1[[#This Row],[P.U. M.N.]]*Tabla1[[#This Row],[CANTIDADES DE REFERENCIA]]</f>
        <v>0</v>
      </c>
      <c r="J1790" s="35">
        <f>Tabla1[[#This Row],[P.U. USD]]*Tabla1[[#This Row],[CANTIDADES DE REFERENCIA]]</f>
        <v>0</v>
      </c>
      <c r="K1790" s="36"/>
      <c r="L1790" s="36"/>
      <c r="M1790" s="36"/>
      <c r="N1790" s="37" t="s">
        <v>455</v>
      </c>
      <c r="O1790" s="37" t="s">
        <v>456</v>
      </c>
      <c r="P1790" s="38"/>
      <c r="Q1790" s="37" t="s">
        <v>3909</v>
      </c>
      <c r="R1790" s="37"/>
      <c r="S1790" s="37" t="s">
        <v>458</v>
      </c>
      <c r="T1790" s="31"/>
    </row>
    <row r="1791" spans="1:20">
      <c r="A1791" s="31"/>
      <c r="B1791" s="32"/>
      <c r="C1791" s="33"/>
      <c r="D1791" s="32" t="s">
        <v>3910</v>
      </c>
      <c r="E1791" s="33" t="s">
        <v>116</v>
      </c>
      <c r="F1791" s="34">
        <v>1</v>
      </c>
      <c r="G1791" s="35">
        <v>0</v>
      </c>
      <c r="H1791" s="35">
        <v>0</v>
      </c>
      <c r="I1791" s="35">
        <f>Tabla1[[#This Row],[P.U. M.N.]]*Tabla1[[#This Row],[CANTIDADES DE REFERENCIA]]</f>
        <v>0</v>
      </c>
      <c r="J1791" s="35">
        <f>Tabla1[[#This Row],[P.U. USD]]*Tabla1[[#This Row],[CANTIDADES DE REFERENCIA]]</f>
        <v>0</v>
      </c>
      <c r="K1791" s="36"/>
      <c r="L1791" s="36"/>
      <c r="M1791" s="36"/>
      <c r="N1791" s="37" t="s">
        <v>455</v>
      </c>
      <c r="O1791" s="37" t="s">
        <v>456</v>
      </c>
      <c r="P1791" s="38"/>
      <c r="Q1791" s="37" t="s">
        <v>3911</v>
      </c>
      <c r="R1791" s="37"/>
      <c r="S1791" s="37" t="s">
        <v>458</v>
      </c>
      <c r="T1791" s="31"/>
    </row>
    <row r="1792" spans="1:20">
      <c r="A1792" s="31"/>
      <c r="B1792" s="32"/>
      <c r="C1792" s="33"/>
      <c r="D1792" s="32" t="s">
        <v>3912</v>
      </c>
      <c r="E1792" s="33" t="s">
        <v>116</v>
      </c>
      <c r="F1792" s="34">
        <v>1</v>
      </c>
      <c r="G1792" s="35">
        <v>0</v>
      </c>
      <c r="H1792" s="35">
        <v>0</v>
      </c>
      <c r="I1792" s="35">
        <f>Tabla1[[#This Row],[P.U. M.N.]]*Tabla1[[#This Row],[CANTIDADES DE REFERENCIA]]</f>
        <v>0</v>
      </c>
      <c r="J1792" s="35">
        <f>Tabla1[[#This Row],[P.U. USD]]*Tabla1[[#This Row],[CANTIDADES DE REFERENCIA]]</f>
        <v>0</v>
      </c>
      <c r="K1792" s="36"/>
      <c r="L1792" s="36"/>
      <c r="M1792" s="36"/>
      <c r="N1792" s="37" t="s">
        <v>455</v>
      </c>
      <c r="O1792" s="37" t="s">
        <v>456</v>
      </c>
      <c r="P1792" s="38"/>
      <c r="Q1792" s="37" t="s">
        <v>3913</v>
      </c>
      <c r="R1792" s="37" t="s">
        <v>58</v>
      </c>
      <c r="S1792" s="37" t="s">
        <v>458</v>
      </c>
      <c r="T1792" s="31"/>
    </row>
    <row r="1793" spans="1:20">
      <c r="A1793" s="31"/>
      <c r="B1793" s="32"/>
      <c r="C1793" s="33"/>
      <c r="D1793" s="32" t="s">
        <v>3914</v>
      </c>
      <c r="E1793" s="33" t="s">
        <v>116</v>
      </c>
      <c r="F1793" s="34">
        <v>1</v>
      </c>
      <c r="G1793" s="35">
        <v>0</v>
      </c>
      <c r="H1793" s="35">
        <v>0</v>
      </c>
      <c r="I1793" s="35">
        <f>Tabla1[[#This Row],[P.U. M.N.]]*Tabla1[[#This Row],[CANTIDADES DE REFERENCIA]]</f>
        <v>0</v>
      </c>
      <c r="J1793" s="35">
        <f>Tabla1[[#This Row],[P.U. USD]]*Tabla1[[#This Row],[CANTIDADES DE REFERENCIA]]</f>
        <v>0</v>
      </c>
      <c r="K1793" s="36"/>
      <c r="L1793" s="36"/>
      <c r="M1793" s="36"/>
      <c r="N1793" s="37" t="s">
        <v>455</v>
      </c>
      <c r="O1793" s="37" t="s">
        <v>456</v>
      </c>
      <c r="P1793" s="38"/>
      <c r="Q1793" s="37" t="s">
        <v>3915</v>
      </c>
      <c r="R1793" s="37"/>
      <c r="S1793" s="37" t="s">
        <v>458</v>
      </c>
      <c r="T1793" s="31"/>
    </row>
    <row r="1794" spans="1:20">
      <c r="A1794" s="31"/>
      <c r="B1794" s="32"/>
      <c r="C1794" s="33"/>
      <c r="D1794" s="32" t="s">
        <v>3916</v>
      </c>
      <c r="E1794" s="33" t="s">
        <v>116</v>
      </c>
      <c r="F1794" s="34">
        <v>1</v>
      </c>
      <c r="G1794" s="35">
        <v>0</v>
      </c>
      <c r="H1794" s="35">
        <v>0</v>
      </c>
      <c r="I1794" s="35">
        <f>Tabla1[[#This Row],[P.U. M.N.]]*Tabla1[[#This Row],[CANTIDADES DE REFERENCIA]]</f>
        <v>0</v>
      </c>
      <c r="J1794" s="35">
        <f>Tabla1[[#This Row],[P.U. USD]]*Tabla1[[#This Row],[CANTIDADES DE REFERENCIA]]</f>
        <v>0</v>
      </c>
      <c r="K1794" s="36"/>
      <c r="L1794" s="36"/>
      <c r="M1794" s="36"/>
      <c r="N1794" s="37" t="s">
        <v>455</v>
      </c>
      <c r="O1794" s="37" t="s">
        <v>456</v>
      </c>
      <c r="P1794" s="38"/>
      <c r="Q1794" s="37" t="s">
        <v>3917</v>
      </c>
      <c r="R1794" s="37"/>
      <c r="S1794" s="37" t="s">
        <v>458</v>
      </c>
      <c r="T1794" s="31"/>
    </row>
    <row r="1795" spans="1:20">
      <c r="A1795" s="31"/>
      <c r="B1795" s="32"/>
      <c r="C1795" s="33"/>
      <c r="D1795" s="32" t="s">
        <v>3724</v>
      </c>
      <c r="E1795" s="33" t="s">
        <v>116</v>
      </c>
      <c r="F1795" s="34">
        <v>1</v>
      </c>
      <c r="G1795" s="35">
        <v>0</v>
      </c>
      <c r="H1795" s="35">
        <v>0</v>
      </c>
      <c r="I1795" s="35">
        <f>Tabla1[[#This Row],[P.U. M.N.]]*Tabla1[[#This Row],[CANTIDADES DE REFERENCIA]]</f>
        <v>0</v>
      </c>
      <c r="J1795" s="35">
        <f>Tabla1[[#This Row],[P.U. USD]]*Tabla1[[#This Row],[CANTIDADES DE REFERENCIA]]</f>
        <v>0</v>
      </c>
      <c r="K1795" s="36"/>
      <c r="L1795" s="36"/>
      <c r="M1795" s="36"/>
      <c r="N1795" s="37" t="s">
        <v>455</v>
      </c>
      <c r="O1795" s="37" t="s">
        <v>456</v>
      </c>
      <c r="P1795" s="38"/>
      <c r="Q1795" s="37" t="s">
        <v>3918</v>
      </c>
      <c r="R1795" s="37"/>
      <c r="S1795" s="37" t="s">
        <v>458</v>
      </c>
      <c r="T1795" s="31"/>
    </row>
    <row r="1796" spans="1:20">
      <c r="A1796" s="31"/>
      <c r="B1796" s="32"/>
      <c r="C1796" s="33"/>
      <c r="D1796" s="32" t="s">
        <v>3919</v>
      </c>
      <c r="E1796" s="33" t="s">
        <v>116</v>
      </c>
      <c r="F1796" s="34">
        <v>1</v>
      </c>
      <c r="G1796" s="35">
        <v>0</v>
      </c>
      <c r="H1796" s="35">
        <v>0</v>
      </c>
      <c r="I1796" s="35">
        <f>Tabla1[[#This Row],[P.U. M.N.]]*Tabla1[[#This Row],[CANTIDADES DE REFERENCIA]]</f>
        <v>0</v>
      </c>
      <c r="J1796" s="35">
        <f>Tabla1[[#This Row],[P.U. USD]]*Tabla1[[#This Row],[CANTIDADES DE REFERENCIA]]</f>
        <v>0</v>
      </c>
      <c r="K1796" s="36"/>
      <c r="L1796" s="36"/>
      <c r="M1796" s="36"/>
      <c r="N1796" s="37" t="s">
        <v>455</v>
      </c>
      <c r="O1796" s="37" t="s">
        <v>456</v>
      </c>
      <c r="P1796" s="38"/>
      <c r="Q1796" s="37" t="s">
        <v>3920</v>
      </c>
      <c r="R1796" s="37"/>
      <c r="S1796" s="37" t="s">
        <v>458</v>
      </c>
      <c r="T1796" s="31"/>
    </row>
    <row r="1797" spans="1:20">
      <c r="A1797" s="31"/>
      <c r="B1797" s="32"/>
      <c r="C1797" s="33"/>
      <c r="D1797" s="32" t="s">
        <v>3921</v>
      </c>
      <c r="E1797" s="33" t="s">
        <v>116</v>
      </c>
      <c r="F1797" s="34">
        <v>1</v>
      </c>
      <c r="G1797" s="35">
        <v>0</v>
      </c>
      <c r="H1797" s="35">
        <v>0</v>
      </c>
      <c r="I1797" s="35">
        <f>Tabla1[[#This Row],[P.U. M.N.]]*Tabla1[[#This Row],[CANTIDADES DE REFERENCIA]]</f>
        <v>0</v>
      </c>
      <c r="J1797" s="35">
        <f>Tabla1[[#This Row],[P.U. USD]]*Tabla1[[#This Row],[CANTIDADES DE REFERENCIA]]</f>
        <v>0</v>
      </c>
      <c r="K1797" s="36"/>
      <c r="L1797" s="36"/>
      <c r="M1797" s="36"/>
      <c r="N1797" s="37" t="s">
        <v>455</v>
      </c>
      <c r="O1797" s="37" t="s">
        <v>456</v>
      </c>
      <c r="P1797" s="38"/>
      <c r="Q1797" s="37" t="s">
        <v>3922</v>
      </c>
      <c r="R1797" s="37"/>
      <c r="S1797" s="37" t="s">
        <v>458</v>
      </c>
      <c r="T1797" s="31"/>
    </row>
    <row r="1798" spans="1:20">
      <c r="A1798" s="31"/>
      <c r="B1798" s="32"/>
      <c r="C1798" s="33"/>
      <c r="D1798" s="32" t="s">
        <v>3923</v>
      </c>
      <c r="E1798" s="33" t="s">
        <v>54</v>
      </c>
      <c r="F1798" s="34">
        <v>1</v>
      </c>
      <c r="G1798" s="35">
        <v>0</v>
      </c>
      <c r="H1798" s="35">
        <v>0</v>
      </c>
      <c r="I1798" s="35">
        <f>Tabla1[[#This Row],[P.U. M.N.]]*Tabla1[[#This Row],[CANTIDADES DE REFERENCIA]]</f>
        <v>0</v>
      </c>
      <c r="J1798" s="35">
        <f>Tabla1[[#This Row],[P.U. USD]]*Tabla1[[#This Row],[CANTIDADES DE REFERENCIA]]</f>
        <v>0</v>
      </c>
      <c r="K1798" s="36"/>
      <c r="L1798" s="36"/>
      <c r="M1798" s="36"/>
      <c r="N1798" s="37" t="s">
        <v>455</v>
      </c>
      <c r="O1798" s="37" t="s">
        <v>456</v>
      </c>
      <c r="P1798" s="38"/>
      <c r="Q1798" s="37" t="s">
        <v>3924</v>
      </c>
      <c r="R1798" s="37"/>
      <c r="S1798" s="37" t="s">
        <v>458</v>
      </c>
      <c r="T1798" s="31"/>
    </row>
    <row r="1799" spans="1:20">
      <c r="A1799" s="31"/>
      <c r="B1799" s="32"/>
      <c r="C1799" s="33"/>
      <c r="D1799" s="32" t="s">
        <v>3925</v>
      </c>
      <c r="E1799" s="33" t="s">
        <v>54</v>
      </c>
      <c r="F1799" s="34">
        <v>1</v>
      </c>
      <c r="G1799" s="35">
        <v>0</v>
      </c>
      <c r="H1799" s="35">
        <v>0</v>
      </c>
      <c r="I1799" s="35">
        <f>Tabla1[[#This Row],[P.U. M.N.]]*Tabla1[[#This Row],[CANTIDADES DE REFERENCIA]]</f>
        <v>0</v>
      </c>
      <c r="J1799" s="35">
        <f>Tabla1[[#This Row],[P.U. USD]]*Tabla1[[#This Row],[CANTIDADES DE REFERENCIA]]</f>
        <v>0</v>
      </c>
      <c r="K1799" s="36"/>
      <c r="L1799" s="36"/>
      <c r="M1799" s="36"/>
      <c r="N1799" s="37" t="s">
        <v>455</v>
      </c>
      <c r="O1799" s="37" t="s">
        <v>456</v>
      </c>
      <c r="P1799" s="38"/>
      <c r="Q1799" s="37" t="s">
        <v>3926</v>
      </c>
      <c r="R1799" s="37"/>
      <c r="S1799" s="37" t="s">
        <v>458</v>
      </c>
      <c r="T1799" s="31"/>
    </row>
    <row r="1800" spans="1:20">
      <c r="A1800" s="31"/>
      <c r="B1800" s="32"/>
      <c r="C1800" s="33"/>
      <c r="D1800" s="32" t="s">
        <v>3927</v>
      </c>
      <c r="E1800" s="33" t="s">
        <v>54</v>
      </c>
      <c r="F1800" s="34">
        <v>1</v>
      </c>
      <c r="G1800" s="35">
        <v>0</v>
      </c>
      <c r="H1800" s="35">
        <v>0</v>
      </c>
      <c r="I1800" s="35">
        <f>Tabla1[[#This Row],[P.U. M.N.]]*Tabla1[[#This Row],[CANTIDADES DE REFERENCIA]]</f>
        <v>0</v>
      </c>
      <c r="J1800" s="35">
        <f>Tabla1[[#This Row],[P.U. USD]]*Tabla1[[#This Row],[CANTIDADES DE REFERENCIA]]</f>
        <v>0</v>
      </c>
      <c r="K1800" s="36"/>
      <c r="L1800" s="36"/>
      <c r="M1800" s="36"/>
      <c r="N1800" s="37" t="s">
        <v>455</v>
      </c>
      <c r="O1800" s="37" t="s">
        <v>456</v>
      </c>
      <c r="P1800" s="38"/>
      <c r="Q1800" s="37" t="s">
        <v>3928</v>
      </c>
      <c r="R1800" s="37"/>
      <c r="S1800" s="37" t="s">
        <v>458</v>
      </c>
      <c r="T1800" s="31"/>
    </row>
    <row r="1801" spans="1:20">
      <c r="A1801" s="31"/>
      <c r="B1801" s="32"/>
      <c r="C1801" s="33"/>
      <c r="D1801" s="32" t="s">
        <v>3929</v>
      </c>
      <c r="E1801" s="33" t="s">
        <v>54</v>
      </c>
      <c r="F1801" s="34">
        <v>1</v>
      </c>
      <c r="G1801" s="35">
        <v>0</v>
      </c>
      <c r="H1801" s="35">
        <v>0</v>
      </c>
      <c r="I1801" s="35">
        <f>Tabla1[[#This Row],[P.U. M.N.]]*Tabla1[[#This Row],[CANTIDADES DE REFERENCIA]]</f>
        <v>0</v>
      </c>
      <c r="J1801" s="35">
        <f>Tabla1[[#This Row],[P.U. USD]]*Tabla1[[#This Row],[CANTIDADES DE REFERENCIA]]</f>
        <v>0</v>
      </c>
      <c r="K1801" s="36"/>
      <c r="L1801" s="36"/>
      <c r="M1801" s="36"/>
      <c r="N1801" s="37" t="s">
        <v>455</v>
      </c>
      <c r="O1801" s="37" t="s">
        <v>456</v>
      </c>
      <c r="P1801" s="38"/>
      <c r="Q1801" s="37" t="s">
        <v>3930</v>
      </c>
      <c r="R1801" s="37"/>
      <c r="S1801" s="37" t="s">
        <v>458</v>
      </c>
      <c r="T1801" s="31"/>
    </row>
    <row r="1802" spans="1:20">
      <c r="A1802" s="31"/>
      <c r="B1802" s="32"/>
      <c r="C1802" s="33"/>
      <c r="D1802" s="32" t="s">
        <v>3931</v>
      </c>
      <c r="E1802" s="33" t="s">
        <v>42</v>
      </c>
      <c r="F1802" s="34">
        <v>1</v>
      </c>
      <c r="G1802" s="35">
        <v>0</v>
      </c>
      <c r="H1802" s="35">
        <v>0</v>
      </c>
      <c r="I1802" s="35">
        <f>Tabla1[[#This Row],[P.U. M.N.]]*Tabla1[[#This Row],[CANTIDADES DE REFERENCIA]]</f>
        <v>0</v>
      </c>
      <c r="J1802" s="35">
        <f>Tabla1[[#This Row],[P.U. USD]]*Tabla1[[#This Row],[CANTIDADES DE REFERENCIA]]</f>
        <v>0</v>
      </c>
      <c r="K1802" s="36"/>
      <c r="L1802" s="36"/>
      <c r="M1802" s="36"/>
      <c r="N1802" s="37" t="s">
        <v>3836</v>
      </c>
      <c r="O1802" s="37"/>
      <c r="P1802" s="38"/>
      <c r="Q1802" s="37" t="s">
        <v>3932</v>
      </c>
      <c r="R1802" s="37" t="s">
        <v>389</v>
      </c>
      <c r="S1802" s="37" t="s">
        <v>3838</v>
      </c>
      <c r="T1802" s="31"/>
    </row>
    <row r="1803" spans="1:20">
      <c r="A1803" s="31" t="s">
        <v>3933</v>
      </c>
      <c r="B1803" s="32" t="s">
        <v>3934</v>
      </c>
      <c r="C1803" s="33" t="str">
        <f>Tabla1[[#This Row],[PARTIDA]] &amp; "."</f>
        <v>10C-007.</v>
      </c>
      <c r="D1803" s="32" t="s">
        <v>3935</v>
      </c>
      <c r="E1803" s="33" t="s">
        <v>116</v>
      </c>
      <c r="F1803" s="34">
        <v>1</v>
      </c>
      <c r="G1803" s="35">
        <v>43155.76</v>
      </c>
      <c r="H1803" s="35">
        <v>0</v>
      </c>
      <c r="I1803" s="35">
        <f>Tabla1[[#This Row],[P.U. M.N.]]*Tabla1[[#This Row],[CANTIDADES DE REFERENCIA]]</f>
        <v>43155.76</v>
      </c>
      <c r="J1803" s="35">
        <f>Tabla1[[#This Row],[P.U. USD]]*Tabla1[[#This Row],[CANTIDADES DE REFERENCIA]]</f>
        <v>0</v>
      </c>
      <c r="K1803" s="36"/>
      <c r="L1803" s="36"/>
      <c r="M1803" s="36"/>
      <c r="N1803" s="37" t="s">
        <v>117</v>
      </c>
      <c r="O1803" s="37" t="s">
        <v>118</v>
      </c>
      <c r="P1803" s="38">
        <v>45393</v>
      </c>
      <c r="Q1803" s="37" t="s">
        <v>3936</v>
      </c>
      <c r="R1803" s="37"/>
      <c r="S1803" s="37" t="s">
        <v>120</v>
      </c>
      <c r="T1803" s="31"/>
    </row>
    <row r="1804" spans="1:20">
      <c r="A1804" s="31"/>
      <c r="B1804" s="32"/>
      <c r="C1804" s="33"/>
      <c r="D1804" s="32" t="s">
        <v>3937</v>
      </c>
      <c r="E1804" s="33" t="s">
        <v>116</v>
      </c>
      <c r="F1804" s="34">
        <v>1</v>
      </c>
      <c r="G1804" s="35">
        <v>0</v>
      </c>
      <c r="H1804" s="35">
        <v>0</v>
      </c>
      <c r="I1804" s="35">
        <f>Tabla1[[#This Row],[P.U. M.N.]]*Tabla1[[#This Row],[CANTIDADES DE REFERENCIA]]</f>
        <v>0</v>
      </c>
      <c r="J1804" s="35">
        <f>Tabla1[[#This Row],[P.U. USD]]*Tabla1[[#This Row],[CANTIDADES DE REFERENCIA]]</f>
        <v>0</v>
      </c>
      <c r="K1804" s="36"/>
      <c r="L1804" s="36"/>
      <c r="M1804" s="36"/>
      <c r="N1804" s="37" t="s">
        <v>1031</v>
      </c>
      <c r="O1804" s="37" t="s">
        <v>1032</v>
      </c>
      <c r="P1804" s="38"/>
      <c r="Q1804" s="37" t="s">
        <v>3938</v>
      </c>
      <c r="R1804" s="37"/>
      <c r="S1804" s="37" t="s">
        <v>2902</v>
      </c>
      <c r="T1804" s="31"/>
    </row>
    <row r="1805" spans="1:20">
      <c r="A1805" s="31" t="s">
        <v>3933</v>
      </c>
      <c r="B1805" s="32" t="s">
        <v>3939</v>
      </c>
      <c r="C1805" s="33" t="str">
        <f>Tabla1[[#This Row],[PARTIDA]] &amp; "."</f>
        <v>11C-007.</v>
      </c>
      <c r="D1805" s="32" t="s">
        <v>3940</v>
      </c>
      <c r="E1805" s="33" t="s">
        <v>116</v>
      </c>
      <c r="F1805" s="34">
        <v>1</v>
      </c>
      <c r="G1805" s="35">
        <v>56.34</v>
      </c>
      <c r="H1805" s="35">
        <v>0</v>
      </c>
      <c r="I1805" s="35">
        <f>Tabla1[[#This Row],[P.U. M.N.]]*Tabla1[[#This Row],[CANTIDADES DE REFERENCIA]]</f>
        <v>56.34</v>
      </c>
      <c r="J1805" s="35">
        <f>Tabla1[[#This Row],[P.U. USD]]*Tabla1[[#This Row],[CANTIDADES DE REFERENCIA]]</f>
        <v>0</v>
      </c>
      <c r="K1805" s="36"/>
      <c r="L1805" s="36"/>
      <c r="M1805" s="36"/>
      <c r="N1805" s="37" t="s">
        <v>117</v>
      </c>
      <c r="O1805" s="37" t="s">
        <v>118</v>
      </c>
      <c r="P1805" s="38">
        <v>45393</v>
      </c>
      <c r="Q1805" s="37" t="s">
        <v>3941</v>
      </c>
      <c r="R1805" s="37"/>
      <c r="S1805" s="37" t="s">
        <v>120</v>
      </c>
      <c r="T1805" s="31"/>
    </row>
    <row r="1806" spans="1:20">
      <c r="A1806" s="31" t="s">
        <v>3933</v>
      </c>
      <c r="B1806" s="32" t="s">
        <v>3942</v>
      </c>
      <c r="C1806" s="33" t="str">
        <f>Tabla1[[#This Row],[PARTIDA]] &amp; "."</f>
        <v>12C-007.</v>
      </c>
      <c r="D1806" s="32" t="s">
        <v>3943</v>
      </c>
      <c r="E1806" s="33" t="s">
        <v>116</v>
      </c>
      <c r="F1806" s="34">
        <v>1</v>
      </c>
      <c r="G1806" s="35">
        <v>104.67</v>
      </c>
      <c r="H1806" s="35">
        <v>0</v>
      </c>
      <c r="I1806" s="35">
        <f>Tabla1[[#This Row],[P.U. M.N.]]*Tabla1[[#This Row],[CANTIDADES DE REFERENCIA]]</f>
        <v>104.67</v>
      </c>
      <c r="J1806" s="35">
        <f>Tabla1[[#This Row],[P.U. USD]]*Tabla1[[#This Row],[CANTIDADES DE REFERENCIA]]</f>
        <v>0</v>
      </c>
      <c r="K1806" s="36"/>
      <c r="L1806" s="36"/>
      <c r="M1806" s="36"/>
      <c r="N1806" s="37" t="s">
        <v>117</v>
      </c>
      <c r="O1806" s="37" t="s">
        <v>118</v>
      </c>
      <c r="P1806" s="38">
        <v>45393</v>
      </c>
      <c r="Q1806" s="37" t="s">
        <v>3944</v>
      </c>
      <c r="R1806" s="37"/>
      <c r="S1806" s="37" t="s">
        <v>120</v>
      </c>
      <c r="T1806" s="31"/>
    </row>
    <row r="1807" spans="1:20">
      <c r="A1807" s="31" t="s">
        <v>3933</v>
      </c>
      <c r="B1807" s="32" t="s">
        <v>3945</v>
      </c>
      <c r="C1807" s="33" t="str">
        <f>Tabla1[[#This Row],[PARTIDA]] &amp; "."</f>
        <v>13C-007.</v>
      </c>
      <c r="D1807" s="32" t="s">
        <v>3946</v>
      </c>
      <c r="E1807" s="33" t="s">
        <v>116</v>
      </c>
      <c r="F1807" s="34">
        <v>1</v>
      </c>
      <c r="G1807" s="35">
        <v>186.64</v>
      </c>
      <c r="H1807" s="35">
        <v>0</v>
      </c>
      <c r="I1807" s="35">
        <f>Tabla1[[#This Row],[P.U. M.N.]]*Tabla1[[#This Row],[CANTIDADES DE REFERENCIA]]</f>
        <v>186.64</v>
      </c>
      <c r="J1807" s="35">
        <f>Tabla1[[#This Row],[P.U. USD]]*Tabla1[[#This Row],[CANTIDADES DE REFERENCIA]]</f>
        <v>0</v>
      </c>
      <c r="K1807" s="36"/>
      <c r="L1807" s="36"/>
      <c r="M1807" s="36"/>
      <c r="N1807" s="37" t="s">
        <v>117</v>
      </c>
      <c r="O1807" s="37" t="s">
        <v>118</v>
      </c>
      <c r="P1807" s="38">
        <v>45393</v>
      </c>
      <c r="Q1807" s="37" t="s">
        <v>3947</v>
      </c>
      <c r="R1807" s="37"/>
      <c r="S1807" s="37" t="s">
        <v>120</v>
      </c>
      <c r="T1807" s="31"/>
    </row>
    <row r="1808" spans="1:20">
      <c r="A1808" s="31" t="s">
        <v>3933</v>
      </c>
      <c r="B1808" s="32" t="s">
        <v>3948</v>
      </c>
      <c r="C1808" s="33" t="str">
        <f>Tabla1[[#This Row],[PARTIDA]] &amp; "."</f>
        <v>14C-007.</v>
      </c>
      <c r="D1808" s="32" t="s">
        <v>3949</v>
      </c>
      <c r="E1808" s="33" t="s">
        <v>116</v>
      </c>
      <c r="F1808" s="34">
        <v>1</v>
      </c>
      <c r="G1808" s="35">
        <v>393.19</v>
      </c>
      <c r="H1808" s="35">
        <v>0</v>
      </c>
      <c r="I1808" s="35">
        <f>Tabla1[[#This Row],[P.U. M.N.]]*Tabla1[[#This Row],[CANTIDADES DE REFERENCIA]]</f>
        <v>393.19</v>
      </c>
      <c r="J1808" s="35">
        <f>Tabla1[[#This Row],[P.U. USD]]*Tabla1[[#This Row],[CANTIDADES DE REFERENCIA]]</f>
        <v>0</v>
      </c>
      <c r="K1808" s="36"/>
      <c r="L1808" s="36"/>
      <c r="M1808" s="36"/>
      <c r="N1808" s="37" t="s">
        <v>117</v>
      </c>
      <c r="O1808" s="37" t="s">
        <v>118</v>
      </c>
      <c r="P1808" s="38">
        <v>45393</v>
      </c>
      <c r="Q1808" s="37" t="s">
        <v>3950</v>
      </c>
      <c r="R1808" s="37"/>
      <c r="S1808" s="37" t="s">
        <v>120</v>
      </c>
      <c r="T1808" s="31"/>
    </row>
    <row r="1809" spans="1:20">
      <c r="A1809" s="31" t="s">
        <v>3933</v>
      </c>
      <c r="B1809" s="32" t="s">
        <v>3951</v>
      </c>
      <c r="C1809" s="33" t="str">
        <f>Tabla1[[#This Row],[PARTIDA]] &amp; "."</f>
        <v>15C-007.</v>
      </c>
      <c r="D1809" s="32" t="s">
        <v>3952</v>
      </c>
      <c r="E1809" s="33" t="s">
        <v>116</v>
      </c>
      <c r="F1809" s="34">
        <v>1</v>
      </c>
      <c r="G1809" s="35">
        <v>552.19000000000005</v>
      </c>
      <c r="H1809" s="35">
        <v>0</v>
      </c>
      <c r="I1809" s="35">
        <f>Tabla1[[#This Row],[P.U. M.N.]]*Tabla1[[#This Row],[CANTIDADES DE REFERENCIA]]</f>
        <v>552.19000000000005</v>
      </c>
      <c r="J1809" s="35">
        <f>Tabla1[[#This Row],[P.U. USD]]*Tabla1[[#This Row],[CANTIDADES DE REFERENCIA]]</f>
        <v>0</v>
      </c>
      <c r="K1809" s="36"/>
      <c r="L1809" s="36"/>
      <c r="M1809" s="36"/>
      <c r="N1809" s="37" t="s">
        <v>117</v>
      </c>
      <c r="O1809" s="37" t="s">
        <v>118</v>
      </c>
      <c r="P1809" s="38">
        <v>45393</v>
      </c>
      <c r="Q1809" s="37" t="s">
        <v>3953</v>
      </c>
      <c r="R1809" s="37"/>
      <c r="S1809" s="37" t="s">
        <v>120</v>
      </c>
      <c r="T1809" s="31"/>
    </row>
    <row r="1810" spans="1:20">
      <c r="A1810" s="31" t="s">
        <v>3933</v>
      </c>
      <c r="B1810" s="32" t="s">
        <v>3954</v>
      </c>
      <c r="C1810" s="33" t="str">
        <f>Tabla1[[#This Row],[PARTIDA]] &amp; "."</f>
        <v>16C-007.</v>
      </c>
      <c r="D1810" s="32" t="s">
        <v>3955</v>
      </c>
      <c r="E1810" s="33" t="s">
        <v>116</v>
      </c>
      <c r="F1810" s="34">
        <v>1</v>
      </c>
      <c r="G1810" s="35">
        <v>522.25</v>
      </c>
      <c r="H1810" s="35">
        <v>0</v>
      </c>
      <c r="I1810" s="35">
        <f>Tabla1[[#This Row],[P.U. M.N.]]*Tabla1[[#This Row],[CANTIDADES DE REFERENCIA]]</f>
        <v>522.25</v>
      </c>
      <c r="J1810" s="35">
        <f>Tabla1[[#This Row],[P.U. USD]]*Tabla1[[#This Row],[CANTIDADES DE REFERENCIA]]</f>
        <v>0</v>
      </c>
      <c r="K1810" s="36"/>
      <c r="L1810" s="36"/>
      <c r="M1810" s="36"/>
      <c r="N1810" s="37" t="s">
        <v>117</v>
      </c>
      <c r="O1810" s="37" t="s">
        <v>118</v>
      </c>
      <c r="P1810" s="38">
        <v>45393</v>
      </c>
      <c r="Q1810" s="37" t="s">
        <v>3956</v>
      </c>
      <c r="R1810" s="37"/>
      <c r="S1810" s="37" t="s">
        <v>120</v>
      </c>
      <c r="T1810" s="31"/>
    </row>
    <row r="1811" spans="1:20">
      <c r="A1811" s="31" t="s">
        <v>3933</v>
      </c>
      <c r="B1811" s="32" t="s">
        <v>3957</v>
      </c>
      <c r="C1811" s="33" t="str">
        <f>Tabla1[[#This Row],[PARTIDA]] &amp; "."</f>
        <v>17-C007.</v>
      </c>
      <c r="D1811" s="32" t="s">
        <v>3958</v>
      </c>
      <c r="E1811" s="33" t="s">
        <v>116</v>
      </c>
      <c r="F1811" s="34">
        <v>1</v>
      </c>
      <c r="G1811" s="35">
        <v>731.59</v>
      </c>
      <c r="H1811" s="35">
        <v>0</v>
      </c>
      <c r="I1811" s="35">
        <f>Tabla1[[#This Row],[P.U. M.N.]]*Tabla1[[#This Row],[CANTIDADES DE REFERENCIA]]</f>
        <v>731.59</v>
      </c>
      <c r="J1811" s="35">
        <f>Tabla1[[#This Row],[P.U. USD]]*Tabla1[[#This Row],[CANTIDADES DE REFERENCIA]]</f>
        <v>0</v>
      </c>
      <c r="K1811" s="36"/>
      <c r="L1811" s="36"/>
      <c r="M1811" s="36"/>
      <c r="N1811" s="37" t="s">
        <v>117</v>
      </c>
      <c r="O1811" s="37" t="s">
        <v>118</v>
      </c>
      <c r="P1811" s="38">
        <v>45393</v>
      </c>
      <c r="Q1811" s="37" t="s">
        <v>3959</v>
      </c>
      <c r="R1811" s="37"/>
      <c r="S1811" s="37" t="s">
        <v>120</v>
      </c>
      <c r="T1811" s="31"/>
    </row>
    <row r="1812" spans="1:20">
      <c r="A1812" s="31" t="s">
        <v>3933</v>
      </c>
      <c r="B1812" s="32" t="s">
        <v>3960</v>
      </c>
      <c r="C1812" s="33" t="str">
        <f>Tabla1[[#This Row],[PARTIDA]] &amp; "."</f>
        <v>18C-007.</v>
      </c>
      <c r="D1812" s="32" t="s">
        <v>3961</v>
      </c>
      <c r="E1812" s="33" t="s">
        <v>116</v>
      </c>
      <c r="F1812" s="34">
        <v>1</v>
      </c>
      <c r="G1812" s="35">
        <v>2155.4</v>
      </c>
      <c r="H1812" s="35">
        <v>0</v>
      </c>
      <c r="I1812" s="35">
        <f>Tabla1[[#This Row],[P.U. M.N.]]*Tabla1[[#This Row],[CANTIDADES DE REFERENCIA]]</f>
        <v>2155.4</v>
      </c>
      <c r="J1812" s="35">
        <f>Tabla1[[#This Row],[P.U. USD]]*Tabla1[[#This Row],[CANTIDADES DE REFERENCIA]]</f>
        <v>0</v>
      </c>
      <c r="K1812" s="36"/>
      <c r="L1812" s="36"/>
      <c r="M1812" s="36"/>
      <c r="N1812" s="37" t="s">
        <v>117</v>
      </c>
      <c r="O1812" s="37" t="s">
        <v>118</v>
      </c>
      <c r="P1812" s="38">
        <v>45393</v>
      </c>
      <c r="Q1812" s="37" t="s">
        <v>3962</v>
      </c>
      <c r="R1812" s="37"/>
      <c r="S1812" s="37" t="s">
        <v>120</v>
      </c>
      <c r="T1812" s="31"/>
    </row>
    <row r="1813" spans="1:20">
      <c r="A1813" s="31" t="s">
        <v>3933</v>
      </c>
      <c r="B1813" s="32" t="s">
        <v>3963</v>
      </c>
      <c r="C1813" s="33" t="str">
        <f>Tabla1[[#This Row],[PARTIDA]] &amp; "."</f>
        <v>19C-007.</v>
      </c>
      <c r="D1813" s="32" t="s">
        <v>3964</v>
      </c>
      <c r="E1813" s="33" t="s">
        <v>116</v>
      </c>
      <c r="F1813" s="34">
        <v>1</v>
      </c>
      <c r="G1813" s="35">
        <v>1355.72</v>
      </c>
      <c r="H1813" s="35">
        <v>0</v>
      </c>
      <c r="I1813" s="35">
        <f>Tabla1[[#This Row],[P.U. M.N.]]*Tabla1[[#This Row],[CANTIDADES DE REFERENCIA]]</f>
        <v>1355.72</v>
      </c>
      <c r="J1813" s="35">
        <f>Tabla1[[#This Row],[P.U. USD]]*Tabla1[[#This Row],[CANTIDADES DE REFERENCIA]]</f>
        <v>0</v>
      </c>
      <c r="K1813" s="36"/>
      <c r="L1813" s="36"/>
      <c r="M1813" s="36"/>
      <c r="N1813" s="37" t="s">
        <v>117</v>
      </c>
      <c r="O1813" s="37" t="s">
        <v>118</v>
      </c>
      <c r="P1813" s="38">
        <v>45393</v>
      </c>
      <c r="Q1813" s="37" t="s">
        <v>3965</v>
      </c>
      <c r="R1813" s="37"/>
      <c r="S1813" s="37" t="s">
        <v>120</v>
      </c>
      <c r="T1813" s="31"/>
    </row>
    <row r="1814" spans="1:20">
      <c r="A1814" s="31" t="s">
        <v>3933</v>
      </c>
      <c r="B1814" s="32" t="s">
        <v>3966</v>
      </c>
      <c r="C1814" s="33" t="str">
        <f>Tabla1[[#This Row],[PARTIDA]] &amp; "."</f>
        <v>1C-007.</v>
      </c>
      <c r="D1814" s="32" t="s">
        <v>3967</v>
      </c>
      <c r="E1814" s="33" t="s">
        <v>116</v>
      </c>
      <c r="F1814" s="34">
        <v>1</v>
      </c>
      <c r="G1814" s="35">
        <v>523.24</v>
      </c>
      <c r="H1814" s="35">
        <v>0</v>
      </c>
      <c r="I1814" s="35">
        <f>Tabla1[[#This Row],[P.U. M.N.]]*Tabla1[[#This Row],[CANTIDADES DE REFERENCIA]]</f>
        <v>523.24</v>
      </c>
      <c r="J1814" s="35">
        <f>Tabla1[[#This Row],[P.U. USD]]*Tabla1[[#This Row],[CANTIDADES DE REFERENCIA]]</f>
        <v>0</v>
      </c>
      <c r="K1814" s="36"/>
      <c r="L1814" s="36"/>
      <c r="M1814" s="36"/>
      <c r="N1814" s="37" t="s">
        <v>117</v>
      </c>
      <c r="O1814" s="37" t="s">
        <v>118</v>
      </c>
      <c r="P1814" s="38">
        <v>45393</v>
      </c>
      <c r="Q1814" s="37" t="s">
        <v>3968</v>
      </c>
      <c r="R1814" s="37"/>
      <c r="S1814" s="37" t="s">
        <v>120</v>
      </c>
      <c r="T1814" s="31"/>
    </row>
    <row r="1815" spans="1:20">
      <c r="A1815" s="31"/>
      <c r="B1815" s="32"/>
      <c r="C1815" s="33"/>
      <c r="D1815" s="32" t="s">
        <v>3969</v>
      </c>
      <c r="E1815" s="33" t="s">
        <v>116</v>
      </c>
      <c r="F1815" s="34">
        <v>1</v>
      </c>
      <c r="G1815" s="35">
        <v>0</v>
      </c>
      <c r="H1815" s="35">
        <v>0</v>
      </c>
      <c r="I1815" s="35">
        <f>Tabla1[[#This Row],[P.U. M.N.]]*Tabla1[[#This Row],[CANTIDADES DE REFERENCIA]]</f>
        <v>0</v>
      </c>
      <c r="J1815" s="35">
        <f>Tabla1[[#This Row],[P.U. USD]]*Tabla1[[#This Row],[CANTIDADES DE REFERENCIA]]</f>
        <v>0</v>
      </c>
      <c r="K1815" s="36"/>
      <c r="L1815" s="36"/>
      <c r="M1815" s="36"/>
      <c r="N1815" s="37" t="s">
        <v>1031</v>
      </c>
      <c r="O1815" s="37" t="s">
        <v>1032</v>
      </c>
      <c r="P1815" s="38"/>
      <c r="Q1815" s="37" t="s">
        <v>3970</v>
      </c>
      <c r="R1815" s="37"/>
      <c r="S1815" s="37" t="s">
        <v>2902</v>
      </c>
      <c r="T1815" s="31"/>
    </row>
    <row r="1816" spans="1:20">
      <c r="A1816" s="31"/>
      <c r="B1816" s="32"/>
      <c r="C1816" s="33"/>
      <c r="D1816" s="32" t="s">
        <v>3971</v>
      </c>
      <c r="E1816" s="33" t="s">
        <v>116</v>
      </c>
      <c r="F1816" s="34">
        <v>1</v>
      </c>
      <c r="G1816" s="35">
        <v>0</v>
      </c>
      <c r="H1816" s="35">
        <v>0</v>
      </c>
      <c r="I1816" s="35">
        <f>Tabla1[[#This Row],[P.U. M.N.]]*Tabla1[[#This Row],[CANTIDADES DE REFERENCIA]]</f>
        <v>0</v>
      </c>
      <c r="J1816" s="35">
        <f>Tabla1[[#This Row],[P.U. USD]]*Tabla1[[#This Row],[CANTIDADES DE REFERENCIA]]</f>
        <v>0</v>
      </c>
      <c r="K1816" s="36"/>
      <c r="L1816" s="36"/>
      <c r="M1816" s="36"/>
      <c r="N1816" s="37" t="s">
        <v>1031</v>
      </c>
      <c r="O1816" s="37" t="s">
        <v>1032</v>
      </c>
      <c r="P1816" s="38"/>
      <c r="Q1816" s="37" t="s">
        <v>3972</v>
      </c>
      <c r="R1816" s="37"/>
      <c r="S1816" s="37" t="s">
        <v>2902</v>
      </c>
      <c r="T1816" s="31"/>
    </row>
    <row r="1817" spans="1:20">
      <c r="A1817" s="31" t="s">
        <v>3933</v>
      </c>
      <c r="B1817" s="32" t="s">
        <v>3973</v>
      </c>
      <c r="C1817" s="33" t="str">
        <f>Tabla1[[#This Row],[PARTIDA]] &amp; "."</f>
        <v>20C-007.</v>
      </c>
      <c r="D1817" s="32" t="s">
        <v>3974</v>
      </c>
      <c r="E1817" s="33" t="s">
        <v>116</v>
      </c>
      <c r="F1817" s="34">
        <v>1</v>
      </c>
      <c r="G1817" s="35">
        <v>2092.04</v>
      </c>
      <c r="H1817" s="35">
        <v>0</v>
      </c>
      <c r="I1817" s="35">
        <f>Tabla1[[#This Row],[P.U. M.N.]]*Tabla1[[#This Row],[CANTIDADES DE REFERENCIA]]</f>
        <v>2092.04</v>
      </c>
      <c r="J1817" s="35">
        <f>Tabla1[[#This Row],[P.U. USD]]*Tabla1[[#This Row],[CANTIDADES DE REFERENCIA]]</f>
        <v>0</v>
      </c>
      <c r="K1817" s="36"/>
      <c r="L1817" s="36"/>
      <c r="M1817" s="36"/>
      <c r="N1817" s="37" t="s">
        <v>117</v>
      </c>
      <c r="O1817" s="37" t="s">
        <v>118</v>
      </c>
      <c r="P1817" s="38">
        <v>45393</v>
      </c>
      <c r="Q1817" s="37" t="s">
        <v>3975</v>
      </c>
      <c r="R1817" s="37"/>
      <c r="S1817" s="37" t="s">
        <v>120</v>
      </c>
      <c r="T1817" s="31"/>
    </row>
    <row r="1818" spans="1:20">
      <c r="A1818" s="31" t="s">
        <v>3933</v>
      </c>
      <c r="B1818" s="32" t="s">
        <v>3976</v>
      </c>
      <c r="C1818" s="33" t="str">
        <f>Tabla1[[#This Row],[PARTIDA]] &amp; "."</f>
        <v>21C-007.</v>
      </c>
      <c r="D1818" s="32" t="s">
        <v>3977</v>
      </c>
      <c r="E1818" s="33" t="s">
        <v>116</v>
      </c>
      <c r="F1818" s="34">
        <v>1</v>
      </c>
      <c r="G1818" s="35">
        <v>4591.49</v>
      </c>
      <c r="H1818" s="35">
        <v>0</v>
      </c>
      <c r="I1818" s="35">
        <f>Tabla1[[#This Row],[P.U. M.N.]]*Tabla1[[#This Row],[CANTIDADES DE REFERENCIA]]</f>
        <v>4591.49</v>
      </c>
      <c r="J1818" s="35">
        <f>Tabla1[[#This Row],[P.U. USD]]*Tabla1[[#This Row],[CANTIDADES DE REFERENCIA]]</f>
        <v>0</v>
      </c>
      <c r="K1818" s="36"/>
      <c r="L1818" s="36"/>
      <c r="M1818" s="36"/>
      <c r="N1818" s="37" t="s">
        <v>117</v>
      </c>
      <c r="O1818" s="37" t="s">
        <v>118</v>
      </c>
      <c r="P1818" s="38">
        <v>45393</v>
      </c>
      <c r="Q1818" s="37" t="s">
        <v>3978</v>
      </c>
      <c r="R1818" s="37"/>
      <c r="S1818" s="37" t="s">
        <v>120</v>
      </c>
      <c r="T1818" s="31"/>
    </row>
    <row r="1819" spans="1:20">
      <c r="A1819" s="31" t="s">
        <v>3933</v>
      </c>
      <c r="B1819" s="32" t="s">
        <v>3979</v>
      </c>
      <c r="C1819" s="33" t="str">
        <f>Tabla1[[#This Row],[PARTIDA]] &amp; "."</f>
        <v>22C-007.</v>
      </c>
      <c r="D1819" s="32" t="s">
        <v>3980</v>
      </c>
      <c r="E1819" s="33" t="s">
        <v>116</v>
      </c>
      <c r="F1819" s="34">
        <v>1</v>
      </c>
      <c r="G1819" s="35">
        <v>5689.76</v>
      </c>
      <c r="H1819" s="35">
        <v>0</v>
      </c>
      <c r="I1819" s="35">
        <f>Tabla1[[#This Row],[P.U. M.N.]]*Tabla1[[#This Row],[CANTIDADES DE REFERENCIA]]</f>
        <v>5689.76</v>
      </c>
      <c r="J1819" s="35">
        <f>Tabla1[[#This Row],[P.U. USD]]*Tabla1[[#This Row],[CANTIDADES DE REFERENCIA]]</f>
        <v>0</v>
      </c>
      <c r="K1819" s="36"/>
      <c r="L1819" s="36"/>
      <c r="M1819" s="36"/>
      <c r="N1819" s="37" t="s">
        <v>117</v>
      </c>
      <c r="O1819" s="37" t="s">
        <v>118</v>
      </c>
      <c r="P1819" s="38">
        <v>45393</v>
      </c>
      <c r="Q1819" s="37" t="s">
        <v>3981</v>
      </c>
      <c r="R1819" s="37"/>
      <c r="S1819" s="37" t="s">
        <v>120</v>
      </c>
      <c r="T1819" s="31"/>
    </row>
    <row r="1820" spans="1:20">
      <c r="A1820" s="31"/>
      <c r="B1820" s="32"/>
      <c r="C1820" s="33"/>
      <c r="D1820" s="32" t="s">
        <v>3982</v>
      </c>
      <c r="E1820" s="33" t="s">
        <v>135</v>
      </c>
      <c r="F1820" s="34">
        <v>1</v>
      </c>
      <c r="G1820" s="35">
        <v>0</v>
      </c>
      <c r="H1820" s="35">
        <v>0</v>
      </c>
      <c r="I1820" s="35">
        <f>Tabla1[[#This Row],[P.U. M.N.]]*Tabla1[[#This Row],[CANTIDADES DE REFERENCIA]]</f>
        <v>0</v>
      </c>
      <c r="J1820" s="35">
        <f>Tabla1[[#This Row],[P.U. USD]]*Tabla1[[#This Row],[CANTIDADES DE REFERENCIA]]</f>
        <v>0</v>
      </c>
      <c r="K1820" s="36"/>
      <c r="L1820" s="36"/>
      <c r="M1820" s="36"/>
      <c r="N1820" s="37" t="s">
        <v>1031</v>
      </c>
      <c r="O1820" s="37" t="s">
        <v>1032</v>
      </c>
      <c r="P1820" s="38"/>
      <c r="Q1820" s="37" t="s">
        <v>3983</v>
      </c>
      <c r="R1820" s="37"/>
      <c r="S1820" s="37" t="s">
        <v>2902</v>
      </c>
      <c r="T1820" s="31"/>
    </row>
    <row r="1821" spans="1:20">
      <c r="A1821" s="31"/>
      <c r="B1821" s="32"/>
      <c r="C1821" s="33"/>
      <c r="D1821" s="32" t="s">
        <v>3984</v>
      </c>
      <c r="E1821" s="33" t="s">
        <v>135</v>
      </c>
      <c r="F1821" s="34">
        <v>1</v>
      </c>
      <c r="G1821" s="35">
        <v>0</v>
      </c>
      <c r="H1821" s="35">
        <v>0</v>
      </c>
      <c r="I1821" s="35">
        <f>Tabla1[[#This Row],[P.U. M.N.]]*Tabla1[[#This Row],[CANTIDADES DE REFERENCIA]]</f>
        <v>0</v>
      </c>
      <c r="J1821" s="35">
        <f>Tabla1[[#This Row],[P.U. USD]]*Tabla1[[#This Row],[CANTIDADES DE REFERENCIA]]</f>
        <v>0</v>
      </c>
      <c r="K1821" s="36"/>
      <c r="L1821" s="36"/>
      <c r="M1821" s="36"/>
      <c r="N1821" s="37" t="s">
        <v>1031</v>
      </c>
      <c r="O1821" s="37" t="s">
        <v>1032</v>
      </c>
      <c r="P1821" s="38"/>
      <c r="Q1821" s="37" t="s">
        <v>3985</v>
      </c>
      <c r="R1821" s="37"/>
      <c r="S1821" s="37" t="s">
        <v>2902</v>
      </c>
      <c r="T1821" s="31"/>
    </row>
    <row r="1822" spans="1:20">
      <c r="A1822" s="31"/>
      <c r="B1822" s="32"/>
      <c r="C1822" s="33"/>
      <c r="D1822" s="32" t="s">
        <v>3986</v>
      </c>
      <c r="E1822" s="33" t="s">
        <v>135</v>
      </c>
      <c r="F1822" s="34">
        <v>1</v>
      </c>
      <c r="G1822" s="35">
        <v>0</v>
      </c>
      <c r="H1822" s="35">
        <v>0</v>
      </c>
      <c r="I1822" s="35">
        <f>Tabla1[[#This Row],[P.U. M.N.]]*Tabla1[[#This Row],[CANTIDADES DE REFERENCIA]]</f>
        <v>0</v>
      </c>
      <c r="J1822" s="35">
        <f>Tabla1[[#This Row],[P.U. USD]]*Tabla1[[#This Row],[CANTIDADES DE REFERENCIA]]</f>
        <v>0</v>
      </c>
      <c r="K1822" s="36"/>
      <c r="L1822" s="36"/>
      <c r="M1822" s="36"/>
      <c r="N1822" s="37" t="s">
        <v>1031</v>
      </c>
      <c r="O1822" s="37" t="s">
        <v>1032</v>
      </c>
      <c r="P1822" s="38"/>
      <c r="Q1822" s="37" t="s">
        <v>3987</v>
      </c>
      <c r="R1822" s="37"/>
      <c r="S1822" s="37" t="s">
        <v>2902</v>
      </c>
      <c r="T1822" s="31"/>
    </row>
    <row r="1823" spans="1:20">
      <c r="A1823" s="31" t="s">
        <v>3933</v>
      </c>
      <c r="B1823" s="32" t="s">
        <v>3988</v>
      </c>
      <c r="C1823" s="33" t="str">
        <f>Tabla1[[#This Row],[PARTIDA]] &amp; "."</f>
        <v>23C-007.</v>
      </c>
      <c r="D1823" s="32" t="s">
        <v>3989</v>
      </c>
      <c r="E1823" s="33" t="s">
        <v>116</v>
      </c>
      <c r="F1823" s="34">
        <v>1</v>
      </c>
      <c r="G1823" s="35">
        <v>14288.01</v>
      </c>
      <c r="H1823" s="35">
        <v>0</v>
      </c>
      <c r="I1823" s="35">
        <f>Tabla1[[#This Row],[P.U. M.N.]]*Tabla1[[#This Row],[CANTIDADES DE REFERENCIA]]</f>
        <v>14288.01</v>
      </c>
      <c r="J1823" s="35">
        <f>Tabla1[[#This Row],[P.U. USD]]*Tabla1[[#This Row],[CANTIDADES DE REFERENCIA]]</f>
        <v>0</v>
      </c>
      <c r="K1823" s="36"/>
      <c r="L1823" s="36"/>
      <c r="M1823" s="36"/>
      <c r="N1823" s="37" t="s">
        <v>117</v>
      </c>
      <c r="O1823" s="37" t="s">
        <v>118</v>
      </c>
      <c r="P1823" s="38">
        <v>45393</v>
      </c>
      <c r="Q1823" s="37" t="s">
        <v>3990</v>
      </c>
      <c r="R1823" s="37"/>
      <c r="S1823" s="37" t="s">
        <v>120</v>
      </c>
      <c r="T1823" s="31"/>
    </row>
    <row r="1824" spans="1:20">
      <c r="A1824" s="31"/>
      <c r="B1824" s="32"/>
      <c r="C1824" s="33"/>
      <c r="D1824" s="32" t="s">
        <v>3991</v>
      </c>
      <c r="E1824" s="33" t="s">
        <v>116</v>
      </c>
      <c r="F1824" s="34">
        <v>1</v>
      </c>
      <c r="G1824" s="35">
        <v>0</v>
      </c>
      <c r="H1824" s="35">
        <v>0</v>
      </c>
      <c r="I1824" s="35">
        <f>Tabla1[[#This Row],[P.U. M.N.]]*Tabla1[[#This Row],[CANTIDADES DE REFERENCIA]]</f>
        <v>0</v>
      </c>
      <c r="J1824" s="35">
        <f>Tabla1[[#This Row],[P.U. USD]]*Tabla1[[#This Row],[CANTIDADES DE REFERENCIA]]</f>
        <v>0</v>
      </c>
      <c r="K1824" s="36"/>
      <c r="L1824" s="36"/>
      <c r="M1824" s="36"/>
      <c r="N1824" s="37" t="s">
        <v>1031</v>
      </c>
      <c r="O1824" s="37" t="s">
        <v>1032</v>
      </c>
      <c r="P1824" s="38"/>
      <c r="Q1824" s="37" t="s">
        <v>3992</v>
      </c>
      <c r="R1824" s="37"/>
      <c r="S1824" s="37" t="s">
        <v>2902</v>
      </c>
      <c r="T1824" s="31"/>
    </row>
    <row r="1825" spans="1:20">
      <c r="A1825" s="31"/>
      <c r="B1825" s="32"/>
      <c r="C1825" s="33"/>
      <c r="D1825" s="32" t="s">
        <v>3993</v>
      </c>
      <c r="E1825" s="33" t="s">
        <v>116</v>
      </c>
      <c r="F1825" s="34">
        <v>1</v>
      </c>
      <c r="G1825" s="35">
        <v>0</v>
      </c>
      <c r="H1825" s="35">
        <v>0</v>
      </c>
      <c r="I1825" s="35">
        <f>Tabla1[[#This Row],[P.U. M.N.]]*Tabla1[[#This Row],[CANTIDADES DE REFERENCIA]]</f>
        <v>0</v>
      </c>
      <c r="J1825" s="35">
        <f>Tabla1[[#This Row],[P.U. USD]]*Tabla1[[#This Row],[CANTIDADES DE REFERENCIA]]</f>
        <v>0</v>
      </c>
      <c r="K1825" s="36"/>
      <c r="L1825" s="36"/>
      <c r="M1825" s="36"/>
      <c r="N1825" s="37" t="s">
        <v>1031</v>
      </c>
      <c r="O1825" s="37" t="s">
        <v>1032</v>
      </c>
      <c r="P1825" s="38"/>
      <c r="Q1825" s="37" t="s">
        <v>3994</v>
      </c>
      <c r="R1825" s="37"/>
      <c r="S1825" s="37" t="s">
        <v>2902</v>
      </c>
      <c r="T1825" s="31"/>
    </row>
    <row r="1826" spans="1:20">
      <c r="A1826" s="31" t="s">
        <v>3933</v>
      </c>
      <c r="B1826" s="32" t="s">
        <v>3995</v>
      </c>
      <c r="C1826" s="33" t="str">
        <f>Tabla1[[#This Row],[PARTIDA]] &amp; "."</f>
        <v>24C-007.</v>
      </c>
      <c r="D1826" s="32" t="s">
        <v>3996</v>
      </c>
      <c r="E1826" s="33" t="s">
        <v>116</v>
      </c>
      <c r="F1826" s="34">
        <v>1</v>
      </c>
      <c r="G1826" s="35">
        <v>4367.3999999999996</v>
      </c>
      <c r="H1826" s="35">
        <v>0</v>
      </c>
      <c r="I1826" s="35">
        <f>Tabla1[[#This Row],[P.U. M.N.]]*Tabla1[[#This Row],[CANTIDADES DE REFERENCIA]]</f>
        <v>4367.3999999999996</v>
      </c>
      <c r="J1826" s="35">
        <f>Tabla1[[#This Row],[P.U. USD]]*Tabla1[[#This Row],[CANTIDADES DE REFERENCIA]]</f>
        <v>0</v>
      </c>
      <c r="K1826" s="36"/>
      <c r="L1826" s="36"/>
      <c r="M1826" s="36"/>
      <c r="N1826" s="37" t="s">
        <v>117</v>
      </c>
      <c r="O1826" s="37" t="s">
        <v>118</v>
      </c>
      <c r="P1826" s="38">
        <v>45393</v>
      </c>
      <c r="Q1826" s="37" t="s">
        <v>3997</v>
      </c>
      <c r="R1826" s="37"/>
      <c r="S1826" s="37" t="s">
        <v>120</v>
      </c>
      <c r="T1826" s="31"/>
    </row>
    <row r="1827" spans="1:20">
      <c r="A1827" s="31"/>
      <c r="B1827" s="32"/>
      <c r="C1827" s="33"/>
      <c r="D1827" s="32" t="s">
        <v>3998</v>
      </c>
      <c r="E1827" s="33" t="s">
        <v>116</v>
      </c>
      <c r="F1827" s="34">
        <v>1</v>
      </c>
      <c r="G1827" s="35">
        <v>0</v>
      </c>
      <c r="H1827" s="35">
        <v>0</v>
      </c>
      <c r="I1827" s="35">
        <f>Tabla1[[#This Row],[P.U. M.N.]]*Tabla1[[#This Row],[CANTIDADES DE REFERENCIA]]</f>
        <v>0</v>
      </c>
      <c r="J1827" s="35">
        <f>Tabla1[[#This Row],[P.U. USD]]*Tabla1[[#This Row],[CANTIDADES DE REFERENCIA]]</f>
        <v>0</v>
      </c>
      <c r="K1827" s="36"/>
      <c r="L1827" s="36"/>
      <c r="M1827" s="36"/>
      <c r="N1827" s="37" t="s">
        <v>1031</v>
      </c>
      <c r="O1827" s="37" t="s">
        <v>1032</v>
      </c>
      <c r="P1827" s="38"/>
      <c r="Q1827" s="37" t="s">
        <v>3999</v>
      </c>
      <c r="R1827" s="37"/>
      <c r="S1827" s="37" t="s">
        <v>2902</v>
      </c>
      <c r="T1827" s="31"/>
    </row>
    <row r="1828" spans="1:20">
      <c r="A1828" s="31"/>
      <c r="B1828" s="32"/>
      <c r="C1828" s="33"/>
      <c r="D1828" s="32" t="s">
        <v>4000</v>
      </c>
      <c r="E1828" s="33" t="s">
        <v>116</v>
      </c>
      <c r="F1828" s="34">
        <v>1</v>
      </c>
      <c r="G1828" s="35">
        <v>0</v>
      </c>
      <c r="H1828" s="35">
        <v>0</v>
      </c>
      <c r="I1828" s="35">
        <f>Tabla1[[#This Row],[P.U. M.N.]]*Tabla1[[#This Row],[CANTIDADES DE REFERENCIA]]</f>
        <v>0</v>
      </c>
      <c r="J1828" s="35">
        <f>Tabla1[[#This Row],[P.U. USD]]*Tabla1[[#This Row],[CANTIDADES DE REFERENCIA]]</f>
        <v>0</v>
      </c>
      <c r="K1828" s="36"/>
      <c r="L1828" s="36"/>
      <c r="M1828" s="36"/>
      <c r="N1828" s="37" t="s">
        <v>1031</v>
      </c>
      <c r="O1828" s="37" t="s">
        <v>1032</v>
      </c>
      <c r="P1828" s="38"/>
      <c r="Q1828" s="37" t="s">
        <v>4001</v>
      </c>
      <c r="R1828" s="37"/>
      <c r="S1828" s="37" t="s">
        <v>2902</v>
      </c>
      <c r="T1828" s="31"/>
    </row>
    <row r="1829" spans="1:20">
      <c r="A1829" s="31"/>
      <c r="B1829" s="32"/>
      <c r="C1829" s="33"/>
      <c r="D1829" s="32" t="s">
        <v>4002</v>
      </c>
      <c r="E1829" s="33" t="s">
        <v>116</v>
      </c>
      <c r="F1829" s="34">
        <v>1</v>
      </c>
      <c r="G1829" s="35">
        <v>0</v>
      </c>
      <c r="H1829" s="35">
        <v>0</v>
      </c>
      <c r="I1829" s="35">
        <f>Tabla1[[#This Row],[P.U. M.N.]]*Tabla1[[#This Row],[CANTIDADES DE REFERENCIA]]</f>
        <v>0</v>
      </c>
      <c r="J1829" s="35">
        <f>Tabla1[[#This Row],[P.U. USD]]*Tabla1[[#This Row],[CANTIDADES DE REFERENCIA]]</f>
        <v>0</v>
      </c>
      <c r="K1829" s="36"/>
      <c r="L1829" s="36"/>
      <c r="M1829" s="36"/>
      <c r="N1829" s="37" t="s">
        <v>1031</v>
      </c>
      <c r="O1829" s="37" t="s">
        <v>1032</v>
      </c>
      <c r="P1829" s="38"/>
      <c r="Q1829" s="37" t="s">
        <v>4003</v>
      </c>
      <c r="R1829" s="37"/>
      <c r="S1829" s="37" t="s">
        <v>2902</v>
      </c>
      <c r="T1829" s="31"/>
    </row>
    <row r="1830" spans="1:20">
      <c r="A1830" s="31" t="s">
        <v>3933</v>
      </c>
      <c r="B1830" s="32" t="s">
        <v>4004</v>
      </c>
      <c r="C1830" s="33" t="str">
        <f>Tabla1[[#This Row],[PARTIDA]] &amp; "."</f>
        <v>25C-007.</v>
      </c>
      <c r="D1830" s="32" t="s">
        <v>4005</v>
      </c>
      <c r="E1830" s="33" t="s">
        <v>116</v>
      </c>
      <c r="F1830" s="34">
        <v>1</v>
      </c>
      <c r="G1830" s="35">
        <v>9555.11</v>
      </c>
      <c r="H1830" s="35">
        <v>0</v>
      </c>
      <c r="I1830" s="35">
        <f>Tabla1[[#This Row],[P.U. M.N.]]*Tabla1[[#This Row],[CANTIDADES DE REFERENCIA]]</f>
        <v>9555.11</v>
      </c>
      <c r="J1830" s="35">
        <f>Tabla1[[#This Row],[P.U. USD]]*Tabla1[[#This Row],[CANTIDADES DE REFERENCIA]]</f>
        <v>0</v>
      </c>
      <c r="K1830" s="36"/>
      <c r="L1830" s="36"/>
      <c r="M1830" s="36"/>
      <c r="N1830" s="37" t="s">
        <v>117</v>
      </c>
      <c r="O1830" s="37" t="s">
        <v>118</v>
      </c>
      <c r="P1830" s="38">
        <v>45393</v>
      </c>
      <c r="Q1830" s="37" t="s">
        <v>4006</v>
      </c>
      <c r="R1830" s="37"/>
      <c r="S1830" s="37" t="s">
        <v>120</v>
      </c>
      <c r="T1830" s="31"/>
    </row>
    <row r="1831" spans="1:20">
      <c r="A1831" s="31" t="s">
        <v>3933</v>
      </c>
      <c r="B1831" s="32" t="s">
        <v>4007</v>
      </c>
      <c r="C1831" s="33" t="str">
        <f>Tabla1[[#This Row],[PARTIDA]] &amp; "."</f>
        <v>26C-007.</v>
      </c>
      <c r="D1831" s="32" t="s">
        <v>4008</v>
      </c>
      <c r="E1831" s="33" t="s">
        <v>116</v>
      </c>
      <c r="F1831" s="34">
        <v>1</v>
      </c>
      <c r="G1831" s="35">
        <v>13986.86</v>
      </c>
      <c r="H1831" s="35">
        <v>0</v>
      </c>
      <c r="I1831" s="35">
        <f>Tabla1[[#This Row],[P.U. M.N.]]*Tabla1[[#This Row],[CANTIDADES DE REFERENCIA]]</f>
        <v>13986.86</v>
      </c>
      <c r="J1831" s="35">
        <f>Tabla1[[#This Row],[P.U. USD]]*Tabla1[[#This Row],[CANTIDADES DE REFERENCIA]]</f>
        <v>0</v>
      </c>
      <c r="K1831" s="36"/>
      <c r="L1831" s="36"/>
      <c r="M1831" s="36"/>
      <c r="N1831" s="37" t="s">
        <v>117</v>
      </c>
      <c r="O1831" s="37" t="s">
        <v>118</v>
      </c>
      <c r="P1831" s="38">
        <v>45393</v>
      </c>
      <c r="Q1831" s="37" t="s">
        <v>4009</v>
      </c>
      <c r="R1831" s="37"/>
      <c r="S1831" s="37" t="s">
        <v>120</v>
      </c>
      <c r="T1831" s="31"/>
    </row>
    <row r="1832" spans="1:20">
      <c r="A1832" s="31" t="s">
        <v>3933</v>
      </c>
      <c r="B1832" s="32" t="s">
        <v>4010</v>
      </c>
      <c r="C1832" s="33" t="str">
        <f>Tabla1[[#This Row],[PARTIDA]] &amp; "."</f>
        <v>27C-007.</v>
      </c>
      <c r="D1832" s="32" t="s">
        <v>4011</v>
      </c>
      <c r="E1832" s="33" t="s">
        <v>116</v>
      </c>
      <c r="F1832" s="34">
        <v>1</v>
      </c>
      <c r="G1832" s="35">
        <v>1227.1600000000001</v>
      </c>
      <c r="H1832" s="35">
        <v>0</v>
      </c>
      <c r="I1832" s="35">
        <f>Tabla1[[#This Row],[P.U. M.N.]]*Tabla1[[#This Row],[CANTIDADES DE REFERENCIA]]</f>
        <v>1227.1600000000001</v>
      </c>
      <c r="J1832" s="35">
        <f>Tabla1[[#This Row],[P.U. USD]]*Tabla1[[#This Row],[CANTIDADES DE REFERENCIA]]</f>
        <v>0</v>
      </c>
      <c r="K1832" s="36"/>
      <c r="L1832" s="36"/>
      <c r="M1832" s="36"/>
      <c r="N1832" s="37" t="s">
        <v>117</v>
      </c>
      <c r="O1832" s="37" t="s">
        <v>118</v>
      </c>
      <c r="P1832" s="38">
        <v>45393</v>
      </c>
      <c r="Q1832" s="37" t="s">
        <v>4012</v>
      </c>
      <c r="R1832" s="37"/>
      <c r="S1832" s="37" t="s">
        <v>120</v>
      </c>
      <c r="T1832" s="31"/>
    </row>
    <row r="1833" spans="1:20">
      <c r="A1833" s="31" t="s">
        <v>3933</v>
      </c>
      <c r="B1833" s="32" t="s">
        <v>4013</v>
      </c>
      <c r="C1833" s="33" t="str">
        <f>Tabla1[[#This Row],[PARTIDA]] &amp; "."</f>
        <v>28C-007.</v>
      </c>
      <c r="D1833" s="32" t="s">
        <v>4014</v>
      </c>
      <c r="E1833" s="33" t="s">
        <v>116</v>
      </c>
      <c r="F1833" s="34">
        <v>1</v>
      </c>
      <c r="G1833" s="35">
        <v>1373.02</v>
      </c>
      <c r="H1833" s="35">
        <v>0</v>
      </c>
      <c r="I1833" s="35">
        <f>Tabla1[[#This Row],[P.U. M.N.]]*Tabla1[[#This Row],[CANTIDADES DE REFERENCIA]]</f>
        <v>1373.02</v>
      </c>
      <c r="J1833" s="35">
        <f>Tabla1[[#This Row],[P.U. USD]]*Tabla1[[#This Row],[CANTIDADES DE REFERENCIA]]</f>
        <v>0</v>
      </c>
      <c r="K1833" s="36"/>
      <c r="L1833" s="36"/>
      <c r="M1833" s="36"/>
      <c r="N1833" s="37" t="s">
        <v>117</v>
      </c>
      <c r="O1833" s="37" t="s">
        <v>118</v>
      </c>
      <c r="P1833" s="38">
        <v>45393</v>
      </c>
      <c r="Q1833" s="37" t="s">
        <v>4015</v>
      </c>
      <c r="R1833" s="37"/>
      <c r="S1833" s="37" t="s">
        <v>120</v>
      </c>
      <c r="T1833" s="31"/>
    </row>
    <row r="1834" spans="1:20">
      <c r="A1834" s="31" t="s">
        <v>3933</v>
      </c>
      <c r="B1834" s="32" t="s">
        <v>4016</v>
      </c>
      <c r="C1834" s="33" t="str">
        <f>Tabla1[[#This Row],[PARTIDA]] &amp; "."</f>
        <v>29C-007.</v>
      </c>
      <c r="D1834" s="32" t="s">
        <v>4017</v>
      </c>
      <c r="E1834" s="33" t="s">
        <v>116</v>
      </c>
      <c r="F1834" s="34">
        <v>1</v>
      </c>
      <c r="G1834" s="35">
        <v>1683.18</v>
      </c>
      <c r="H1834" s="35">
        <v>0</v>
      </c>
      <c r="I1834" s="35">
        <f>Tabla1[[#This Row],[P.U. M.N.]]*Tabla1[[#This Row],[CANTIDADES DE REFERENCIA]]</f>
        <v>1683.18</v>
      </c>
      <c r="J1834" s="35">
        <f>Tabla1[[#This Row],[P.U. USD]]*Tabla1[[#This Row],[CANTIDADES DE REFERENCIA]]</f>
        <v>0</v>
      </c>
      <c r="K1834" s="36"/>
      <c r="L1834" s="36"/>
      <c r="M1834" s="36"/>
      <c r="N1834" s="37" t="s">
        <v>117</v>
      </c>
      <c r="O1834" s="37" t="s">
        <v>118</v>
      </c>
      <c r="P1834" s="38">
        <v>45393</v>
      </c>
      <c r="Q1834" s="37" t="s">
        <v>4018</v>
      </c>
      <c r="R1834" s="37"/>
      <c r="S1834" s="37" t="s">
        <v>120</v>
      </c>
      <c r="T1834" s="31"/>
    </row>
    <row r="1835" spans="1:20">
      <c r="A1835" s="31" t="s">
        <v>3933</v>
      </c>
      <c r="B1835" s="32" t="s">
        <v>4019</v>
      </c>
      <c r="C1835" s="33" t="str">
        <f>Tabla1[[#This Row],[PARTIDA]] &amp; "."</f>
        <v>2C-007.</v>
      </c>
      <c r="D1835" s="32" t="s">
        <v>4020</v>
      </c>
      <c r="E1835" s="33" t="s">
        <v>116</v>
      </c>
      <c r="F1835" s="34">
        <v>1</v>
      </c>
      <c r="G1835" s="35">
        <v>1075.3699999999999</v>
      </c>
      <c r="H1835" s="35">
        <v>0</v>
      </c>
      <c r="I1835" s="35">
        <f>Tabla1[[#This Row],[P.U. M.N.]]*Tabla1[[#This Row],[CANTIDADES DE REFERENCIA]]</f>
        <v>1075.3699999999999</v>
      </c>
      <c r="J1835" s="35">
        <f>Tabla1[[#This Row],[P.U. USD]]*Tabla1[[#This Row],[CANTIDADES DE REFERENCIA]]</f>
        <v>0</v>
      </c>
      <c r="K1835" s="36"/>
      <c r="L1835" s="36"/>
      <c r="M1835" s="36"/>
      <c r="N1835" s="37" t="s">
        <v>117</v>
      </c>
      <c r="O1835" s="37" t="s">
        <v>118</v>
      </c>
      <c r="P1835" s="38">
        <v>45393</v>
      </c>
      <c r="Q1835" s="37" t="s">
        <v>4021</v>
      </c>
      <c r="R1835" s="37"/>
      <c r="S1835" s="37" t="s">
        <v>120</v>
      </c>
      <c r="T1835" s="31"/>
    </row>
    <row r="1836" spans="1:20">
      <c r="A1836" s="31" t="s">
        <v>3933</v>
      </c>
      <c r="B1836" s="32" t="s">
        <v>4022</v>
      </c>
      <c r="C1836" s="33" t="str">
        <f>Tabla1[[#This Row],[PARTIDA]] &amp; "."</f>
        <v>30C-007.</v>
      </c>
      <c r="D1836" s="32" t="s">
        <v>4023</v>
      </c>
      <c r="E1836" s="33" t="s">
        <v>116</v>
      </c>
      <c r="F1836" s="34">
        <v>1</v>
      </c>
      <c r="G1836" s="35">
        <v>1820.25</v>
      </c>
      <c r="H1836" s="35">
        <v>0</v>
      </c>
      <c r="I1836" s="35">
        <f>Tabla1[[#This Row],[P.U. M.N.]]*Tabla1[[#This Row],[CANTIDADES DE REFERENCIA]]</f>
        <v>1820.25</v>
      </c>
      <c r="J1836" s="35">
        <f>Tabla1[[#This Row],[P.U. USD]]*Tabla1[[#This Row],[CANTIDADES DE REFERENCIA]]</f>
        <v>0</v>
      </c>
      <c r="K1836" s="36"/>
      <c r="L1836" s="36"/>
      <c r="M1836" s="36"/>
      <c r="N1836" s="37" t="s">
        <v>117</v>
      </c>
      <c r="O1836" s="37" t="s">
        <v>118</v>
      </c>
      <c r="P1836" s="38">
        <v>45393</v>
      </c>
      <c r="Q1836" s="37" t="s">
        <v>4024</v>
      </c>
      <c r="R1836" s="37"/>
      <c r="S1836" s="37" t="s">
        <v>120</v>
      </c>
      <c r="T1836" s="31"/>
    </row>
    <row r="1837" spans="1:20">
      <c r="A1837" s="31"/>
      <c r="B1837" s="32"/>
      <c r="C1837" s="33"/>
      <c r="D1837" s="32" t="s">
        <v>4025</v>
      </c>
      <c r="E1837" s="33" t="s">
        <v>116</v>
      </c>
      <c r="F1837" s="34">
        <v>1</v>
      </c>
      <c r="G1837" s="35">
        <v>0</v>
      </c>
      <c r="H1837" s="35">
        <v>0</v>
      </c>
      <c r="I1837" s="35">
        <f>Tabla1[[#This Row],[P.U. M.N.]]*Tabla1[[#This Row],[CANTIDADES DE REFERENCIA]]</f>
        <v>0</v>
      </c>
      <c r="J1837" s="35">
        <f>Tabla1[[#This Row],[P.U. USD]]*Tabla1[[#This Row],[CANTIDADES DE REFERENCIA]]</f>
        <v>0</v>
      </c>
      <c r="K1837" s="36"/>
      <c r="L1837" s="36"/>
      <c r="M1837" s="36"/>
      <c r="N1837" s="37" t="s">
        <v>1031</v>
      </c>
      <c r="O1837" s="37" t="s">
        <v>1032</v>
      </c>
      <c r="P1837" s="38"/>
      <c r="Q1837" s="37" t="s">
        <v>4026</v>
      </c>
      <c r="R1837" s="37"/>
      <c r="S1837" s="37" t="s">
        <v>2902</v>
      </c>
      <c r="T1837" s="31"/>
    </row>
    <row r="1838" spans="1:20">
      <c r="A1838" s="31"/>
      <c r="B1838" s="32"/>
      <c r="C1838" s="33"/>
      <c r="D1838" s="32" t="s">
        <v>4027</v>
      </c>
      <c r="E1838" s="33" t="s">
        <v>116</v>
      </c>
      <c r="F1838" s="34">
        <v>1</v>
      </c>
      <c r="G1838" s="35">
        <v>0</v>
      </c>
      <c r="H1838" s="35">
        <v>0</v>
      </c>
      <c r="I1838" s="35">
        <f>Tabla1[[#This Row],[P.U. M.N.]]*Tabla1[[#This Row],[CANTIDADES DE REFERENCIA]]</f>
        <v>0</v>
      </c>
      <c r="J1838" s="35">
        <f>Tabla1[[#This Row],[P.U. USD]]*Tabla1[[#This Row],[CANTIDADES DE REFERENCIA]]</f>
        <v>0</v>
      </c>
      <c r="K1838" s="36"/>
      <c r="L1838" s="36"/>
      <c r="M1838" s="36"/>
      <c r="N1838" s="37" t="s">
        <v>1031</v>
      </c>
      <c r="O1838" s="37" t="s">
        <v>1032</v>
      </c>
      <c r="P1838" s="38"/>
      <c r="Q1838" s="37" t="s">
        <v>4028</v>
      </c>
      <c r="R1838" s="37"/>
      <c r="S1838" s="37" t="s">
        <v>2902</v>
      </c>
      <c r="T1838" s="31"/>
    </row>
    <row r="1839" spans="1:20">
      <c r="A1839" s="31"/>
      <c r="B1839" s="32"/>
      <c r="C1839" s="33"/>
      <c r="D1839" s="32" t="s">
        <v>4029</v>
      </c>
      <c r="E1839" s="33" t="s">
        <v>116</v>
      </c>
      <c r="F1839" s="34">
        <v>1</v>
      </c>
      <c r="G1839" s="35">
        <v>0</v>
      </c>
      <c r="H1839" s="35">
        <v>0</v>
      </c>
      <c r="I1839" s="35">
        <f>Tabla1[[#This Row],[P.U. M.N.]]*Tabla1[[#This Row],[CANTIDADES DE REFERENCIA]]</f>
        <v>0</v>
      </c>
      <c r="J1839" s="35">
        <f>Tabla1[[#This Row],[P.U. USD]]*Tabla1[[#This Row],[CANTIDADES DE REFERENCIA]]</f>
        <v>0</v>
      </c>
      <c r="K1839" s="36"/>
      <c r="L1839" s="36"/>
      <c r="M1839" s="36"/>
      <c r="N1839" s="37" t="s">
        <v>1031</v>
      </c>
      <c r="O1839" s="37" t="s">
        <v>1032</v>
      </c>
      <c r="P1839" s="38"/>
      <c r="Q1839" s="37" t="s">
        <v>4030</v>
      </c>
      <c r="R1839" s="37"/>
      <c r="S1839" s="37" t="s">
        <v>2902</v>
      </c>
      <c r="T1839" s="31"/>
    </row>
    <row r="1840" spans="1:20">
      <c r="A1840" s="31"/>
      <c r="B1840" s="32"/>
      <c r="C1840" s="33"/>
      <c r="D1840" s="32" t="s">
        <v>4031</v>
      </c>
      <c r="E1840" s="33" t="s">
        <v>116</v>
      </c>
      <c r="F1840" s="34">
        <v>1</v>
      </c>
      <c r="G1840" s="35">
        <v>0</v>
      </c>
      <c r="H1840" s="35">
        <v>0</v>
      </c>
      <c r="I1840" s="35">
        <f>Tabla1[[#This Row],[P.U. M.N.]]*Tabla1[[#This Row],[CANTIDADES DE REFERENCIA]]</f>
        <v>0</v>
      </c>
      <c r="J1840" s="35">
        <f>Tabla1[[#This Row],[P.U. USD]]*Tabla1[[#This Row],[CANTIDADES DE REFERENCIA]]</f>
        <v>0</v>
      </c>
      <c r="K1840" s="36"/>
      <c r="L1840" s="36"/>
      <c r="M1840" s="36"/>
      <c r="N1840" s="37" t="s">
        <v>1031</v>
      </c>
      <c r="O1840" s="37" t="s">
        <v>1032</v>
      </c>
      <c r="P1840" s="38"/>
      <c r="Q1840" s="37" t="s">
        <v>4032</v>
      </c>
      <c r="R1840" s="37"/>
      <c r="S1840" s="37" t="s">
        <v>2902</v>
      </c>
      <c r="T1840" s="31"/>
    </row>
    <row r="1841" spans="1:20">
      <c r="A1841" s="31"/>
      <c r="B1841" s="32"/>
      <c r="C1841" s="33"/>
      <c r="D1841" s="32" t="s">
        <v>4033</v>
      </c>
      <c r="E1841" s="33" t="s">
        <v>116</v>
      </c>
      <c r="F1841" s="34">
        <v>1</v>
      </c>
      <c r="G1841" s="35">
        <v>0</v>
      </c>
      <c r="H1841" s="35">
        <v>0</v>
      </c>
      <c r="I1841" s="35">
        <f>Tabla1[[#This Row],[P.U. M.N.]]*Tabla1[[#This Row],[CANTIDADES DE REFERENCIA]]</f>
        <v>0</v>
      </c>
      <c r="J1841" s="35">
        <f>Tabla1[[#This Row],[P.U. USD]]*Tabla1[[#This Row],[CANTIDADES DE REFERENCIA]]</f>
        <v>0</v>
      </c>
      <c r="K1841" s="36"/>
      <c r="L1841" s="36"/>
      <c r="M1841" s="36"/>
      <c r="N1841" s="37" t="s">
        <v>1031</v>
      </c>
      <c r="O1841" s="37" t="s">
        <v>1032</v>
      </c>
      <c r="P1841" s="38"/>
      <c r="Q1841" s="37" t="s">
        <v>4034</v>
      </c>
      <c r="R1841" s="37"/>
      <c r="S1841" s="37" t="s">
        <v>2902</v>
      </c>
      <c r="T1841" s="31"/>
    </row>
    <row r="1842" spans="1:20">
      <c r="A1842" s="31"/>
      <c r="B1842" s="32"/>
      <c r="C1842" s="33"/>
      <c r="D1842" s="32" t="s">
        <v>4035</v>
      </c>
      <c r="E1842" s="33" t="s">
        <v>116</v>
      </c>
      <c r="F1842" s="34">
        <v>1</v>
      </c>
      <c r="G1842" s="35">
        <v>0</v>
      </c>
      <c r="H1842" s="35">
        <v>0</v>
      </c>
      <c r="I1842" s="35">
        <f>Tabla1[[#This Row],[P.U. M.N.]]*Tabla1[[#This Row],[CANTIDADES DE REFERENCIA]]</f>
        <v>0</v>
      </c>
      <c r="J1842" s="35">
        <f>Tabla1[[#This Row],[P.U. USD]]*Tabla1[[#This Row],[CANTIDADES DE REFERENCIA]]</f>
        <v>0</v>
      </c>
      <c r="K1842" s="36"/>
      <c r="L1842" s="36"/>
      <c r="M1842" s="36"/>
      <c r="N1842" s="37" t="s">
        <v>1031</v>
      </c>
      <c r="O1842" s="37" t="s">
        <v>1032</v>
      </c>
      <c r="P1842" s="38"/>
      <c r="Q1842" s="37" t="s">
        <v>4036</v>
      </c>
      <c r="R1842" s="37"/>
      <c r="S1842" s="37" t="s">
        <v>2902</v>
      </c>
      <c r="T1842" s="31"/>
    </row>
    <row r="1843" spans="1:20">
      <c r="A1843" s="31"/>
      <c r="B1843" s="32"/>
      <c r="C1843" s="33"/>
      <c r="D1843" s="32" t="s">
        <v>4037</v>
      </c>
      <c r="E1843" s="33" t="s">
        <v>116</v>
      </c>
      <c r="F1843" s="34">
        <v>1</v>
      </c>
      <c r="G1843" s="35">
        <v>0</v>
      </c>
      <c r="H1843" s="35">
        <v>0</v>
      </c>
      <c r="I1843" s="35">
        <f>Tabla1[[#This Row],[P.U. M.N.]]*Tabla1[[#This Row],[CANTIDADES DE REFERENCIA]]</f>
        <v>0</v>
      </c>
      <c r="J1843" s="35">
        <f>Tabla1[[#This Row],[P.U. USD]]*Tabla1[[#This Row],[CANTIDADES DE REFERENCIA]]</f>
        <v>0</v>
      </c>
      <c r="K1843" s="36"/>
      <c r="L1843" s="36"/>
      <c r="M1843" s="36"/>
      <c r="N1843" s="37" t="s">
        <v>1031</v>
      </c>
      <c r="O1843" s="37" t="s">
        <v>1032</v>
      </c>
      <c r="P1843" s="38"/>
      <c r="Q1843" s="37" t="s">
        <v>4038</v>
      </c>
      <c r="R1843" s="37"/>
      <c r="S1843" s="37" t="s">
        <v>2902</v>
      </c>
      <c r="T1843" s="31"/>
    </row>
    <row r="1844" spans="1:20">
      <c r="A1844" s="31" t="s">
        <v>3933</v>
      </c>
      <c r="B1844" s="32" t="s">
        <v>4039</v>
      </c>
      <c r="C1844" s="33" t="str">
        <f>Tabla1[[#This Row],[PARTIDA]] &amp; "."</f>
        <v>31C-007.</v>
      </c>
      <c r="D1844" s="32" t="s">
        <v>4040</v>
      </c>
      <c r="E1844" s="33" t="s">
        <v>116</v>
      </c>
      <c r="F1844" s="34">
        <v>1</v>
      </c>
      <c r="G1844" s="35">
        <v>223.94</v>
      </c>
      <c r="H1844" s="35">
        <v>0</v>
      </c>
      <c r="I1844" s="35">
        <f>Tabla1[[#This Row],[P.U. M.N.]]*Tabla1[[#This Row],[CANTIDADES DE REFERENCIA]]</f>
        <v>223.94</v>
      </c>
      <c r="J1844" s="35">
        <f>Tabla1[[#This Row],[P.U. USD]]*Tabla1[[#This Row],[CANTIDADES DE REFERENCIA]]</f>
        <v>0</v>
      </c>
      <c r="K1844" s="36"/>
      <c r="L1844" s="36"/>
      <c r="M1844" s="36"/>
      <c r="N1844" s="37" t="s">
        <v>117</v>
      </c>
      <c r="O1844" s="37" t="s">
        <v>118</v>
      </c>
      <c r="P1844" s="38">
        <v>45393</v>
      </c>
      <c r="Q1844" s="37" t="s">
        <v>4041</v>
      </c>
      <c r="R1844" s="37"/>
      <c r="S1844" s="37" t="s">
        <v>120</v>
      </c>
      <c r="T1844" s="31"/>
    </row>
    <row r="1845" spans="1:20">
      <c r="A1845" s="31"/>
      <c r="B1845" s="32"/>
      <c r="C1845" s="33"/>
      <c r="D1845" s="32" t="s">
        <v>4042</v>
      </c>
      <c r="E1845" s="33" t="s">
        <v>116</v>
      </c>
      <c r="F1845" s="34">
        <v>1</v>
      </c>
      <c r="G1845" s="35">
        <v>0</v>
      </c>
      <c r="H1845" s="35">
        <v>0</v>
      </c>
      <c r="I1845" s="35">
        <f>Tabla1[[#This Row],[P.U. M.N.]]*Tabla1[[#This Row],[CANTIDADES DE REFERENCIA]]</f>
        <v>0</v>
      </c>
      <c r="J1845" s="35">
        <f>Tabla1[[#This Row],[P.U. USD]]*Tabla1[[#This Row],[CANTIDADES DE REFERENCIA]]</f>
        <v>0</v>
      </c>
      <c r="K1845" s="36"/>
      <c r="L1845" s="36"/>
      <c r="M1845" s="36"/>
      <c r="N1845" s="37" t="s">
        <v>1031</v>
      </c>
      <c r="O1845" s="37" t="s">
        <v>1032</v>
      </c>
      <c r="P1845" s="38"/>
      <c r="Q1845" s="37" t="s">
        <v>4043</v>
      </c>
      <c r="R1845" s="37"/>
      <c r="S1845" s="37" t="s">
        <v>2902</v>
      </c>
      <c r="T1845" s="31"/>
    </row>
    <row r="1846" spans="1:20">
      <c r="A1846" s="31" t="s">
        <v>3933</v>
      </c>
      <c r="B1846" s="32" t="s">
        <v>4044</v>
      </c>
      <c r="C1846" s="33" t="str">
        <f>Tabla1[[#This Row],[PARTIDA]] &amp; "."</f>
        <v>32C-007.</v>
      </c>
      <c r="D1846" s="32" t="s">
        <v>4045</v>
      </c>
      <c r="E1846" s="33" t="s">
        <v>116</v>
      </c>
      <c r="F1846" s="34">
        <v>1</v>
      </c>
      <c r="G1846" s="35">
        <v>710.83</v>
      </c>
      <c r="H1846" s="35">
        <v>0</v>
      </c>
      <c r="I1846" s="35">
        <f>Tabla1[[#This Row],[P.U. M.N.]]*Tabla1[[#This Row],[CANTIDADES DE REFERENCIA]]</f>
        <v>710.83</v>
      </c>
      <c r="J1846" s="35">
        <f>Tabla1[[#This Row],[P.U. USD]]*Tabla1[[#This Row],[CANTIDADES DE REFERENCIA]]</f>
        <v>0</v>
      </c>
      <c r="K1846" s="36"/>
      <c r="L1846" s="36"/>
      <c r="M1846" s="36"/>
      <c r="N1846" s="37" t="s">
        <v>117</v>
      </c>
      <c r="O1846" s="37" t="s">
        <v>118</v>
      </c>
      <c r="P1846" s="38">
        <v>45393</v>
      </c>
      <c r="Q1846" s="37" t="s">
        <v>4046</v>
      </c>
      <c r="R1846" s="37"/>
      <c r="S1846" s="37" t="s">
        <v>120</v>
      </c>
      <c r="T1846" s="31"/>
    </row>
    <row r="1847" spans="1:20">
      <c r="A1847" s="31"/>
      <c r="B1847" s="32"/>
      <c r="C1847" s="33"/>
      <c r="D1847" s="32" t="s">
        <v>4047</v>
      </c>
      <c r="E1847" s="33" t="s">
        <v>116</v>
      </c>
      <c r="F1847" s="34">
        <v>1</v>
      </c>
      <c r="G1847" s="35">
        <v>0</v>
      </c>
      <c r="H1847" s="35">
        <v>0</v>
      </c>
      <c r="I1847" s="35">
        <f>Tabla1[[#This Row],[P.U. M.N.]]*Tabla1[[#This Row],[CANTIDADES DE REFERENCIA]]</f>
        <v>0</v>
      </c>
      <c r="J1847" s="35">
        <f>Tabla1[[#This Row],[P.U. USD]]*Tabla1[[#This Row],[CANTIDADES DE REFERENCIA]]</f>
        <v>0</v>
      </c>
      <c r="K1847" s="36"/>
      <c r="L1847" s="36"/>
      <c r="M1847" s="36"/>
      <c r="N1847" s="37" t="s">
        <v>1031</v>
      </c>
      <c r="O1847" s="37" t="s">
        <v>1032</v>
      </c>
      <c r="P1847" s="38"/>
      <c r="Q1847" s="37" t="s">
        <v>4048</v>
      </c>
      <c r="R1847" s="37"/>
      <c r="S1847" s="37" t="s">
        <v>2902</v>
      </c>
      <c r="T1847" s="31"/>
    </row>
    <row r="1848" spans="1:20">
      <c r="A1848" s="31"/>
      <c r="B1848" s="32"/>
      <c r="C1848" s="33"/>
      <c r="D1848" s="32" t="s">
        <v>4049</v>
      </c>
      <c r="E1848" s="33" t="s">
        <v>116</v>
      </c>
      <c r="F1848" s="34">
        <v>1</v>
      </c>
      <c r="G1848" s="35">
        <v>0</v>
      </c>
      <c r="H1848" s="35">
        <v>0</v>
      </c>
      <c r="I1848" s="35">
        <f>Tabla1[[#This Row],[P.U. M.N.]]*Tabla1[[#This Row],[CANTIDADES DE REFERENCIA]]</f>
        <v>0</v>
      </c>
      <c r="J1848" s="35">
        <f>Tabla1[[#This Row],[P.U. USD]]*Tabla1[[#This Row],[CANTIDADES DE REFERENCIA]]</f>
        <v>0</v>
      </c>
      <c r="K1848" s="36"/>
      <c r="L1848" s="36"/>
      <c r="M1848" s="36"/>
      <c r="N1848" s="37" t="s">
        <v>1031</v>
      </c>
      <c r="O1848" s="37" t="s">
        <v>1032</v>
      </c>
      <c r="P1848" s="38"/>
      <c r="Q1848" s="37" t="s">
        <v>4050</v>
      </c>
      <c r="R1848" s="37"/>
      <c r="S1848" s="37" t="s">
        <v>2902</v>
      </c>
      <c r="T1848" s="31"/>
    </row>
    <row r="1849" spans="1:20">
      <c r="A1849" s="31"/>
      <c r="B1849" s="32"/>
      <c r="C1849" s="33"/>
      <c r="D1849" s="32" t="s">
        <v>4051</v>
      </c>
      <c r="E1849" s="33" t="s">
        <v>116</v>
      </c>
      <c r="F1849" s="34">
        <v>1</v>
      </c>
      <c r="G1849" s="35">
        <v>0</v>
      </c>
      <c r="H1849" s="35">
        <v>0</v>
      </c>
      <c r="I1849" s="35">
        <f>Tabla1[[#This Row],[P.U. M.N.]]*Tabla1[[#This Row],[CANTIDADES DE REFERENCIA]]</f>
        <v>0</v>
      </c>
      <c r="J1849" s="35">
        <f>Tabla1[[#This Row],[P.U. USD]]*Tabla1[[#This Row],[CANTIDADES DE REFERENCIA]]</f>
        <v>0</v>
      </c>
      <c r="K1849" s="36"/>
      <c r="L1849" s="36"/>
      <c r="M1849" s="36"/>
      <c r="N1849" s="37" t="s">
        <v>1031</v>
      </c>
      <c r="O1849" s="37" t="s">
        <v>1032</v>
      </c>
      <c r="P1849" s="38"/>
      <c r="Q1849" s="37" t="s">
        <v>4052</v>
      </c>
      <c r="R1849" s="37"/>
      <c r="S1849" s="37" t="s">
        <v>2902</v>
      </c>
      <c r="T1849" s="31"/>
    </row>
    <row r="1850" spans="1:20">
      <c r="A1850" s="31"/>
      <c r="B1850" s="32"/>
      <c r="C1850" s="33"/>
      <c r="D1850" s="32" t="s">
        <v>4053</v>
      </c>
      <c r="E1850" s="33" t="s">
        <v>116</v>
      </c>
      <c r="F1850" s="34">
        <v>1</v>
      </c>
      <c r="G1850" s="35">
        <v>0</v>
      </c>
      <c r="H1850" s="35">
        <v>0</v>
      </c>
      <c r="I1850" s="35">
        <f>Tabla1[[#This Row],[P.U. M.N.]]*Tabla1[[#This Row],[CANTIDADES DE REFERENCIA]]</f>
        <v>0</v>
      </c>
      <c r="J1850" s="35">
        <f>Tabla1[[#This Row],[P.U. USD]]*Tabla1[[#This Row],[CANTIDADES DE REFERENCIA]]</f>
        <v>0</v>
      </c>
      <c r="K1850" s="36"/>
      <c r="L1850" s="36"/>
      <c r="M1850" s="36"/>
      <c r="N1850" s="37" t="s">
        <v>1031</v>
      </c>
      <c r="O1850" s="37" t="s">
        <v>1032</v>
      </c>
      <c r="P1850" s="38"/>
      <c r="Q1850" s="37" t="s">
        <v>4054</v>
      </c>
      <c r="R1850" s="37"/>
      <c r="S1850" s="37" t="s">
        <v>2902</v>
      </c>
      <c r="T1850" s="31"/>
    </row>
    <row r="1851" spans="1:20">
      <c r="A1851" s="31"/>
      <c r="B1851" s="32"/>
      <c r="C1851" s="33"/>
      <c r="D1851" s="32" t="s">
        <v>4055</v>
      </c>
      <c r="E1851" s="33" t="s">
        <v>116</v>
      </c>
      <c r="F1851" s="34">
        <v>1</v>
      </c>
      <c r="G1851" s="35">
        <v>0</v>
      </c>
      <c r="H1851" s="35">
        <v>0</v>
      </c>
      <c r="I1851" s="35">
        <f>Tabla1[[#This Row],[P.U. M.N.]]*Tabla1[[#This Row],[CANTIDADES DE REFERENCIA]]</f>
        <v>0</v>
      </c>
      <c r="J1851" s="35">
        <f>Tabla1[[#This Row],[P.U. USD]]*Tabla1[[#This Row],[CANTIDADES DE REFERENCIA]]</f>
        <v>0</v>
      </c>
      <c r="K1851" s="36"/>
      <c r="L1851" s="36"/>
      <c r="M1851" s="36"/>
      <c r="N1851" s="37" t="s">
        <v>1031</v>
      </c>
      <c r="O1851" s="37" t="s">
        <v>1032</v>
      </c>
      <c r="P1851" s="38"/>
      <c r="Q1851" s="37" t="s">
        <v>4056</v>
      </c>
      <c r="R1851" s="37"/>
      <c r="S1851" s="37" t="s">
        <v>2902</v>
      </c>
      <c r="T1851" s="31"/>
    </row>
    <row r="1852" spans="1:20">
      <c r="A1852" s="31"/>
      <c r="B1852" s="32"/>
      <c r="C1852" s="33"/>
      <c r="D1852" s="32" t="s">
        <v>4057</v>
      </c>
      <c r="E1852" s="33" t="s">
        <v>116</v>
      </c>
      <c r="F1852" s="34">
        <v>1</v>
      </c>
      <c r="G1852" s="35">
        <v>0</v>
      </c>
      <c r="H1852" s="35">
        <v>0</v>
      </c>
      <c r="I1852" s="35">
        <f>Tabla1[[#This Row],[P.U. M.N.]]*Tabla1[[#This Row],[CANTIDADES DE REFERENCIA]]</f>
        <v>0</v>
      </c>
      <c r="J1852" s="35">
        <f>Tabla1[[#This Row],[P.U. USD]]*Tabla1[[#This Row],[CANTIDADES DE REFERENCIA]]</f>
        <v>0</v>
      </c>
      <c r="K1852" s="36"/>
      <c r="L1852" s="36"/>
      <c r="M1852" s="36"/>
      <c r="N1852" s="37" t="s">
        <v>1031</v>
      </c>
      <c r="O1852" s="37" t="s">
        <v>1032</v>
      </c>
      <c r="P1852" s="38"/>
      <c r="Q1852" s="37" t="s">
        <v>4058</v>
      </c>
      <c r="R1852" s="37"/>
      <c r="S1852" s="37" t="s">
        <v>2902</v>
      </c>
      <c r="T1852" s="31"/>
    </row>
    <row r="1853" spans="1:20">
      <c r="A1853" s="31"/>
      <c r="B1853" s="32"/>
      <c r="C1853" s="33"/>
      <c r="D1853" s="32" t="s">
        <v>4059</v>
      </c>
      <c r="E1853" s="33" t="s">
        <v>116</v>
      </c>
      <c r="F1853" s="34">
        <v>1</v>
      </c>
      <c r="G1853" s="35">
        <v>0</v>
      </c>
      <c r="H1853" s="35">
        <v>0</v>
      </c>
      <c r="I1853" s="35">
        <f>Tabla1[[#This Row],[P.U. M.N.]]*Tabla1[[#This Row],[CANTIDADES DE REFERENCIA]]</f>
        <v>0</v>
      </c>
      <c r="J1853" s="35">
        <f>Tabla1[[#This Row],[P.U. USD]]*Tabla1[[#This Row],[CANTIDADES DE REFERENCIA]]</f>
        <v>0</v>
      </c>
      <c r="K1853" s="36"/>
      <c r="L1853" s="36"/>
      <c r="M1853" s="36"/>
      <c r="N1853" s="37" t="s">
        <v>1031</v>
      </c>
      <c r="O1853" s="37" t="s">
        <v>1032</v>
      </c>
      <c r="P1853" s="38"/>
      <c r="Q1853" s="37" t="s">
        <v>4060</v>
      </c>
      <c r="R1853" s="37"/>
      <c r="S1853" s="37" t="s">
        <v>2902</v>
      </c>
      <c r="T1853" s="31"/>
    </row>
    <row r="1854" spans="1:20">
      <c r="A1854" s="31"/>
      <c r="B1854" s="32"/>
      <c r="C1854" s="33"/>
      <c r="D1854" s="32" t="s">
        <v>4061</v>
      </c>
      <c r="E1854" s="33" t="s">
        <v>116</v>
      </c>
      <c r="F1854" s="34">
        <v>1</v>
      </c>
      <c r="G1854" s="35">
        <v>0</v>
      </c>
      <c r="H1854" s="35">
        <v>0</v>
      </c>
      <c r="I1854" s="35">
        <f>Tabla1[[#This Row],[P.U. M.N.]]*Tabla1[[#This Row],[CANTIDADES DE REFERENCIA]]</f>
        <v>0</v>
      </c>
      <c r="J1854" s="35">
        <f>Tabla1[[#This Row],[P.U. USD]]*Tabla1[[#This Row],[CANTIDADES DE REFERENCIA]]</f>
        <v>0</v>
      </c>
      <c r="K1854" s="36"/>
      <c r="L1854" s="36"/>
      <c r="M1854" s="36"/>
      <c r="N1854" s="37" t="s">
        <v>1031</v>
      </c>
      <c r="O1854" s="37" t="s">
        <v>1032</v>
      </c>
      <c r="P1854" s="38"/>
      <c r="Q1854" s="37" t="s">
        <v>4062</v>
      </c>
      <c r="R1854" s="37"/>
      <c r="S1854" s="37" t="s">
        <v>2902</v>
      </c>
      <c r="T1854" s="31"/>
    </row>
    <row r="1855" spans="1:20">
      <c r="A1855" s="31"/>
      <c r="B1855" s="32"/>
      <c r="C1855" s="33"/>
      <c r="D1855" s="32" t="s">
        <v>4063</v>
      </c>
      <c r="E1855" s="33" t="s">
        <v>116</v>
      </c>
      <c r="F1855" s="34">
        <v>1</v>
      </c>
      <c r="G1855" s="35">
        <v>0</v>
      </c>
      <c r="H1855" s="35">
        <v>0</v>
      </c>
      <c r="I1855" s="35">
        <f>Tabla1[[#This Row],[P.U. M.N.]]*Tabla1[[#This Row],[CANTIDADES DE REFERENCIA]]</f>
        <v>0</v>
      </c>
      <c r="J1855" s="35">
        <f>Tabla1[[#This Row],[P.U. USD]]*Tabla1[[#This Row],[CANTIDADES DE REFERENCIA]]</f>
        <v>0</v>
      </c>
      <c r="K1855" s="36"/>
      <c r="L1855" s="36"/>
      <c r="M1855" s="36"/>
      <c r="N1855" s="37" t="s">
        <v>1031</v>
      </c>
      <c r="O1855" s="37" t="s">
        <v>1032</v>
      </c>
      <c r="P1855" s="38"/>
      <c r="Q1855" s="37" t="s">
        <v>4064</v>
      </c>
      <c r="R1855" s="37"/>
      <c r="S1855" s="37" t="s">
        <v>2902</v>
      </c>
      <c r="T1855" s="31"/>
    </row>
    <row r="1856" spans="1:20">
      <c r="A1856" s="31"/>
      <c r="B1856" s="32"/>
      <c r="C1856" s="33"/>
      <c r="D1856" s="32" t="s">
        <v>4065</v>
      </c>
      <c r="E1856" s="33" t="s">
        <v>116</v>
      </c>
      <c r="F1856" s="34">
        <v>1</v>
      </c>
      <c r="G1856" s="35">
        <v>0</v>
      </c>
      <c r="H1856" s="35">
        <v>0</v>
      </c>
      <c r="I1856" s="35">
        <f>Tabla1[[#This Row],[P.U. M.N.]]*Tabla1[[#This Row],[CANTIDADES DE REFERENCIA]]</f>
        <v>0</v>
      </c>
      <c r="J1856" s="35">
        <f>Tabla1[[#This Row],[P.U. USD]]*Tabla1[[#This Row],[CANTIDADES DE REFERENCIA]]</f>
        <v>0</v>
      </c>
      <c r="K1856" s="36"/>
      <c r="L1856" s="36"/>
      <c r="M1856" s="36"/>
      <c r="N1856" s="37" t="s">
        <v>1031</v>
      </c>
      <c r="O1856" s="37" t="s">
        <v>1032</v>
      </c>
      <c r="P1856" s="38"/>
      <c r="Q1856" s="37" t="s">
        <v>4066</v>
      </c>
      <c r="R1856" s="37"/>
      <c r="S1856" s="37" t="s">
        <v>2902</v>
      </c>
      <c r="T1856" s="31"/>
    </row>
    <row r="1857" spans="1:20">
      <c r="A1857" s="31"/>
      <c r="B1857" s="32"/>
      <c r="C1857" s="33"/>
      <c r="D1857" s="32" t="s">
        <v>4067</v>
      </c>
      <c r="E1857" s="33" t="s">
        <v>116</v>
      </c>
      <c r="F1857" s="34">
        <v>1</v>
      </c>
      <c r="G1857" s="35">
        <v>0</v>
      </c>
      <c r="H1857" s="35">
        <v>0</v>
      </c>
      <c r="I1857" s="35">
        <f>Tabla1[[#This Row],[P.U. M.N.]]*Tabla1[[#This Row],[CANTIDADES DE REFERENCIA]]</f>
        <v>0</v>
      </c>
      <c r="J1857" s="35">
        <f>Tabla1[[#This Row],[P.U. USD]]*Tabla1[[#This Row],[CANTIDADES DE REFERENCIA]]</f>
        <v>0</v>
      </c>
      <c r="K1857" s="36"/>
      <c r="L1857" s="36"/>
      <c r="M1857" s="36"/>
      <c r="N1857" s="37" t="s">
        <v>1031</v>
      </c>
      <c r="O1857" s="37" t="s">
        <v>1032</v>
      </c>
      <c r="P1857" s="38"/>
      <c r="Q1857" s="37" t="s">
        <v>4068</v>
      </c>
      <c r="R1857" s="37"/>
      <c r="S1857" s="37" t="s">
        <v>2902</v>
      </c>
      <c r="T1857" s="31"/>
    </row>
    <row r="1858" spans="1:20">
      <c r="A1858" s="31"/>
      <c r="B1858" s="32"/>
      <c r="C1858" s="33"/>
      <c r="D1858" s="32" t="s">
        <v>4069</v>
      </c>
      <c r="E1858" s="33" t="s">
        <v>54</v>
      </c>
      <c r="F1858" s="34">
        <v>1</v>
      </c>
      <c r="G1858" s="35">
        <v>0</v>
      </c>
      <c r="H1858" s="35">
        <v>0</v>
      </c>
      <c r="I1858" s="35">
        <f>Tabla1[[#This Row],[P.U. M.N.]]*Tabla1[[#This Row],[CANTIDADES DE REFERENCIA]]</f>
        <v>0</v>
      </c>
      <c r="J1858" s="35">
        <f>Tabla1[[#This Row],[P.U. USD]]*Tabla1[[#This Row],[CANTIDADES DE REFERENCIA]]</f>
        <v>0</v>
      </c>
      <c r="K1858" s="36"/>
      <c r="L1858" s="36"/>
      <c r="M1858" s="36"/>
      <c r="N1858" s="37" t="s">
        <v>1031</v>
      </c>
      <c r="O1858" s="37" t="s">
        <v>1032</v>
      </c>
      <c r="P1858" s="38"/>
      <c r="Q1858" s="37" t="s">
        <v>4070</v>
      </c>
      <c r="R1858" s="37"/>
      <c r="S1858" s="37" t="s">
        <v>2902</v>
      </c>
      <c r="T1858" s="31"/>
    </row>
    <row r="1859" spans="1:20">
      <c r="A1859" s="31" t="s">
        <v>3933</v>
      </c>
      <c r="B1859" s="32" t="s">
        <v>4071</v>
      </c>
      <c r="C1859" s="33" t="str">
        <f>Tabla1[[#This Row],[PARTIDA]] &amp; "."</f>
        <v>33C-007.</v>
      </c>
      <c r="D1859" s="32" t="s">
        <v>4072</v>
      </c>
      <c r="E1859" s="33" t="s">
        <v>116</v>
      </c>
      <c r="F1859" s="34">
        <v>1</v>
      </c>
      <c r="G1859" s="35">
        <v>22363.87</v>
      </c>
      <c r="H1859" s="35">
        <v>0</v>
      </c>
      <c r="I1859" s="35">
        <f>Tabla1[[#This Row],[P.U. M.N.]]*Tabla1[[#This Row],[CANTIDADES DE REFERENCIA]]</f>
        <v>22363.87</v>
      </c>
      <c r="J1859" s="35">
        <f>Tabla1[[#This Row],[P.U. USD]]*Tabla1[[#This Row],[CANTIDADES DE REFERENCIA]]</f>
        <v>0</v>
      </c>
      <c r="K1859" s="36"/>
      <c r="L1859" s="36"/>
      <c r="M1859" s="36"/>
      <c r="N1859" s="37" t="s">
        <v>117</v>
      </c>
      <c r="O1859" s="37" t="s">
        <v>118</v>
      </c>
      <c r="P1859" s="38">
        <v>45393</v>
      </c>
      <c r="Q1859" s="37" t="s">
        <v>4073</v>
      </c>
      <c r="R1859" s="37"/>
      <c r="S1859" s="37" t="s">
        <v>120</v>
      </c>
      <c r="T1859" s="31"/>
    </row>
    <row r="1860" spans="1:20">
      <c r="A1860" s="31" t="s">
        <v>3933</v>
      </c>
      <c r="B1860" s="32" t="s">
        <v>4074</v>
      </c>
      <c r="C1860" s="33" t="str">
        <f>Tabla1[[#This Row],[PARTIDA]] &amp; "."</f>
        <v>34C-007.</v>
      </c>
      <c r="D1860" s="32" t="s">
        <v>4075</v>
      </c>
      <c r="E1860" s="33" t="s">
        <v>116</v>
      </c>
      <c r="F1860" s="34">
        <v>1</v>
      </c>
      <c r="G1860" s="35">
        <v>5342.14</v>
      </c>
      <c r="H1860" s="35">
        <v>0</v>
      </c>
      <c r="I1860" s="35">
        <f>Tabla1[[#This Row],[P.U. M.N.]]*Tabla1[[#This Row],[CANTIDADES DE REFERENCIA]]</f>
        <v>5342.14</v>
      </c>
      <c r="J1860" s="35">
        <f>Tabla1[[#This Row],[P.U. USD]]*Tabla1[[#This Row],[CANTIDADES DE REFERENCIA]]</f>
        <v>0</v>
      </c>
      <c r="K1860" s="36"/>
      <c r="L1860" s="36"/>
      <c r="M1860" s="36"/>
      <c r="N1860" s="37" t="s">
        <v>117</v>
      </c>
      <c r="O1860" s="37" t="s">
        <v>118</v>
      </c>
      <c r="P1860" s="38">
        <v>45393</v>
      </c>
      <c r="Q1860" s="37" t="s">
        <v>4076</v>
      </c>
      <c r="R1860" s="37"/>
      <c r="S1860" s="37" t="s">
        <v>120</v>
      </c>
      <c r="T1860" s="31"/>
    </row>
    <row r="1861" spans="1:20">
      <c r="A1861" s="31" t="s">
        <v>3933</v>
      </c>
      <c r="B1861" s="32" t="s">
        <v>4077</v>
      </c>
      <c r="C1861" s="33" t="str">
        <f>Tabla1[[#This Row],[PARTIDA]] &amp; "."</f>
        <v>35C-007.</v>
      </c>
      <c r="D1861" s="32" t="s">
        <v>4078</v>
      </c>
      <c r="E1861" s="33" t="s">
        <v>116</v>
      </c>
      <c r="F1861" s="34">
        <v>1</v>
      </c>
      <c r="G1861" s="35">
        <v>1733.01</v>
      </c>
      <c r="H1861" s="35">
        <v>0</v>
      </c>
      <c r="I1861" s="35">
        <f>Tabla1[[#This Row],[P.U. M.N.]]*Tabla1[[#This Row],[CANTIDADES DE REFERENCIA]]</f>
        <v>1733.01</v>
      </c>
      <c r="J1861" s="35">
        <f>Tabla1[[#This Row],[P.U. USD]]*Tabla1[[#This Row],[CANTIDADES DE REFERENCIA]]</f>
        <v>0</v>
      </c>
      <c r="K1861" s="36"/>
      <c r="L1861" s="36"/>
      <c r="M1861" s="36"/>
      <c r="N1861" s="37" t="s">
        <v>117</v>
      </c>
      <c r="O1861" s="37" t="s">
        <v>118</v>
      </c>
      <c r="P1861" s="38">
        <v>45393</v>
      </c>
      <c r="Q1861" s="37" t="s">
        <v>4079</v>
      </c>
      <c r="R1861" s="37"/>
      <c r="S1861" s="37" t="s">
        <v>120</v>
      </c>
      <c r="T1861" s="31"/>
    </row>
    <row r="1862" spans="1:20">
      <c r="A1862" s="31" t="s">
        <v>3933</v>
      </c>
      <c r="B1862" s="32" t="s">
        <v>4080</v>
      </c>
      <c r="C1862" s="33" t="str">
        <f>Tabla1[[#This Row],[PARTIDA]] &amp; "."</f>
        <v>36C-007.</v>
      </c>
      <c r="D1862" s="32" t="s">
        <v>4081</v>
      </c>
      <c r="E1862" s="33" t="s">
        <v>116</v>
      </c>
      <c r="F1862" s="34">
        <v>1</v>
      </c>
      <c r="G1862" s="35">
        <v>1082.31</v>
      </c>
      <c r="H1862" s="35">
        <v>0</v>
      </c>
      <c r="I1862" s="35">
        <f>Tabla1[[#This Row],[P.U. M.N.]]*Tabla1[[#This Row],[CANTIDADES DE REFERENCIA]]</f>
        <v>1082.31</v>
      </c>
      <c r="J1862" s="35">
        <f>Tabla1[[#This Row],[P.U. USD]]*Tabla1[[#This Row],[CANTIDADES DE REFERENCIA]]</f>
        <v>0</v>
      </c>
      <c r="K1862" s="36"/>
      <c r="L1862" s="36"/>
      <c r="M1862" s="36"/>
      <c r="N1862" s="37" t="s">
        <v>117</v>
      </c>
      <c r="O1862" s="37" t="s">
        <v>118</v>
      </c>
      <c r="P1862" s="38">
        <v>45393</v>
      </c>
      <c r="Q1862" s="37" t="s">
        <v>4082</v>
      </c>
      <c r="R1862" s="37"/>
      <c r="S1862" s="37" t="s">
        <v>120</v>
      </c>
      <c r="T1862" s="31"/>
    </row>
    <row r="1863" spans="1:20">
      <c r="A1863" s="31" t="s">
        <v>3933</v>
      </c>
      <c r="B1863" s="32" t="s">
        <v>4083</v>
      </c>
      <c r="C1863" s="33" t="str">
        <f>Tabla1[[#This Row],[PARTIDA]] &amp; "."</f>
        <v>37C-007.</v>
      </c>
      <c r="D1863" s="32" t="s">
        <v>4084</v>
      </c>
      <c r="E1863" s="33" t="s">
        <v>116</v>
      </c>
      <c r="F1863" s="34">
        <v>1</v>
      </c>
      <c r="G1863" s="35">
        <v>13210.6</v>
      </c>
      <c r="H1863" s="35">
        <v>0</v>
      </c>
      <c r="I1863" s="35">
        <f>Tabla1[[#This Row],[P.U. M.N.]]*Tabla1[[#This Row],[CANTIDADES DE REFERENCIA]]</f>
        <v>13210.6</v>
      </c>
      <c r="J1863" s="35">
        <f>Tabla1[[#This Row],[P.U. USD]]*Tabla1[[#This Row],[CANTIDADES DE REFERENCIA]]</f>
        <v>0</v>
      </c>
      <c r="K1863" s="36"/>
      <c r="L1863" s="36"/>
      <c r="M1863" s="36"/>
      <c r="N1863" s="37" t="s">
        <v>117</v>
      </c>
      <c r="O1863" s="37" t="s">
        <v>118</v>
      </c>
      <c r="P1863" s="38">
        <v>45393</v>
      </c>
      <c r="Q1863" s="37" t="s">
        <v>4085</v>
      </c>
      <c r="R1863" s="37"/>
      <c r="S1863" s="37" t="s">
        <v>120</v>
      </c>
      <c r="T1863" s="31"/>
    </row>
    <row r="1864" spans="1:20">
      <c r="A1864" s="31"/>
      <c r="B1864" s="32"/>
      <c r="C1864" s="33"/>
      <c r="D1864" s="32" t="s">
        <v>4086</v>
      </c>
      <c r="E1864" s="33" t="s">
        <v>367</v>
      </c>
      <c r="F1864" s="34">
        <v>1</v>
      </c>
      <c r="G1864" s="35">
        <v>0</v>
      </c>
      <c r="H1864" s="35">
        <v>0</v>
      </c>
      <c r="I1864" s="35">
        <f>Tabla1[[#This Row],[P.U. M.N.]]*Tabla1[[#This Row],[CANTIDADES DE REFERENCIA]]</f>
        <v>0</v>
      </c>
      <c r="J1864" s="35">
        <f>Tabla1[[#This Row],[P.U. USD]]*Tabla1[[#This Row],[CANTIDADES DE REFERENCIA]]</f>
        <v>0</v>
      </c>
      <c r="K1864" s="36"/>
      <c r="L1864" s="36"/>
      <c r="M1864" s="36"/>
      <c r="N1864" s="37" t="s">
        <v>1031</v>
      </c>
      <c r="O1864" s="37" t="s">
        <v>1032</v>
      </c>
      <c r="P1864" s="38"/>
      <c r="Q1864" s="37" t="s">
        <v>4087</v>
      </c>
      <c r="R1864" s="37"/>
      <c r="S1864" s="37" t="s">
        <v>1034</v>
      </c>
      <c r="T1864" s="31"/>
    </row>
    <row r="1865" spans="1:20">
      <c r="A1865" s="31"/>
      <c r="B1865" s="32"/>
      <c r="C1865" s="33"/>
      <c r="D1865" s="32" t="s">
        <v>4088</v>
      </c>
      <c r="E1865" s="33" t="s">
        <v>367</v>
      </c>
      <c r="F1865" s="34">
        <v>1</v>
      </c>
      <c r="G1865" s="35">
        <v>0</v>
      </c>
      <c r="H1865" s="35">
        <v>0</v>
      </c>
      <c r="I1865" s="35">
        <f>Tabla1[[#This Row],[P.U. M.N.]]*Tabla1[[#This Row],[CANTIDADES DE REFERENCIA]]</f>
        <v>0</v>
      </c>
      <c r="J1865" s="35">
        <f>Tabla1[[#This Row],[P.U. USD]]*Tabla1[[#This Row],[CANTIDADES DE REFERENCIA]]</f>
        <v>0</v>
      </c>
      <c r="K1865" s="36"/>
      <c r="L1865" s="36"/>
      <c r="M1865" s="36"/>
      <c r="N1865" s="37" t="s">
        <v>1031</v>
      </c>
      <c r="O1865" s="37" t="s">
        <v>1032</v>
      </c>
      <c r="P1865" s="38"/>
      <c r="Q1865" s="37" t="s">
        <v>4089</v>
      </c>
      <c r="R1865" s="37"/>
      <c r="S1865" s="37" t="s">
        <v>2902</v>
      </c>
      <c r="T1865" s="31"/>
    </row>
    <row r="1866" spans="1:20" s="24" customFormat="1" ht="15.6">
      <c r="A1866" s="31"/>
      <c r="B1866" s="32"/>
      <c r="C1866" s="33"/>
      <c r="D1866" s="32" t="s">
        <v>4090</v>
      </c>
      <c r="E1866" s="33" t="s">
        <v>42</v>
      </c>
      <c r="F1866" s="34">
        <v>1</v>
      </c>
      <c r="G1866" s="35">
        <v>0</v>
      </c>
      <c r="H1866" s="35">
        <v>0</v>
      </c>
      <c r="I1866" s="35">
        <f>Tabla1[[#This Row],[P.U. M.N.]]*Tabla1[[#This Row],[CANTIDADES DE REFERENCIA]]</f>
        <v>0</v>
      </c>
      <c r="J1866" s="35">
        <f>Tabla1[[#This Row],[P.U. USD]]*Tabla1[[#This Row],[CANTIDADES DE REFERENCIA]]</f>
        <v>0</v>
      </c>
      <c r="K1866" s="36"/>
      <c r="L1866" s="36"/>
      <c r="M1866" s="36"/>
      <c r="N1866" s="37" t="s">
        <v>1031</v>
      </c>
      <c r="O1866" s="37" t="s">
        <v>1032</v>
      </c>
      <c r="P1866" s="42"/>
      <c r="Q1866" s="37" t="s">
        <v>4091</v>
      </c>
      <c r="R1866" s="37" t="s">
        <v>58</v>
      </c>
      <c r="S1866" s="37" t="s">
        <v>1034</v>
      </c>
      <c r="T1866" s="31"/>
    </row>
    <row r="1867" spans="1:20">
      <c r="A1867" s="31"/>
      <c r="B1867" s="32"/>
      <c r="C1867" s="33"/>
      <c r="D1867" s="32" t="s">
        <v>4092</v>
      </c>
      <c r="E1867" s="33" t="s">
        <v>42</v>
      </c>
      <c r="F1867" s="34">
        <v>1</v>
      </c>
      <c r="G1867" s="35">
        <v>0</v>
      </c>
      <c r="H1867" s="35">
        <v>0</v>
      </c>
      <c r="I1867" s="35">
        <f>Tabla1[[#This Row],[P.U. M.N.]]*Tabla1[[#This Row],[CANTIDADES DE REFERENCIA]]</f>
        <v>0</v>
      </c>
      <c r="J1867" s="35">
        <f>Tabla1[[#This Row],[P.U. USD]]*Tabla1[[#This Row],[CANTIDADES DE REFERENCIA]]</f>
        <v>0</v>
      </c>
      <c r="K1867" s="36"/>
      <c r="L1867" s="36"/>
      <c r="M1867" s="36"/>
      <c r="N1867" s="37" t="s">
        <v>1031</v>
      </c>
      <c r="O1867" s="37" t="s">
        <v>1032</v>
      </c>
      <c r="P1867" s="38"/>
      <c r="Q1867" s="37" t="s">
        <v>4093</v>
      </c>
      <c r="R1867" s="37"/>
      <c r="S1867" s="37" t="s">
        <v>1034</v>
      </c>
      <c r="T1867" s="31"/>
    </row>
    <row r="1868" spans="1:20">
      <c r="A1868" s="31"/>
      <c r="B1868" s="32"/>
      <c r="C1868" s="33"/>
      <c r="D1868" s="32" t="s">
        <v>4094</v>
      </c>
      <c r="E1868" s="33" t="s">
        <v>116</v>
      </c>
      <c r="F1868" s="34">
        <v>1</v>
      </c>
      <c r="G1868" s="35">
        <v>0</v>
      </c>
      <c r="H1868" s="35">
        <v>0</v>
      </c>
      <c r="I1868" s="35">
        <f>Tabla1[[#This Row],[P.U. M.N.]]*Tabla1[[#This Row],[CANTIDADES DE REFERENCIA]]</f>
        <v>0</v>
      </c>
      <c r="J1868" s="35">
        <f>Tabla1[[#This Row],[P.U. USD]]*Tabla1[[#This Row],[CANTIDADES DE REFERENCIA]]</f>
        <v>0</v>
      </c>
      <c r="K1868" s="36"/>
      <c r="L1868" s="36"/>
      <c r="M1868" s="36"/>
      <c r="N1868" s="37" t="s">
        <v>1031</v>
      </c>
      <c r="O1868" s="37" t="s">
        <v>1032</v>
      </c>
      <c r="P1868" s="38"/>
      <c r="Q1868" s="37" t="s">
        <v>4095</v>
      </c>
      <c r="R1868" s="37"/>
      <c r="S1868" s="37" t="s">
        <v>1034</v>
      </c>
      <c r="T1868" s="31"/>
    </row>
    <row r="1869" spans="1:20">
      <c r="A1869" s="31" t="s">
        <v>3933</v>
      </c>
      <c r="B1869" s="32" t="s">
        <v>4096</v>
      </c>
      <c r="C1869" s="33" t="str">
        <f>Tabla1[[#This Row],[PARTIDA]] &amp; "."</f>
        <v>38C-007.</v>
      </c>
      <c r="D1869" s="32" t="s">
        <v>4097</v>
      </c>
      <c r="E1869" s="33" t="s">
        <v>116</v>
      </c>
      <c r="F1869" s="34">
        <v>1</v>
      </c>
      <c r="G1869" s="35">
        <v>267.91000000000003</v>
      </c>
      <c r="H1869" s="35">
        <v>0</v>
      </c>
      <c r="I1869" s="35">
        <f>Tabla1[[#This Row],[P.U. M.N.]]*Tabla1[[#This Row],[CANTIDADES DE REFERENCIA]]</f>
        <v>267.91000000000003</v>
      </c>
      <c r="J1869" s="35">
        <f>Tabla1[[#This Row],[P.U. USD]]*Tabla1[[#This Row],[CANTIDADES DE REFERENCIA]]</f>
        <v>0</v>
      </c>
      <c r="K1869" s="36"/>
      <c r="L1869" s="36"/>
      <c r="M1869" s="36"/>
      <c r="N1869" s="37" t="s">
        <v>117</v>
      </c>
      <c r="O1869" s="37" t="s">
        <v>118</v>
      </c>
      <c r="P1869" s="38">
        <v>45393</v>
      </c>
      <c r="Q1869" s="37" t="s">
        <v>4098</v>
      </c>
      <c r="R1869" s="37"/>
      <c r="S1869" s="37" t="s">
        <v>120</v>
      </c>
      <c r="T1869" s="31"/>
    </row>
    <row r="1870" spans="1:20">
      <c r="A1870" s="31" t="s">
        <v>3933</v>
      </c>
      <c r="B1870" s="32" t="s">
        <v>4099</v>
      </c>
      <c r="C1870" s="33" t="str">
        <f>Tabla1[[#This Row],[PARTIDA]] &amp; "."</f>
        <v>39C-007.</v>
      </c>
      <c r="D1870" s="32" t="s">
        <v>4100</v>
      </c>
      <c r="E1870" s="33" t="s">
        <v>135</v>
      </c>
      <c r="F1870" s="34">
        <v>1</v>
      </c>
      <c r="G1870" s="35">
        <v>5705.65</v>
      </c>
      <c r="H1870" s="35">
        <v>0</v>
      </c>
      <c r="I1870" s="35">
        <f>Tabla1[[#This Row],[P.U. M.N.]]*Tabla1[[#This Row],[CANTIDADES DE REFERENCIA]]</f>
        <v>5705.65</v>
      </c>
      <c r="J1870" s="35">
        <f>Tabla1[[#This Row],[P.U. USD]]*Tabla1[[#This Row],[CANTIDADES DE REFERENCIA]]</f>
        <v>0</v>
      </c>
      <c r="K1870" s="36"/>
      <c r="L1870" s="36"/>
      <c r="M1870" s="36"/>
      <c r="N1870" s="37" t="s">
        <v>117</v>
      </c>
      <c r="O1870" s="37" t="s">
        <v>118</v>
      </c>
      <c r="P1870" s="38">
        <v>45393</v>
      </c>
      <c r="Q1870" s="37" t="s">
        <v>4101</v>
      </c>
      <c r="R1870" s="37"/>
      <c r="S1870" s="37" t="s">
        <v>120</v>
      </c>
      <c r="T1870" s="31"/>
    </row>
    <row r="1871" spans="1:20">
      <c r="A1871" s="31" t="s">
        <v>3933</v>
      </c>
      <c r="B1871" s="32" t="s">
        <v>4102</v>
      </c>
      <c r="C1871" s="33" t="str">
        <f>Tabla1[[#This Row],[PARTIDA]] &amp; "."</f>
        <v>3C-007.</v>
      </c>
      <c r="D1871" s="32" t="s">
        <v>4103</v>
      </c>
      <c r="E1871" s="33" t="s">
        <v>116</v>
      </c>
      <c r="F1871" s="34">
        <v>1</v>
      </c>
      <c r="G1871" s="35">
        <v>1529.29</v>
      </c>
      <c r="H1871" s="35">
        <v>0</v>
      </c>
      <c r="I1871" s="35">
        <f>Tabla1[[#This Row],[P.U. M.N.]]*Tabla1[[#This Row],[CANTIDADES DE REFERENCIA]]</f>
        <v>1529.29</v>
      </c>
      <c r="J1871" s="35">
        <f>Tabla1[[#This Row],[P.U. USD]]*Tabla1[[#This Row],[CANTIDADES DE REFERENCIA]]</f>
        <v>0</v>
      </c>
      <c r="K1871" s="36"/>
      <c r="L1871" s="36"/>
      <c r="M1871" s="36"/>
      <c r="N1871" s="37" t="s">
        <v>117</v>
      </c>
      <c r="O1871" s="37" t="s">
        <v>118</v>
      </c>
      <c r="P1871" s="38">
        <v>45393</v>
      </c>
      <c r="Q1871" s="37" t="s">
        <v>4104</v>
      </c>
      <c r="R1871" s="37"/>
      <c r="S1871" s="37" t="s">
        <v>120</v>
      </c>
      <c r="T1871" s="31"/>
    </row>
    <row r="1872" spans="1:20">
      <c r="A1872" s="31" t="s">
        <v>3933</v>
      </c>
      <c r="B1872" s="32" t="s">
        <v>4105</v>
      </c>
      <c r="C1872" s="33" t="str">
        <f>Tabla1[[#This Row],[PARTIDA]] &amp; "."</f>
        <v>40C-007.</v>
      </c>
      <c r="D1872" s="32" t="s">
        <v>4106</v>
      </c>
      <c r="E1872" s="33" t="s">
        <v>116</v>
      </c>
      <c r="F1872" s="34">
        <v>1</v>
      </c>
      <c r="G1872" s="35">
        <v>18584.3</v>
      </c>
      <c r="H1872" s="35">
        <v>0</v>
      </c>
      <c r="I1872" s="35">
        <f>Tabla1[[#This Row],[P.U. M.N.]]*Tabla1[[#This Row],[CANTIDADES DE REFERENCIA]]</f>
        <v>18584.3</v>
      </c>
      <c r="J1872" s="35">
        <f>Tabla1[[#This Row],[P.U. USD]]*Tabla1[[#This Row],[CANTIDADES DE REFERENCIA]]</f>
        <v>0</v>
      </c>
      <c r="K1872" s="36"/>
      <c r="L1872" s="36"/>
      <c r="M1872" s="36"/>
      <c r="N1872" s="37" t="s">
        <v>117</v>
      </c>
      <c r="O1872" s="37" t="s">
        <v>118</v>
      </c>
      <c r="P1872" s="38">
        <v>45393</v>
      </c>
      <c r="Q1872" s="37" t="s">
        <v>4107</v>
      </c>
      <c r="R1872" s="37"/>
      <c r="S1872" s="37" t="s">
        <v>120</v>
      </c>
      <c r="T1872" s="31"/>
    </row>
    <row r="1873" spans="1:20">
      <c r="A1873" s="31" t="s">
        <v>3933</v>
      </c>
      <c r="B1873" s="32" t="s">
        <v>4108</v>
      </c>
      <c r="C1873" s="33" t="str">
        <f>Tabla1[[#This Row],[PARTIDA]] &amp; "."</f>
        <v>41C-007.</v>
      </c>
      <c r="D1873" s="32" t="s">
        <v>4109</v>
      </c>
      <c r="E1873" s="33" t="s">
        <v>116</v>
      </c>
      <c r="F1873" s="34">
        <v>1</v>
      </c>
      <c r="G1873" s="35">
        <v>13299.08</v>
      </c>
      <c r="H1873" s="35">
        <v>0</v>
      </c>
      <c r="I1873" s="35">
        <f>Tabla1[[#This Row],[P.U. M.N.]]*Tabla1[[#This Row],[CANTIDADES DE REFERENCIA]]</f>
        <v>13299.08</v>
      </c>
      <c r="J1873" s="35">
        <f>Tabla1[[#This Row],[P.U. USD]]*Tabla1[[#This Row],[CANTIDADES DE REFERENCIA]]</f>
        <v>0</v>
      </c>
      <c r="K1873" s="36"/>
      <c r="L1873" s="36"/>
      <c r="M1873" s="36"/>
      <c r="N1873" s="37" t="s">
        <v>117</v>
      </c>
      <c r="O1873" s="37" t="s">
        <v>118</v>
      </c>
      <c r="P1873" s="38">
        <v>45393</v>
      </c>
      <c r="Q1873" s="37" t="s">
        <v>4110</v>
      </c>
      <c r="R1873" s="37"/>
      <c r="S1873" s="37" t="s">
        <v>120</v>
      </c>
      <c r="T1873" s="31"/>
    </row>
    <row r="1874" spans="1:20">
      <c r="A1874" s="31" t="s">
        <v>3933</v>
      </c>
      <c r="B1874" s="32" t="s">
        <v>4111</v>
      </c>
      <c r="C1874" s="33" t="str">
        <f>Tabla1[[#This Row],[PARTIDA]] &amp; "."</f>
        <v>42C-007.</v>
      </c>
      <c r="D1874" s="32" t="s">
        <v>4112</v>
      </c>
      <c r="E1874" s="33" t="s">
        <v>116</v>
      </c>
      <c r="F1874" s="34">
        <v>1</v>
      </c>
      <c r="G1874" s="35">
        <v>13229.06</v>
      </c>
      <c r="H1874" s="35">
        <v>0</v>
      </c>
      <c r="I1874" s="35">
        <f>Tabla1[[#This Row],[P.U. M.N.]]*Tabla1[[#This Row],[CANTIDADES DE REFERENCIA]]</f>
        <v>13229.06</v>
      </c>
      <c r="J1874" s="35">
        <f>Tabla1[[#This Row],[P.U. USD]]*Tabla1[[#This Row],[CANTIDADES DE REFERENCIA]]</f>
        <v>0</v>
      </c>
      <c r="K1874" s="36"/>
      <c r="L1874" s="36"/>
      <c r="M1874" s="36"/>
      <c r="N1874" s="37" t="s">
        <v>117</v>
      </c>
      <c r="O1874" s="37" t="s">
        <v>118</v>
      </c>
      <c r="P1874" s="38">
        <v>45393</v>
      </c>
      <c r="Q1874" s="37" t="s">
        <v>4113</v>
      </c>
      <c r="R1874" s="37"/>
      <c r="S1874" s="37" t="s">
        <v>120</v>
      </c>
      <c r="T1874" s="31"/>
    </row>
    <row r="1875" spans="1:20">
      <c r="A1875" s="31" t="s">
        <v>3933</v>
      </c>
      <c r="B1875" s="32" t="s">
        <v>4114</v>
      </c>
      <c r="C1875" s="33" t="str">
        <f>Tabla1[[#This Row],[PARTIDA]] &amp; "."</f>
        <v>43C-007.</v>
      </c>
      <c r="D1875" s="32" t="s">
        <v>4115</v>
      </c>
      <c r="E1875" s="33" t="s">
        <v>116</v>
      </c>
      <c r="F1875" s="34">
        <v>1</v>
      </c>
      <c r="G1875" s="35">
        <v>1223.8599999999999</v>
      </c>
      <c r="H1875" s="35">
        <v>0</v>
      </c>
      <c r="I1875" s="35">
        <f>Tabla1[[#This Row],[P.U. M.N.]]*Tabla1[[#This Row],[CANTIDADES DE REFERENCIA]]</f>
        <v>1223.8599999999999</v>
      </c>
      <c r="J1875" s="35">
        <f>Tabla1[[#This Row],[P.U. USD]]*Tabla1[[#This Row],[CANTIDADES DE REFERENCIA]]</f>
        <v>0</v>
      </c>
      <c r="K1875" s="36"/>
      <c r="L1875" s="36"/>
      <c r="M1875" s="36"/>
      <c r="N1875" s="37" t="s">
        <v>117</v>
      </c>
      <c r="O1875" s="37" t="s">
        <v>118</v>
      </c>
      <c r="P1875" s="38">
        <v>45393</v>
      </c>
      <c r="Q1875" s="37" t="s">
        <v>4116</v>
      </c>
      <c r="R1875" s="37"/>
      <c r="S1875" s="37" t="s">
        <v>120</v>
      </c>
      <c r="T1875" s="31"/>
    </row>
    <row r="1876" spans="1:20">
      <c r="A1876" s="31" t="s">
        <v>3933</v>
      </c>
      <c r="B1876" s="32" t="s">
        <v>4117</v>
      </c>
      <c r="C1876" s="33" t="str">
        <f>Tabla1[[#This Row],[PARTIDA]] &amp; "."</f>
        <v>44C-007.</v>
      </c>
      <c r="D1876" s="32" t="s">
        <v>4118</v>
      </c>
      <c r="E1876" s="33" t="s">
        <v>116</v>
      </c>
      <c r="F1876" s="34">
        <v>1</v>
      </c>
      <c r="G1876" s="35">
        <v>295.72000000000003</v>
      </c>
      <c r="H1876" s="35">
        <v>0</v>
      </c>
      <c r="I1876" s="35">
        <f>Tabla1[[#This Row],[P.U. M.N.]]*Tabla1[[#This Row],[CANTIDADES DE REFERENCIA]]</f>
        <v>295.72000000000003</v>
      </c>
      <c r="J1876" s="35">
        <f>Tabla1[[#This Row],[P.U. USD]]*Tabla1[[#This Row],[CANTIDADES DE REFERENCIA]]</f>
        <v>0</v>
      </c>
      <c r="K1876" s="36"/>
      <c r="L1876" s="36"/>
      <c r="M1876" s="36"/>
      <c r="N1876" s="37" t="s">
        <v>117</v>
      </c>
      <c r="O1876" s="37" t="s">
        <v>118</v>
      </c>
      <c r="P1876" s="38">
        <v>45393</v>
      </c>
      <c r="Q1876" s="37" t="s">
        <v>4119</v>
      </c>
      <c r="R1876" s="37"/>
      <c r="S1876" s="37" t="s">
        <v>120</v>
      </c>
      <c r="T1876" s="31"/>
    </row>
    <row r="1877" spans="1:20">
      <c r="A1877" s="31"/>
      <c r="B1877" s="32"/>
      <c r="C1877" s="33"/>
      <c r="D1877" s="32" t="s">
        <v>4120</v>
      </c>
      <c r="E1877" s="33" t="s">
        <v>2699</v>
      </c>
      <c r="F1877" s="34">
        <v>1</v>
      </c>
      <c r="G1877" s="35">
        <v>0</v>
      </c>
      <c r="H1877" s="35">
        <v>0</v>
      </c>
      <c r="I1877" s="35">
        <f>Tabla1[[#This Row],[P.U. M.N.]]*Tabla1[[#This Row],[CANTIDADES DE REFERENCIA]]</f>
        <v>0</v>
      </c>
      <c r="J1877" s="35">
        <f>Tabla1[[#This Row],[P.U. USD]]*Tabla1[[#This Row],[CANTIDADES DE REFERENCIA]]</f>
        <v>0</v>
      </c>
      <c r="K1877" s="36"/>
      <c r="L1877" s="36"/>
      <c r="M1877" s="36"/>
      <c r="N1877" s="37" t="s">
        <v>31</v>
      </c>
      <c r="O1877" s="37"/>
      <c r="P1877" s="38"/>
      <c r="Q1877" s="37" t="s">
        <v>4121</v>
      </c>
      <c r="R1877" s="37" t="s">
        <v>389</v>
      </c>
      <c r="S1877" s="37" t="s">
        <v>33</v>
      </c>
      <c r="T1877" s="31"/>
    </row>
    <row r="1878" spans="1:20">
      <c r="A1878" s="31" t="s">
        <v>3933</v>
      </c>
      <c r="B1878" s="32" t="s">
        <v>4122</v>
      </c>
      <c r="C1878" s="33" t="str">
        <f>Tabla1[[#This Row],[PARTIDA]] &amp; "."</f>
        <v>45C-007.</v>
      </c>
      <c r="D1878" s="32" t="s">
        <v>4123</v>
      </c>
      <c r="E1878" s="33" t="s">
        <v>116</v>
      </c>
      <c r="F1878" s="34">
        <v>1</v>
      </c>
      <c r="G1878" s="35">
        <v>511.3</v>
      </c>
      <c r="H1878" s="35">
        <v>0</v>
      </c>
      <c r="I1878" s="35">
        <f>Tabla1[[#This Row],[P.U. M.N.]]*Tabla1[[#This Row],[CANTIDADES DE REFERENCIA]]</f>
        <v>511.3</v>
      </c>
      <c r="J1878" s="35">
        <f>Tabla1[[#This Row],[P.U. USD]]*Tabla1[[#This Row],[CANTIDADES DE REFERENCIA]]</f>
        <v>0</v>
      </c>
      <c r="K1878" s="36"/>
      <c r="L1878" s="36"/>
      <c r="M1878" s="36"/>
      <c r="N1878" s="37" t="s">
        <v>117</v>
      </c>
      <c r="O1878" s="37" t="s">
        <v>118</v>
      </c>
      <c r="P1878" s="38">
        <v>45393</v>
      </c>
      <c r="Q1878" s="37" t="s">
        <v>4124</v>
      </c>
      <c r="R1878" s="37"/>
      <c r="S1878" s="37" t="s">
        <v>120</v>
      </c>
      <c r="T1878" s="31"/>
    </row>
    <row r="1879" spans="1:20">
      <c r="A1879" s="31" t="s">
        <v>3933</v>
      </c>
      <c r="B1879" s="32" t="s">
        <v>4125</v>
      </c>
      <c r="C1879" s="33" t="str">
        <f>Tabla1[[#This Row],[PARTIDA]] &amp; "."</f>
        <v>4C-007.</v>
      </c>
      <c r="D1879" s="32" t="s">
        <v>4126</v>
      </c>
      <c r="E1879" s="33" t="s">
        <v>116</v>
      </c>
      <c r="F1879" s="34">
        <v>1</v>
      </c>
      <c r="G1879" s="35">
        <v>549.79</v>
      </c>
      <c r="H1879" s="35">
        <v>0</v>
      </c>
      <c r="I1879" s="35">
        <f>Tabla1[[#This Row],[P.U. M.N.]]*Tabla1[[#This Row],[CANTIDADES DE REFERENCIA]]</f>
        <v>549.79</v>
      </c>
      <c r="J1879" s="35">
        <f>Tabla1[[#This Row],[P.U. USD]]*Tabla1[[#This Row],[CANTIDADES DE REFERENCIA]]</f>
        <v>0</v>
      </c>
      <c r="K1879" s="36"/>
      <c r="L1879" s="36"/>
      <c r="M1879" s="36"/>
      <c r="N1879" s="37" t="s">
        <v>117</v>
      </c>
      <c r="O1879" s="37" t="s">
        <v>118</v>
      </c>
      <c r="P1879" s="38">
        <v>45393</v>
      </c>
      <c r="Q1879" s="37" t="s">
        <v>4127</v>
      </c>
      <c r="R1879" s="37"/>
      <c r="S1879" s="37" t="s">
        <v>120</v>
      </c>
      <c r="T1879" s="31"/>
    </row>
    <row r="1880" spans="1:20">
      <c r="A1880" s="31" t="s">
        <v>3933</v>
      </c>
      <c r="B1880" s="32" t="s">
        <v>4128</v>
      </c>
      <c r="C1880" s="33" t="str">
        <f>Tabla1[[#This Row],[PARTIDA]] &amp; "."</f>
        <v>5C-007.</v>
      </c>
      <c r="D1880" s="32" t="s">
        <v>4129</v>
      </c>
      <c r="E1880" s="33" t="s">
        <v>116</v>
      </c>
      <c r="F1880" s="34">
        <v>1</v>
      </c>
      <c r="G1880" s="35">
        <v>1729.42</v>
      </c>
      <c r="H1880" s="35">
        <v>0</v>
      </c>
      <c r="I1880" s="35">
        <f>Tabla1[[#This Row],[P.U. M.N.]]*Tabla1[[#This Row],[CANTIDADES DE REFERENCIA]]</f>
        <v>1729.42</v>
      </c>
      <c r="J1880" s="35">
        <f>Tabla1[[#This Row],[P.U. USD]]*Tabla1[[#This Row],[CANTIDADES DE REFERENCIA]]</f>
        <v>0</v>
      </c>
      <c r="K1880" s="36"/>
      <c r="L1880" s="36"/>
      <c r="M1880" s="36"/>
      <c r="N1880" s="37" t="s">
        <v>117</v>
      </c>
      <c r="O1880" s="37" t="s">
        <v>118</v>
      </c>
      <c r="P1880" s="38">
        <v>45393</v>
      </c>
      <c r="Q1880" s="37" t="s">
        <v>4130</v>
      </c>
      <c r="R1880" s="37"/>
      <c r="S1880" s="37" t="s">
        <v>120</v>
      </c>
      <c r="T1880" s="31"/>
    </row>
    <row r="1881" spans="1:20">
      <c r="A1881" s="31" t="s">
        <v>3933</v>
      </c>
      <c r="B1881" s="32" t="s">
        <v>4131</v>
      </c>
      <c r="C1881" s="33" t="str">
        <f>Tabla1[[#This Row],[PARTIDA]] &amp; "."</f>
        <v>6C-007.</v>
      </c>
      <c r="D1881" s="32" t="s">
        <v>4132</v>
      </c>
      <c r="E1881" s="33" t="s">
        <v>116</v>
      </c>
      <c r="F1881" s="34">
        <v>1</v>
      </c>
      <c r="G1881" s="35">
        <v>424.43</v>
      </c>
      <c r="H1881" s="35">
        <v>0</v>
      </c>
      <c r="I1881" s="35">
        <f>Tabla1[[#This Row],[P.U. M.N.]]*Tabla1[[#This Row],[CANTIDADES DE REFERENCIA]]</f>
        <v>424.43</v>
      </c>
      <c r="J1881" s="35">
        <f>Tabla1[[#This Row],[P.U. USD]]*Tabla1[[#This Row],[CANTIDADES DE REFERENCIA]]</f>
        <v>0</v>
      </c>
      <c r="K1881" s="36"/>
      <c r="L1881" s="36"/>
      <c r="M1881" s="36"/>
      <c r="N1881" s="37" t="s">
        <v>117</v>
      </c>
      <c r="O1881" s="37" t="s">
        <v>118</v>
      </c>
      <c r="P1881" s="38">
        <v>45393</v>
      </c>
      <c r="Q1881" s="37" t="s">
        <v>4133</v>
      </c>
      <c r="R1881" s="37"/>
      <c r="S1881" s="37" t="s">
        <v>120</v>
      </c>
      <c r="T1881" s="31"/>
    </row>
    <row r="1882" spans="1:20">
      <c r="A1882" s="31" t="s">
        <v>3933</v>
      </c>
      <c r="B1882" s="32" t="s">
        <v>4134</v>
      </c>
      <c r="C1882" s="33" t="str">
        <f>Tabla1[[#This Row],[PARTIDA]] &amp; "."</f>
        <v>7C-007.</v>
      </c>
      <c r="D1882" s="32" t="s">
        <v>4135</v>
      </c>
      <c r="E1882" s="33" t="s">
        <v>116</v>
      </c>
      <c r="F1882" s="34">
        <v>1</v>
      </c>
      <c r="G1882" s="35">
        <v>567.28</v>
      </c>
      <c r="H1882" s="35">
        <v>0</v>
      </c>
      <c r="I1882" s="35">
        <f>Tabla1[[#This Row],[P.U. M.N.]]*Tabla1[[#This Row],[CANTIDADES DE REFERENCIA]]</f>
        <v>567.28</v>
      </c>
      <c r="J1882" s="35">
        <f>Tabla1[[#This Row],[P.U. USD]]*Tabla1[[#This Row],[CANTIDADES DE REFERENCIA]]</f>
        <v>0</v>
      </c>
      <c r="K1882" s="36"/>
      <c r="L1882" s="36"/>
      <c r="M1882" s="36"/>
      <c r="N1882" s="37" t="s">
        <v>117</v>
      </c>
      <c r="O1882" s="37" t="s">
        <v>118</v>
      </c>
      <c r="P1882" s="38">
        <v>45393</v>
      </c>
      <c r="Q1882" s="37" t="s">
        <v>4136</v>
      </c>
      <c r="R1882" s="37"/>
      <c r="S1882" s="37" t="s">
        <v>120</v>
      </c>
      <c r="T1882" s="31"/>
    </row>
    <row r="1883" spans="1:20">
      <c r="A1883" s="31" t="s">
        <v>3933</v>
      </c>
      <c r="B1883" s="32" t="s">
        <v>4137</v>
      </c>
      <c r="C1883" s="33" t="str">
        <f>Tabla1[[#This Row],[PARTIDA]] &amp; "."</f>
        <v>8C-007.</v>
      </c>
      <c r="D1883" s="32" t="s">
        <v>4138</v>
      </c>
      <c r="E1883" s="33" t="s">
        <v>116</v>
      </c>
      <c r="F1883" s="34">
        <v>1</v>
      </c>
      <c r="G1883" s="35">
        <v>20123.259999999998</v>
      </c>
      <c r="H1883" s="35">
        <v>0</v>
      </c>
      <c r="I1883" s="35">
        <f>Tabla1[[#This Row],[P.U. M.N.]]*Tabla1[[#This Row],[CANTIDADES DE REFERENCIA]]</f>
        <v>20123.259999999998</v>
      </c>
      <c r="J1883" s="35">
        <f>Tabla1[[#This Row],[P.U. USD]]*Tabla1[[#This Row],[CANTIDADES DE REFERENCIA]]</f>
        <v>0</v>
      </c>
      <c r="K1883" s="36"/>
      <c r="L1883" s="36"/>
      <c r="M1883" s="36"/>
      <c r="N1883" s="37" t="s">
        <v>79</v>
      </c>
      <c r="O1883" s="37" t="s">
        <v>80</v>
      </c>
      <c r="P1883" s="38">
        <v>45393</v>
      </c>
      <c r="Q1883" s="37" t="s">
        <v>4139</v>
      </c>
      <c r="R1883" s="37"/>
      <c r="S1883" s="37" t="s">
        <v>82</v>
      </c>
      <c r="T1883" s="31"/>
    </row>
    <row r="1884" spans="1:20">
      <c r="A1884" s="31" t="s">
        <v>3933</v>
      </c>
      <c r="B1884" s="32" t="s">
        <v>4140</v>
      </c>
      <c r="C1884" s="33" t="str">
        <f>Tabla1[[#This Row],[PARTIDA]] &amp; "."</f>
        <v>9C-007.</v>
      </c>
      <c r="D1884" s="32" t="s">
        <v>4141</v>
      </c>
      <c r="E1884" s="33" t="s">
        <v>116</v>
      </c>
      <c r="F1884" s="34">
        <v>1</v>
      </c>
      <c r="G1884" s="35">
        <v>7914.74</v>
      </c>
      <c r="H1884" s="35">
        <v>0</v>
      </c>
      <c r="I1884" s="35">
        <f>Tabla1[[#This Row],[P.U. M.N.]]*Tabla1[[#This Row],[CANTIDADES DE REFERENCIA]]</f>
        <v>7914.74</v>
      </c>
      <c r="J1884" s="35">
        <f>Tabla1[[#This Row],[P.U. USD]]*Tabla1[[#This Row],[CANTIDADES DE REFERENCIA]]</f>
        <v>0</v>
      </c>
      <c r="K1884" s="36"/>
      <c r="L1884" s="36"/>
      <c r="M1884" s="36"/>
      <c r="N1884" s="37" t="s">
        <v>79</v>
      </c>
      <c r="O1884" s="37" t="s">
        <v>80</v>
      </c>
      <c r="P1884" s="38">
        <v>45393</v>
      </c>
      <c r="Q1884" s="37" t="s">
        <v>4142</v>
      </c>
      <c r="R1884" s="37"/>
      <c r="S1884" s="37" t="s">
        <v>82</v>
      </c>
      <c r="T1884" s="31"/>
    </row>
    <row r="1885" spans="1:20">
      <c r="A1885" s="31" t="s">
        <v>4143</v>
      </c>
      <c r="B1885" s="32" t="s">
        <v>4144</v>
      </c>
      <c r="C1885" s="33" t="str">
        <f>Tabla1[[#This Row],[PARTIDA]] &amp; "."</f>
        <v>1C-008.</v>
      </c>
      <c r="D1885" s="32" t="s">
        <v>4145</v>
      </c>
      <c r="E1885" s="33" t="s">
        <v>116</v>
      </c>
      <c r="F1885" s="34">
        <v>1</v>
      </c>
      <c r="G1885" s="35">
        <v>3897.18</v>
      </c>
      <c r="H1885" s="35">
        <v>3493.5</v>
      </c>
      <c r="I1885" s="35">
        <f>Tabla1[[#This Row],[P.U. M.N.]]*Tabla1[[#This Row],[CANTIDADES DE REFERENCIA]]</f>
        <v>3897.18</v>
      </c>
      <c r="J1885" s="35">
        <f>Tabla1[[#This Row],[P.U. USD]]*Tabla1[[#This Row],[CANTIDADES DE REFERENCIA]]</f>
        <v>3493.5</v>
      </c>
      <c r="K1885" s="36"/>
      <c r="L1885" s="36"/>
      <c r="M1885" s="36"/>
      <c r="N1885" s="37" t="s">
        <v>117</v>
      </c>
      <c r="O1885" s="37" t="s">
        <v>118</v>
      </c>
      <c r="P1885" s="38">
        <v>45479</v>
      </c>
      <c r="Q1885" s="37" t="s">
        <v>4146</v>
      </c>
      <c r="R1885" s="37"/>
      <c r="S1885" s="37" t="s">
        <v>120</v>
      </c>
      <c r="T1885" s="31"/>
    </row>
    <row r="1886" spans="1:20">
      <c r="A1886" s="31"/>
      <c r="B1886" s="32"/>
      <c r="C1886" s="33"/>
      <c r="D1886" s="32" t="s">
        <v>2171</v>
      </c>
      <c r="E1886" s="33" t="s">
        <v>116</v>
      </c>
      <c r="F1886" s="34">
        <v>1</v>
      </c>
      <c r="G1886" s="35">
        <v>0</v>
      </c>
      <c r="H1886" s="35">
        <v>0</v>
      </c>
      <c r="I1886" s="35">
        <f>Tabla1[[#This Row],[P.U. M.N.]]*Tabla1[[#This Row],[CANTIDADES DE REFERENCIA]]</f>
        <v>0</v>
      </c>
      <c r="J1886" s="35">
        <f>Tabla1[[#This Row],[P.U. USD]]*Tabla1[[#This Row],[CANTIDADES DE REFERENCIA]]</f>
        <v>0</v>
      </c>
      <c r="K1886" s="36"/>
      <c r="L1886" s="36"/>
      <c r="M1886" s="36"/>
      <c r="N1886" s="37" t="s">
        <v>392</v>
      </c>
      <c r="O1886" s="37" t="s">
        <v>393</v>
      </c>
      <c r="P1886" s="38"/>
      <c r="Q1886" s="37" t="s">
        <v>4147</v>
      </c>
      <c r="R1886" s="37"/>
      <c r="S1886" s="37" t="s">
        <v>395</v>
      </c>
      <c r="T1886" s="31"/>
    </row>
    <row r="1887" spans="1:20">
      <c r="A1887" s="31"/>
      <c r="B1887" s="32"/>
      <c r="C1887" s="33"/>
      <c r="D1887" s="32" t="s">
        <v>4148</v>
      </c>
      <c r="E1887" s="33" t="s">
        <v>116</v>
      </c>
      <c r="F1887" s="34">
        <v>1</v>
      </c>
      <c r="G1887" s="35">
        <v>0</v>
      </c>
      <c r="H1887" s="35">
        <v>0</v>
      </c>
      <c r="I1887" s="35">
        <f>Tabla1[[#This Row],[P.U. M.N.]]*Tabla1[[#This Row],[CANTIDADES DE REFERENCIA]]</f>
        <v>0</v>
      </c>
      <c r="J1887" s="35">
        <f>Tabla1[[#This Row],[P.U. USD]]*Tabla1[[#This Row],[CANTIDADES DE REFERENCIA]]</f>
        <v>0</v>
      </c>
      <c r="K1887" s="36"/>
      <c r="L1887" s="36"/>
      <c r="M1887" s="36"/>
      <c r="N1887" s="37" t="s">
        <v>392</v>
      </c>
      <c r="O1887" s="37" t="s">
        <v>393</v>
      </c>
      <c r="P1887" s="38"/>
      <c r="Q1887" s="37" t="s">
        <v>4149</v>
      </c>
      <c r="R1887" s="37"/>
      <c r="S1887" s="37" t="s">
        <v>395</v>
      </c>
      <c r="T1887" s="31"/>
    </row>
    <row r="1888" spans="1:20">
      <c r="A1888" s="31"/>
      <c r="B1888" s="32"/>
      <c r="C1888" s="33"/>
      <c r="D1888" s="32" t="s">
        <v>4150</v>
      </c>
      <c r="E1888" s="33" t="s">
        <v>116</v>
      </c>
      <c r="F1888" s="34">
        <v>1</v>
      </c>
      <c r="G1888" s="35">
        <v>0</v>
      </c>
      <c r="H1888" s="35">
        <v>0</v>
      </c>
      <c r="I1888" s="35">
        <f>Tabla1[[#This Row],[P.U. M.N.]]*Tabla1[[#This Row],[CANTIDADES DE REFERENCIA]]</f>
        <v>0</v>
      </c>
      <c r="J1888" s="35">
        <f>Tabla1[[#This Row],[P.U. USD]]*Tabla1[[#This Row],[CANTIDADES DE REFERENCIA]]</f>
        <v>0</v>
      </c>
      <c r="K1888" s="36"/>
      <c r="L1888" s="36"/>
      <c r="M1888" s="36"/>
      <c r="N1888" s="37" t="s">
        <v>392</v>
      </c>
      <c r="O1888" s="37" t="s">
        <v>393</v>
      </c>
      <c r="P1888" s="38"/>
      <c r="Q1888" s="37" t="s">
        <v>4151</v>
      </c>
      <c r="R1888" s="37"/>
      <c r="S1888" s="37" t="s">
        <v>395</v>
      </c>
      <c r="T1888" s="31"/>
    </row>
    <row r="1889" spans="1:20">
      <c r="A1889" s="31"/>
      <c r="B1889" s="32"/>
      <c r="C1889" s="33"/>
      <c r="D1889" s="32" t="s">
        <v>4152</v>
      </c>
      <c r="E1889" s="33" t="s">
        <v>116</v>
      </c>
      <c r="F1889" s="34">
        <v>1</v>
      </c>
      <c r="G1889" s="35">
        <v>0</v>
      </c>
      <c r="H1889" s="35">
        <v>0</v>
      </c>
      <c r="I1889" s="35">
        <f>Tabla1[[#This Row],[P.U. M.N.]]*Tabla1[[#This Row],[CANTIDADES DE REFERENCIA]]</f>
        <v>0</v>
      </c>
      <c r="J1889" s="35">
        <f>Tabla1[[#This Row],[P.U. USD]]*Tabla1[[#This Row],[CANTIDADES DE REFERENCIA]]</f>
        <v>0</v>
      </c>
      <c r="K1889" s="36"/>
      <c r="L1889" s="36"/>
      <c r="M1889" s="36"/>
      <c r="N1889" s="37"/>
      <c r="O1889" s="37"/>
      <c r="P1889" s="38"/>
      <c r="Q1889" s="37" t="s">
        <v>4153</v>
      </c>
      <c r="R1889" s="37"/>
      <c r="S1889" s="37" t="s">
        <v>4154</v>
      </c>
      <c r="T1889" s="31"/>
    </row>
    <row r="1890" spans="1:20">
      <c r="A1890" s="31"/>
      <c r="B1890" s="32"/>
      <c r="C1890" s="33"/>
      <c r="D1890" s="32" t="s">
        <v>4155</v>
      </c>
      <c r="E1890" s="33" t="s">
        <v>61</v>
      </c>
      <c r="F1890" s="34">
        <v>1</v>
      </c>
      <c r="G1890" s="35">
        <v>0</v>
      </c>
      <c r="H1890" s="35">
        <v>0</v>
      </c>
      <c r="I1890" s="35">
        <f>Tabla1[[#This Row],[P.U. M.N.]]*Tabla1[[#This Row],[CANTIDADES DE REFERENCIA]]</f>
        <v>0</v>
      </c>
      <c r="J1890" s="35">
        <f>Tabla1[[#This Row],[P.U. USD]]*Tabla1[[#This Row],[CANTIDADES DE REFERENCIA]]</f>
        <v>0</v>
      </c>
      <c r="K1890" s="36"/>
      <c r="L1890" s="36"/>
      <c r="M1890" s="36"/>
      <c r="N1890" s="37" t="s">
        <v>392</v>
      </c>
      <c r="O1890" s="37" t="s">
        <v>393</v>
      </c>
      <c r="P1890" s="38"/>
      <c r="Q1890" s="37" t="s">
        <v>4156</v>
      </c>
      <c r="R1890" s="37" t="s">
        <v>58</v>
      </c>
      <c r="S1890" s="37" t="s">
        <v>395</v>
      </c>
      <c r="T1890" s="31"/>
    </row>
    <row r="1891" spans="1:20">
      <c r="A1891" s="31"/>
      <c r="B1891" s="32"/>
      <c r="C1891" s="33"/>
      <c r="D1891" s="32" t="s">
        <v>4157</v>
      </c>
      <c r="E1891" s="33" t="s">
        <v>61</v>
      </c>
      <c r="F1891" s="34">
        <v>1</v>
      </c>
      <c r="G1891" s="35">
        <v>0</v>
      </c>
      <c r="H1891" s="35">
        <v>0</v>
      </c>
      <c r="I1891" s="35">
        <f>Tabla1[[#This Row],[P.U. M.N.]]*Tabla1[[#This Row],[CANTIDADES DE REFERENCIA]]</f>
        <v>0</v>
      </c>
      <c r="J1891" s="35">
        <f>Tabla1[[#This Row],[P.U. USD]]*Tabla1[[#This Row],[CANTIDADES DE REFERENCIA]]</f>
        <v>0</v>
      </c>
      <c r="K1891" s="36"/>
      <c r="L1891" s="36"/>
      <c r="M1891" s="36"/>
      <c r="N1891" s="37" t="s">
        <v>392</v>
      </c>
      <c r="O1891" s="37" t="s">
        <v>393</v>
      </c>
      <c r="P1891" s="38"/>
      <c r="Q1891" s="37" t="s">
        <v>4158</v>
      </c>
      <c r="R1891" s="37"/>
      <c r="S1891" s="37" t="s">
        <v>395</v>
      </c>
      <c r="T1891" s="31"/>
    </row>
    <row r="1892" spans="1:20">
      <c r="A1892" s="31"/>
      <c r="B1892" s="32"/>
      <c r="C1892" s="33"/>
      <c r="D1892" s="32" t="s">
        <v>4159</v>
      </c>
      <c r="E1892" s="33" t="s">
        <v>61</v>
      </c>
      <c r="F1892" s="34">
        <v>1</v>
      </c>
      <c r="G1892" s="35">
        <v>0</v>
      </c>
      <c r="H1892" s="35">
        <v>0</v>
      </c>
      <c r="I1892" s="35">
        <f>Tabla1[[#This Row],[P.U. M.N.]]*Tabla1[[#This Row],[CANTIDADES DE REFERENCIA]]</f>
        <v>0</v>
      </c>
      <c r="J1892" s="35">
        <f>Tabla1[[#This Row],[P.U. USD]]*Tabla1[[#This Row],[CANTIDADES DE REFERENCIA]]</f>
        <v>0</v>
      </c>
      <c r="K1892" s="36"/>
      <c r="L1892" s="36"/>
      <c r="M1892" s="36"/>
      <c r="N1892" s="37" t="s">
        <v>392</v>
      </c>
      <c r="O1892" s="37" t="s">
        <v>393</v>
      </c>
      <c r="P1892" s="38"/>
      <c r="Q1892" s="37" t="s">
        <v>4160</v>
      </c>
      <c r="R1892" s="37" t="s">
        <v>58</v>
      </c>
      <c r="S1892" s="37" t="s">
        <v>395</v>
      </c>
      <c r="T1892" s="31"/>
    </row>
    <row r="1893" spans="1:20">
      <c r="A1893" s="31"/>
      <c r="B1893" s="32"/>
      <c r="C1893" s="33"/>
      <c r="D1893" s="32" t="s">
        <v>4161</v>
      </c>
      <c r="E1893" s="33" t="s">
        <v>61</v>
      </c>
      <c r="F1893" s="34">
        <v>1</v>
      </c>
      <c r="G1893" s="35">
        <v>0</v>
      </c>
      <c r="H1893" s="35">
        <v>0</v>
      </c>
      <c r="I1893" s="35">
        <f>Tabla1[[#This Row],[P.U. M.N.]]*Tabla1[[#This Row],[CANTIDADES DE REFERENCIA]]</f>
        <v>0</v>
      </c>
      <c r="J1893" s="35">
        <f>Tabla1[[#This Row],[P.U. USD]]*Tabla1[[#This Row],[CANTIDADES DE REFERENCIA]]</f>
        <v>0</v>
      </c>
      <c r="K1893" s="36"/>
      <c r="L1893" s="36"/>
      <c r="M1893" s="36"/>
      <c r="N1893" s="37" t="s">
        <v>392</v>
      </c>
      <c r="O1893" s="37" t="s">
        <v>393</v>
      </c>
      <c r="P1893" s="38"/>
      <c r="Q1893" s="37" t="s">
        <v>4162</v>
      </c>
      <c r="R1893" s="37" t="s">
        <v>58</v>
      </c>
      <c r="S1893" s="37" t="s">
        <v>395</v>
      </c>
      <c r="T1893" s="31"/>
    </row>
    <row r="1894" spans="1:20">
      <c r="A1894" s="31"/>
      <c r="B1894" s="32"/>
      <c r="C1894" s="33"/>
      <c r="D1894" s="32" t="s">
        <v>4163</v>
      </c>
      <c r="E1894" s="33" t="s">
        <v>116</v>
      </c>
      <c r="F1894" s="34">
        <v>1</v>
      </c>
      <c r="G1894" s="35">
        <v>0</v>
      </c>
      <c r="H1894" s="35">
        <v>0</v>
      </c>
      <c r="I1894" s="35">
        <f>Tabla1[[#This Row],[P.U. M.N.]]*Tabla1[[#This Row],[CANTIDADES DE REFERENCIA]]</f>
        <v>0</v>
      </c>
      <c r="J1894" s="35">
        <f>Tabla1[[#This Row],[P.U. USD]]*Tabla1[[#This Row],[CANTIDADES DE REFERENCIA]]</f>
        <v>0</v>
      </c>
      <c r="K1894" s="36"/>
      <c r="L1894" s="36"/>
      <c r="M1894" s="36"/>
      <c r="N1894" s="37"/>
      <c r="O1894" s="37"/>
      <c r="P1894" s="38"/>
      <c r="Q1894" s="37" t="s">
        <v>4164</v>
      </c>
      <c r="R1894" s="37"/>
      <c r="S1894" s="37" t="s">
        <v>681</v>
      </c>
      <c r="T1894" s="31"/>
    </row>
    <row r="1895" spans="1:20">
      <c r="A1895" s="31"/>
      <c r="B1895" s="32"/>
      <c r="C1895" s="33"/>
      <c r="D1895" s="32" t="s">
        <v>4165</v>
      </c>
      <c r="E1895" s="33" t="s">
        <v>116</v>
      </c>
      <c r="F1895" s="34">
        <v>1</v>
      </c>
      <c r="G1895" s="35">
        <v>0</v>
      </c>
      <c r="H1895" s="35">
        <v>0</v>
      </c>
      <c r="I1895" s="35">
        <f>Tabla1[[#This Row],[P.U. M.N.]]*Tabla1[[#This Row],[CANTIDADES DE REFERENCIA]]</f>
        <v>0</v>
      </c>
      <c r="J1895" s="35">
        <f>Tabla1[[#This Row],[P.U. USD]]*Tabla1[[#This Row],[CANTIDADES DE REFERENCIA]]</f>
        <v>0</v>
      </c>
      <c r="K1895" s="36"/>
      <c r="L1895" s="36"/>
      <c r="M1895" s="36"/>
      <c r="N1895" s="37"/>
      <c r="O1895" s="37"/>
      <c r="P1895" s="38"/>
      <c r="Q1895" s="37" t="s">
        <v>4166</v>
      </c>
      <c r="R1895" s="37"/>
      <c r="S1895" s="37" t="s">
        <v>681</v>
      </c>
      <c r="T1895" s="31"/>
    </row>
    <row r="1896" spans="1:20">
      <c r="A1896" s="31"/>
      <c r="B1896" s="32"/>
      <c r="C1896" s="33"/>
      <c r="D1896" s="32" t="s">
        <v>4167</v>
      </c>
      <c r="E1896" s="33" t="s">
        <v>116</v>
      </c>
      <c r="F1896" s="34">
        <v>1</v>
      </c>
      <c r="G1896" s="35">
        <v>0</v>
      </c>
      <c r="H1896" s="35">
        <v>0</v>
      </c>
      <c r="I1896" s="35">
        <f>Tabla1[[#This Row],[P.U. M.N.]]*Tabla1[[#This Row],[CANTIDADES DE REFERENCIA]]</f>
        <v>0</v>
      </c>
      <c r="J1896" s="35">
        <f>Tabla1[[#This Row],[P.U. USD]]*Tabla1[[#This Row],[CANTIDADES DE REFERENCIA]]</f>
        <v>0</v>
      </c>
      <c r="K1896" s="36"/>
      <c r="L1896" s="36"/>
      <c r="M1896" s="36"/>
      <c r="N1896" s="37"/>
      <c r="O1896" s="37"/>
      <c r="P1896" s="38"/>
      <c r="Q1896" s="37" t="s">
        <v>4168</v>
      </c>
      <c r="R1896" s="37"/>
      <c r="S1896" s="37" t="s">
        <v>681</v>
      </c>
      <c r="T1896" s="31"/>
    </row>
    <row r="1897" spans="1:20">
      <c r="A1897" s="31"/>
      <c r="B1897" s="32"/>
      <c r="C1897" s="33"/>
      <c r="D1897" s="32" t="s">
        <v>4169</v>
      </c>
      <c r="E1897" s="33" t="s">
        <v>116</v>
      </c>
      <c r="F1897" s="34">
        <v>1</v>
      </c>
      <c r="G1897" s="35">
        <v>0</v>
      </c>
      <c r="H1897" s="35">
        <v>0</v>
      </c>
      <c r="I1897" s="35">
        <f>Tabla1[[#This Row],[P.U. M.N.]]*Tabla1[[#This Row],[CANTIDADES DE REFERENCIA]]</f>
        <v>0</v>
      </c>
      <c r="J1897" s="35">
        <f>Tabla1[[#This Row],[P.U. USD]]*Tabla1[[#This Row],[CANTIDADES DE REFERENCIA]]</f>
        <v>0</v>
      </c>
      <c r="K1897" s="36"/>
      <c r="L1897" s="36"/>
      <c r="M1897" s="36"/>
      <c r="N1897" s="37"/>
      <c r="O1897" s="37"/>
      <c r="P1897" s="38"/>
      <c r="Q1897" s="37" t="s">
        <v>4170</v>
      </c>
      <c r="R1897" s="37"/>
      <c r="S1897" s="37" t="s">
        <v>681</v>
      </c>
      <c r="T1897" s="31"/>
    </row>
    <row r="1898" spans="1:20">
      <c r="A1898" s="31"/>
      <c r="B1898" s="32"/>
      <c r="C1898" s="33"/>
      <c r="D1898" s="32" t="s">
        <v>4171</v>
      </c>
      <c r="E1898" s="33" t="s">
        <v>116</v>
      </c>
      <c r="F1898" s="34">
        <v>1</v>
      </c>
      <c r="G1898" s="35">
        <v>0</v>
      </c>
      <c r="H1898" s="35">
        <v>0</v>
      </c>
      <c r="I1898" s="35">
        <f>Tabla1[[#This Row],[P.U. M.N.]]*Tabla1[[#This Row],[CANTIDADES DE REFERENCIA]]</f>
        <v>0</v>
      </c>
      <c r="J1898" s="35">
        <f>Tabla1[[#This Row],[P.U. USD]]*Tabla1[[#This Row],[CANTIDADES DE REFERENCIA]]</f>
        <v>0</v>
      </c>
      <c r="K1898" s="36"/>
      <c r="L1898" s="36"/>
      <c r="M1898" s="36"/>
      <c r="N1898" s="37"/>
      <c r="O1898" s="37"/>
      <c r="P1898" s="38"/>
      <c r="Q1898" s="37" t="s">
        <v>4172</v>
      </c>
      <c r="R1898" s="37"/>
      <c r="S1898" s="37" t="s">
        <v>681</v>
      </c>
      <c r="T1898" s="31"/>
    </row>
    <row r="1899" spans="1:20">
      <c r="A1899" s="31"/>
      <c r="B1899" s="32"/>
      <c r="C1899" s="33"/>
      <c r="D1899" s="32" t="s">
        <v>4173</v>
      </c>
      <c r="E1899" s="33" t="s">
        <v>116</v>
      </c>
      <c r="F1899" s="34">
        <v>1</v>
      </c>
      <c r="G1899" s="35">
        <v>0</v>
      </c>
      <c r="H1899" s="35">
        <v>0</v>
      </c>
      <c r="I1899" s="35">
        <f>Tabla1[[#This Row],[P.U. M.N.]]*Tabla1[[#This Row],[CANTIDADES DE REFERENCIA]]</f>
        <v>0</v>
      </c>
      <c r="J1899" s="35">
        <f>Tabla1[[#This Row],[P.U. USD]]*Tabla1[[#This Row],[CANTIDADES DE REFERENCIA]]</f>
        <v>0</v>
      </c>
      <c r="K1899" s="36"/>
      <c r="L1899" s="36"/>
      <c r="M1899" s="36"/>
      <c r="N1899" s="37"/>
      <c r="O1899" s="37"/>
      <c r="P1899" s="38"/>
      <c r="Q1899" s="37" t="s">
        <v>4174</v>
      </c>
      <c r="R1899" s="37"/>
      <c r="S1899" s="37" t="s">
        <v>681</v>
      </c>
      <c r="T1899" s="31"/>
    </row>
    <row r="1900" spans="1:20">
      <c r="A1900" s="31"/>
      <c r="B1900" s="32"/>
      <c r="C1900" s="33"/>
      <c r="D1900" s="32" t="s">
        <v>4175</v>
      </c>
      <c r="E1900" s="33" t="s">
        <v>116</v>
      </c>
      <c r="F1900" s="34">
        <v>1</v>
      </c>
      <c r="G1900" s="35">
        <v>0</v>
      </c>
      <c r="H1900" s="35">
        <v>0</v>
      </c>
      <c r="I1900" s="35">
        <f>Tabla1[[#This Row],[P.U. M.N.]]*Tabla1[[#This Row],[CANTIDADES DE REFERENCIA]]</f>
        <v>0</v>
      </c>
      <c r="J1900" s="35">
        <f>Tabla1[[#This Row],[P.U. USD]]*Tabla1[[#This Row],[CANTIDADES DE REFERENCIA]]</f>
        <v>0</v>
      </c>
      <c r="K1900" s="36"/>
      <c r="L1900" s="36"/>
      <c r="M1900" s="36"/>
      <c r="N1900" s="37"/>
      <c r="O1900" s="37"/>
      <c r="P1900" s="38"/>
      <c r="Q1900" s="37" t="s">
        <v>4176</v>
      </c>
      <c r="R1900" s="37"/>
      <c r="S1900" s="37" t="s">
        <v>681</v>
      </c>
      <c r="T1900" s="31"/>
    </row>
    <row r="1901" spans="1:20">
      <c r="A1901" s="31"/>
      <c r="B1901" s="32"/>
      <c r="C1901" s="33"/>
      <c r="D1901" s="32" t="s">
        <v>4177</v>
      </c>
      <c r="E1901" s="33" t="s">
        <v>116</v>
      </c>
      <c r="F1901" s="34">
        <v>1</v>
      </c>
      <c r="G1901" s="35">
        <v>0</v>
      </c>
      <c r="H1901" s="35">
        <v>0</v>
      </c>
      <c r="I1901" s="35">
        <f>Tabla1[[#This Row],[P.U. M.N.]]*Tabla1[[#This Row],[CANTIDADES DE REFERENCIA]]</f>
        <v>0</v>
      </c>
      <c r="J1901" s="35">
        <f>Tabla1[[#This Row],[P.U. USD]]*Tabla1[[#This Row],[CANTIDADES DE REFERENCIA]]</f>
        <v>0</v>
      </c>
      <c r="K1901" s="36"/>
      <c r="L1901" s="36"/>
      <c r="M1901" s="36"/>
      <c r="N1901" s="37"/>
      <c r="O1901" s="37"/>
      <c r="P1901" s="38"/>
      <c r="Q1901" s="37" t="s">
        <v>4178</v>
      </c>
      <c r="R1901" s="37"/>
      <c r="S1901" s="37" t="s">
        <v>681</v>
      </c>
      <c r="T1901" s="31"/>
    </row>
    <row r="1902" spans="1:20">
      <c r="A1902" s="31"/>
      <c r="B1902" s="32"/>
      <c r="C1902" s="33"/>
      <c r="D1902" s="32" t="s">
        <v>4179</v>
      </c>
      <c r="E1902" s="33" t="s">
        <v>116</v>
      </c>
      <c r="F1902" s="34">
        <v>1</v>
      </c>
      <c r="G1902" s="35">
        <v>0</v>
      </c>
      <c r="H1902" s="35">
        <v>0</v>
      </c>
      <c r="I1902" s="35">
        <f>Tabla1[[#This Row],[P.U. M.N.]]*Tabla1[[#This Row],[CANTIDADES DE REFERENCIA]]</f>
        <v>0</v>
      </c>
      <c r="J1902" s="35">
        <f>Tabla1[[#This Row],[P.U. USD]]*Tabla1[[#This Row],[CANTIDADES DE REFERENCIA]]</f>
        <v>0</v>
      </c>
      <c r="K1902" s="36"/>
      <c r="L1902" s="36"/>
      <c r="M1902" s="36"/>
      <c r="N1902" s="37"/>
      <c r="O1902" s="37"/>
      <c r="P1902" s="38"/>
      <c r="Q1902" s="37" t="s">
        <v>4180</v>
      </c>
      <c r="R1902" s="37"/>
      <c r="S1902" s="37" t="s">
        <v>681</v>
      </c>
      <c r="T1902" s="31"/>
    </row>
    <row r="1903" spans="1:20">
      <c r="A1903" s="31"/>
      <c r="B1903" s="32"/>
      <c r="C1903" s="33"/>
      <c r="D1903" s="32" t="s">
        <v>4181</v>
      </c>
      <c r="E1903" s="33" t="s">
        <v>116</v>
      </c>
      <c r="F1903" s="34">
        <v>1</v>
      </c>
      <c r="G1903" s="35">
        <v>0</v>
      </c>
      <c r="H1903" s="35">
        <v>0</v>
      </c>
      <c r="I1903" s="35">
        <f>Tabla1[[#This Row],[P.U. M.N.]]*Tabla1[[#This Row],[CANTIDADES DE REFERENCIA]]</f>
        <v>0</v>
      </c>
      <c r="J1903" s="35">
        <f>Tabla1[[#This Row],[P.U. USD]]*Tabla1[[#This Row],[CANTIDADES DE REFERENCIA]]</f>
        <v>0</v>
      </c>
      <c r="K1903" s="36"/>
      <c r="L1903" s="36"/>
      <c r="M1903" s="36"/>
      <c r="N1903" s="37"/>
      <c r="O1903" s="37"/>
      <c r="P1903" s="38"/>
      <c r="Q1903" s="37" t="s">
        <v>4182</v>
      </c>
      <c r="R1903" s="37"/>
      <c r="S1903" s="37" t="s">
        <v>681</v>
      </c>
      <c r="T1903" s="31"/>
    </row>
    <row r="1904" spans="1:20">
      <c r="A1904" s="31"/>
      <c r="B1904" s="32"/>
      <c r="C1904" s="33"/>
      <c r="D1904" s="32" t="s">
        <v>4183</v>
      </c>
      <c r="E1904" s="33" t="s">
        <v>116</v>
      </c>
      <c r="F1904" s="34">
        <v>1</v>
      </c>
      <c r="G1904" s="35">
        <v>0</v>
      </c>
      <c r="H1904" s="35">
        <v>0</v>
      </c>
      <c r="I1904" s="35">
        <f>Tabla1[[#This Row],[P.U. M.N.]]*Tabla1[[#This Row],[CANTIDADES DE REFERENCIA]]</f>
        <v>0</v>
      </c>
      <c r="J1904" s="35">
        <f>Tabla1[[#This Row],[P.U. USD]]*Tabla1[[#This Row],[CANTIDADES DE REFERENCIA]]</f>
        <v>0</v>
      </c>
      <c r="K1904" s="36"/>
      <c r="L1904" s="36"/>
      <c r="M1904" s="36"/>
      <c r="N1904" s="37"/>
      <c r="O1904" s="37"/>
      <c r="P1904" s="38"/>
      <c r="Q1904" s="37" t="s">
        <v>4184</v>
      </c>
      <c r="R1904" s="37"/>
      <c r="S1904" s="37" t="s">
        <v>681</v>
      </c>
      <c r="T1904" s="31"/>
    </row>
    <row r="1905" spans="1:20">
      <c r="A1905" s="31"/>
      <c r="B1905" s="32"/>
      <c r="C1905" s="33"/>
      <c r="D1905" s="32" t="s">
        <v>4185</v>
      </c>
      <c r="E1905" s="33" t="s">
        <v>116</v>
      </c>
      <c r="F1905" s="34">
        <v>1</v>
      </c>
      <c r="G1905" s="35">
        <v>0</v>
      </c>
      <c r="H1905" s="35">
        <v>0</v>
      </c>
      <c r="I1905" s="35">
        <f>Tabla1[[#This Row],[P.U. M.N.]]*Tabla1[[#This Row],[CANTIDADES DE REFERENCIA]]</f>
        <v>0</v>
      </c>
      <c r="J1905" s="35">
        <f>Tabla1[[#This Row],[P.U. USD]]*Tabla1[[#This Row],[CANTIDADES DE REFERENCIA]]</f>
        <v>0</v>
      </c>
      <c r="K1905" s="36"/>
      <c r="L1905" s="36"/>
      <c r="M1905" s="36"/>
      <c r="N1905" s="37"/>
      <c r="O1905" s="37"/>
      <c r="P1905" s="38"/>
      <c r="Q1905" s="37" t="s">
        <v>4186</v>
      </c>
      <c r="R1905" s="37"/>
      <c r="S1905" s="37" t="s">
        <v>681</v>
      </c>
      <c r="T1905" s="31"/>
    </row>
    <row r="1906" spans="1:20">
      <c r="A1906" s="31"/>
      <c r="B1906" s="32"/>
      <c r="C1906" s="33"/>
      <c r="D1906" s="32" t="s">
        <v>4187</v>
      </c>
      <c r="E1906" s="33" t="s">
        <v>116</v>
      </c>
      <c r="F1906" s="34">
        <v>1</v>
      </c>
      <c r="G1906" s="35">
        <v>0</v>
      </c>
      <c r="H1906" s="35">
        <v>0</v>
      </c>
      <c r="I1906" s="35">
        <f>Tabla1[[#This Row],[P.U. M.N.]]*Tabla1[[#This Row],[CANTIDADES DE REFERENCIA]]</f>
        <v>0</v>
      </c>
      <c r="J1906" s="35">
        <f>Tabla1[[#This Row],[P.U. USD]]*Tabla1[[#This Row],[CANTIDADES DE REFERENCIA]]</f>
        <v>0</v>
      </c>
      <c r="K1906" s="36"/>
      <c r="L1906" s="36"/>
      <c r="M1906" s="36"/>
      <c r="N1906" s="37"/>
      <c r="O1906" s="37"/>
      <c r="P1906" s="38"/>
      <c r="Q1906" s="37" t="s">
        <v>4188</v>
      </c>
      <c r="R1906" s="37"/>
      <c r="S1906" s="37" t="s">
        <v>681</v>
      </c>
      <c r="T1906" s="31"/>
    </row>
    <row r="1907" spans="1:20">
      <c r="A1907" s="31"/>
      <c r="B1907" s="32"/>
      <c r="C1907" s="33"/>
      <c r="D1907" s="32" t="s">
        <v>4189</v>
      </c>
      <c r="E1907" s="33" t="s">
        <v>116</v>
      </c>
      <c r="F1907" s="34">
        <v>1</v>
      </c>
      <c r="G1907" s="35">
        <v>0</v>
      </c>
      <c r="H1907" s="35">
        <v>0</v>
      </c>
      <c r="I1907" s="35">
        <f>Tabla1[[#This Row],[P.U. M.N.]]*Tabla1[[#This Row],[CANTIDADES DE REFERENCIA]]</f>
        <v>0</v>
      </c>
      <c r="J1907" s="35">
        <f>Tabla1[[#This Row],[P.U. USD]]*Tabla1[[#This Row],[CANTIDADES DE REFERENCIA]]</f>
        <v>0</v>
      </c>
      <c r="K1907" s="36"/>
      <c r="L1907" s="36"/>
      <c r="M1907" s="36"/>
      <c r="N1907" s="37"/>
      <c r="O1907" s="37"/>
      <c r="P1907" s="38"/>
      <c r="Q1907" s="37" t="s">
        <v>4190</v>
      </c>
      <c r="R1907" s="37"/>
      <c r="S1907" s="37" t="s">
        <v>681</v>
      </c>
      <c r="T1907" s="31"/>
    </row>
    <row r="1908" spans="1:20">
      <c r="A1908" s="31"/>
      <c r="B1908" s="32"/>
      <c r="C1908" s="33"/>
      <c r="D1908" s="32" t="s">
        <v>4191</v>
      </c>
      <c r="E1908" s="33" t="s">
        <v>116</v>
      </c>
      <c r="F1908" s="34">
        <v>1</v>
      </c>
      <c r="G1908" s="35">
        <v>0</v>
      </c>
      <c r="H1908" s="35">
        <v>0</v>
      </c>
      <c r="I1908" s="35">
        <f>Tabla1[[#This Row],[P.U. M.N.]]*Tabla1[[#This Row],[CANTIDADES DE REFERENCIA]]</f>
        <v>0</v>
      </c>
      <c r="J1908" s="35">
        <f>Tabla1[[#This Row],[P.U. USD]]*Tabla1[[#This Row],[CANTIDADES DE REFERENCIA]]</f>
        <v>0</v>
      </c>
      <c r="K1908" s="36"/>
      <c r="L1908" s="36"/>
      <c r="M1908" s="36"/>
      <c r="N1908" s="37"/>
      <c r="O1908" s="37"/>
      <c r="P1908" s="38"/>
      <c r="Q1908" s="37" t="s">
        <v>4192</v>
      </c>
      <c r="R1908" s="37"/>
      <c r="S1908" s="37" t="s">
        <v>681</v>
      </c>
      <c r="T1908" s="31"/>
    </row>
    <row r="1909" spans="1:20">
      <c r="A1909" s="31"/>
      <c r="B1909" s="32"/>
      <c r="C1909" s="33"/>
      <c r="D1909" s="32" t="s">
        <v>4193</v>
      </c>
      <c r="E1909" s="33" t="s">
        <v>116</v>
      </c>
      <c r="F1909" s="34">
        <v>1</v>
      </c>
      <c r="G1909" s="35">
        <v>0</v>
      </c>
      <c r="H1909" s="35">
        <v>0</v>
      </c>
      <c r="I1909" s="35">
        <f>Tabla1[[#This Row],[P.U. M.N.]]*Tabla1[[#This Row],[CANTIDADES DE REFERENCIA]]</f>
        <v>0</v>
      </c>
      <c r="J1909" s="35">
        <f>Tabla1[[#This Row],[P.U. USD]]*Tabla1[[#This Row],[CANTIDADES DE REFERENCIA]]</f>
        <v>0</v>
      </c>
      <c r="K1909" s="36"/>
      <c r="L1909" s="36"/>
      <c r="M1909" s="36"/>
      <c r="N1909" s="37"/>
      <c r="O1909" s="37"/>
      <c r="P1909" s="38"/>
      <c r="Q1909" s="37" t="s">
        <v>4194</v>
      </c>
      <c r="R1909" s="37"/>
      <c r="S1909" s="37" t="s">
        <v>681</v>
      </c>
      <c r="T1909" s="31"/>
    </row>
    <row r="1910" spans="1:20">
      <c r="A1910" s="31"/>
      <c r="B1910" s="32"/>
      <c r="C1910" s="33"/>
      <c r="D1910" s="32" t="s">
        <v>4195</v>
      </c>
      <c r="E1910" s="33" t="s">
        <v>61</v>
      </c>
      <c r="F1910" s="34">
        <v>1</v>
      </c>
      <c r="G1910" s="35">
        <v>0</v>
      </c>
      <c r="H1910" s="35">
        <v>0</v>
      </c>
      <c r="I1910" s="35">
        <f>Tabla1[[#This Row],[P.U. M.N.]]*Tabla1[[#This Row],[CANTIDADES DE REFERENCIA]]</f>
        <v>0</v>
      </c>
      <c r="J1910" s="35">
        <f>Tabla1[[#This Row],[P.U. USD]]*Tabla1[[#This Row],[CANTIDADES DE REFERENCIA]]</f>
        <v>0</v>
      </c>
      <c r="K1910" s="36"/>
      <c r="L1910" s="36"/>
      <c r="M1910" s="36"/>
      <c r="N1910" s="37"/>
      <c r="O1910" s="37"/>
      <c r="P1910" s="38"/>
      <c r="Q1910" s="37" t="s">
        <v>4196</v>
      </c>
      <c r="R1910" s="37"/>
      <c r="S1910" s="37" t="s">
        <v>681</v>
      </c>
      <c r="T1910" s="31"/>
    </row>
    <row r="1911" spans="1:20">
      <c r="A1911" s="31"/>
      <c r="B1911" s="32"/>
      <c r="C1911" s="33"/>
      <c r="D1911" s="32" t="s">
        <v>4197</v>
      </c>
      <c r="E1911" s="33" t="s">
        <v>116</v>
      </c>
      <c r="F1911" s="34">
        <v>1</v>
      </c>
      <c r="G1911" s="35">
        <v>0</v>
      </c>
      <c r="H1911" s="35">
        <v>0</v>
      </c>
      <c r="I1911" s="35">
        <f>Tabla1[[#This Row],[P.U. M.N.]]*Tabla1[[#This Row],[CANTIDADES DE REFERENCIA]]</f>
        <v>0</v>
      </c>
      <c r="J1911" s="35">
        <f>Tabla1[[#This Row],[P.U. USD]]*Tabla1[[#This Row],[CANTIDADES DE REFERENCIA]]</f>
        <v>0</v>
      </c>
      <c r="K1911" s="36"/>
      <c r="L1911" s="36"/>
      <c r="M1911" s="36"/>
      <c r="N1911" s="37"/>
      <c r="O1911" s="37"/>
      <c r="P1911" s="38"/>
      <c r="Q1911" s="37" t="s">
        <v>4198</v>
      </c>
      <c r="R1911" s="37"/>
      <c r="S1911" s="37" t="s">
        <v>681</v>
      </c>
      <c r="T1911" s="31"/>
    </row>
    <row r="1912" spans="1:20">
      <c r="A1912" s="31"/>
      <c r="B1912" s="32"/>
      <c r="C1912" s="33"/>
      <c r="D1912" s="32" t="s">
        <v>4199</v>
      </c>
      <c r="E1912" s="33" t="s">
        <v>116</v>
      </c>
      <c r="F1912" s="34">
        <v>1</v>
      </c>
      <c r="G1912" s="35">
        <v>0</v>
      </c>
      <c r="H1912" s="35">
        <v>0</v>
      </c>
      <c r="I1912" s="35">
        <f>Tabla1[[#This Row],[P.U. M.N.]]*Tabla1[[#This Row],[CANTIDADES DE REFERENCIA]]</f>
        <v>0</v>
      </c>
      <c r="J1912" s="35">
        <f>Tabla1[[#This Row],[P.U. USD]]*Tabla1[[#This Row],[CANTIDADES DE REFERENCIA]]</f>
        <v>0</v>
      </c>
      <c r="K1912" s="36"/>
      <c r="L1912" s="36"/>
      <c r="M1912" s="36"/>
      <c r="N1912" s="37"/>
      <c r="O1912" s="37"/>
      <c r="P1912" s="38"/>
      <c r="Q1912" s="37" t="s">
        <v>4200</v>
      </c>
      <c r="R1912" s="37"/>
      <c r="S1912" s="37" t="s">
        <v>681</v>
      </c>
      <c r="T1912" s="31"/>
    </row>
    <row r="1913" spans="1:20">
      <c r="A1913" s="31"/>
      <c r="B1913" s="32"/>
      <c r="C1913" s="33"/>
      <c r="D1913" s="32" t="s">
        <v>4201</v>
      </c>
      <c r="E1913" s="33" t="s">
        <v>116</v>
      </c>
      <c r="F1913" s="34">
        <v>1</v>
      </c>
      <c r="G1913" s="35">
        <v>0</v>
      </c>
      <c r="H1913" s="35">
        <v>0</v>
      </c>
      <c r="I1913" s="35">
        <f>Tabla1[[#This Row],[P.U. M.N.]]*Tabla1[[#This Row],[CANTIDADES DE REFERENCIA]]</f>
        <v>0</v>
      </c>
      <c r="J1913" s="35">
        <f>Tabla1[[#This Row],[P.U. USD]]*Tabla1[[#This Row],[CANTIDADES DE REFERENCIA]]</f>
        <v>0</v>
      </c>
      <c r="K1913" s="36"/>
      <c r="L1913" s="36"/>
      <c r="M1913" s="36"/>
      <c r="N1913" s="37"/>
      <c r="O1913" s="37"/>
      <c r="P1913" s="38"/>
      <c r="Q1913" s="37" t="s">
        <v>4202</v>
      </c>
      <c r="R1913" s="37"/>
      <c r="S1913" s="37" t="s">
        <v>681</v>
      </c>
      <c r="T1913" s="31"/>
    </row>
    <row r="1914" spans="1:20">
      <c r="A1914" s="31"/>
      <c r="B1914" s="32"/>
      <c r="C1914" s="33"/>
      <c r="D1914" s="32" t="s">
        <v>4203</v>
      </c>
      <c r="E1914" s="33" t="s">
        <v>116</v>
      </c>
      <c r="F1914" s="34">
        <v>1</v>
      </c>
      <c r="G1914" s="35">
        <v>0</v>
      </c>
      <c r="H1914" s="35">
        <v>0</v>
      </c>
      <c r="I1914" s="35">
        <f>Tabla1[[#This Row],[P.U. M.N.]]*Tabla1[[#This Row],[CANTIDADES DE REFERENCIA]]</f>
        <v>0</v>
      </c>
      <c r="J1914" s="35">
        <f>Tabla1[[#This Row],[P.U. USD]]*Tabla1[[#This Row],[CANTIDADES DE REFERENCIA]]</f>
        <v>0</v>
      </c>
      <c r="K1914" s="36"/>
      <c r="L1914" s="36"/>
      <c r="M1914" s="36"/>
      <c r="N1914" s="37"/>
      <c r="O1914" s="37"/>
      <c r="P1914" s="38"/>
      <c r="Q1914" s="37" t="s">
        <v>4204</v>
      </c>
      <c r="R1914" s="37"/>
      <c r="S1914" s="37" t="s">
        <v>681</v>
      </c>
      <c r="T1914" s="31"/>
    </row>
    <row r="1915" spans="1:20">
      <c r="A1915" s="31"/>
      <c r="B1915" s="32"/>
      <c r="C1915" s="33"/>
      <c r="D1915" s="32" t="s">
        <v>4205</v>
      </c>
      <c r="E1915" s="33" t="s">
        <v>116</v>
      </c>
      <c r="F1915" s="34">
        <v>1</v>
      </c>
      <c r="G1915" s="35">
        <v>0</v>
      </c>
      <c r="H1915" s="35">
        <v>0</v>
      </c>
      <c r="I1915" s="35">
        <f>Tabla1[[#This Row],[P.U. M.N.]]*Tabla1[[#This Row],[CANTIDADES DE REFERENCIA]]</f>
        <v>0</v>
      </c>
      <c r="J1915" s="35">
        <f>Tabla1[[#This Row],[P.U. USD]]*Tabla1[[#This Row],[CANTIDADES DE REFERENCIA]]</f>
        <v>0</v>
      </c>
      <c r="K1915" s="36"/>
      <c r="L1915" s="36"/>
      <c r="M1915" s="36"/>
      <c r="N1915" s="37"/>
      <c r="O1915" s="37"/>
      <c r="P1915" s="38"/>
      <c r="Q1915" s="37" t="s">
        <v>4206</v>
      </c>
      <c r="R1915" s="37"/>
      <c r="S1915" s="37" t="s">
        <v>681</v>
      </c>
      <c r="T1915" s="31"/>
    </row>
    <row r="1916" spans="1:20">
      <c r="A1916" s="31"/>
      <c r="B1916" s="32"/>
      <c r="C1916" s="33"/>
      <c r="D1916" s="32" t="s">
        <v>4207</v>
      </c>
      <c r="E1916" s="33" t="s">
        <v>116</v>
      </c>
      <c r="F1916" s="34">
        <v>1</v>
      </c>
      <c r="G1916" s="35">
        <v>0</v>
      </c>
      <c r="H1916" s="35">
        <v>0</v>
      </c>
      <c r="I1916" s="35">
        <f>Tabla1[[#This Row],[P.U. M.N.]]*Tabla1[[#This Row],[CANTIDADES DE REFERENCIA]]</f>
        <v>0</v>
      </c>
      <c r="J1916" s="35">
        <f>Tabla1[[#This Row],[P.U. USD]]*Tabla1[[#This Row],[CANTIDADES DE REFERENCIA]]</f>
        <v>0</v>
      </c>
      <c r="K1916" s="36"/>
      <c r="L1916" s="36"/>
      <c r="M1916" s="36"/>
      <c r="N1916" s="37"/>
      <c r="O1916" s="37"/>
      <c r="P1916" s="38"/>
      <c r="Q1916" s="37" t="s">
        <v>4208</v>
      </c>
      <c r="R1916" s="37"/>
      <c r="S1916" s="37" t="s">
        <v>681</v>
      </c>
      <c r="T1916" s="31"/>
    </row>
    <row r="1917" spans="1:20">
      <c r="A1917" s="31"/>
      <c r="B1917" s="32"/>
      <c r="C1917" s="33"/>
      <c r="D1917" s="32" t="s">
        <v>4209</v>
      </c>
      <c r="E1917" s="33" t="s">
        <v>116</v>
      </c>
      <c r="F1917" s="34">
        <v>1</v>
      </c>
      <c r="G1917" s="35">
        <v>0</v>
      </c>
      <c r="H1917" s="35">
        <v>0</v>
      </c>
      <c r="I1917" s="35">
        <f>Tabla1[[#This Row],[P.U. M.N.]]*Tabla1[[#This Row],[CANTIDADES DE REFERENCIA]]</f>
        <v>0</v>
      </c>
      <c r="J1917" s="35">
        <f>Tabla1[[#This Row],[P.U. USD]]*Tabla1[[#This Row],[CANTIDADES DE REFERENCIA]]</f>
        <v>0</v>
      </c>
      <c r="K1917" s="36"/>
      <c r="L1917" s="36"/>
      <c r="M1917" s="36"/>
      <c r="N1917" s="37"/>
      <c r="O1917" s="37"/>
      <c r="P1917" s="38"/>
      <c r="Q1917" s="37" t="s">
        <v>4210</v>
      </c>
      <c r="R1917" s="37"/>
      <c r="S1917" s="37" t="s">
        <v>681</v>
      </c>
      <c r="T1917" s="31"/>
    </row>
    <row r="1918" spans="1:20">
      <c r="A1918" s="31"/>
      <c r="B1918" s="32"/>
      <c r="C1918" s="33"/>
      <c r="D1918" s="32" t="s">
        <v>4211</v>
      </c>
      <c r="E1918" s="33" t="s">
        <v>116</v>
      </c>
      <c r="F1918" s="34">
        <v>1</v>
      </c>
      <c r="G1918" s="35">
        <v>0</v>
      </c>
      <c r="H1918" s="35">
        <v>0</v>
      </c>
      <c r="I1918" s="35">
        <f>Tabla1[[#This Row],[P.U. M.N.]]*Tabla1[[#This Row],[CANTIDADES DE REFERENCIA]]</f>
        <v>0</v>
      </c>
      <c r="J1918" s="35">
        <f>Tabla1[[#This Row],[P.U. USD]]*Tabla1[[#This Row],[CANTIDADES DE REFERENCIA]]</f>
        <v>0</v>
      </c>
      <c r="K1918" s="36"/>
      <c r="L1918" s="36"/>
      <c r="M1918" s="36"/>
      <c r="N1918" s="37"/>
      <c r="O1918" s="37"/>
      <c r="P1918" s="38"/>
      <c r="Q1918" s="37" t="s">
        <v>4212</v>
      </c>
      <c r="R1918" s="37"/>
      <c r="S1918" s="37" t="s">
        <v>681</v>
      </c>
      <c r="T1918" s="31"/>
    </row>
    <row r="1919" spans="1:20">
      <c r="A1919" s="31"/>
      <c r="B1919" s="32"/>
      <c r="C1919" s="33"/>
      <c r="D1919" s="32" t="s">
        <v>4213</v>
      </c>
      <c r="E1919" s="33" t="s">
        <v>116</v>
      </c>
      <c r="F1919" s="34">
        <v>1</v>
      </c>
      <c r="G1919" s="35">
        <v>0</v>
      </c>
      <c r="H1919" s="35">
        <v>0</v>
      </c>
      <c r="I1919" s="35">
        <f>Tabla1[[#This Row],[P.U. M.N.]]*Tabla1[[#This Row],[CANTIDADES DE REFERENCIA]]</f>
        <v>0</v>
      </c>
      <c r="J1919" s="35">
        <f>Tabla1[[#This Row],[P.U. USD]]*Tabla1[[#This Row],[CANTIDADES DE REFERENCIA]]</f>
        <v>0</v>
      </c>
      <c r="K1919" s="36"/>
      <c r="L1919" s="36"/>
      <c r="M1919" s="36"/>
      <c r="N1919" s="37"/>
      <c r="O1919" s="37"/>
      <c r="P1919" s="38"/>
      <c r="Q1919" s="37" t="s">
        <v>4214</v>
      </c>
      <c r="R1919" s="37"/>
      <c r="S1919" s="37" t="s">
        <v>681</v>
      </c>
      <c r="T1919" s="31"/>
    </row>
    <row r="1920" spans="1:20">
      <c r="A1920" s="31"/>
      <c r="B1920" s="32"/>
      <c r="C1920" s="33"/>
      <c r="D1920" s="32" t="s">
        <v>4215</v>
      </c>
      <c r="E1920" s="33" t="s">
        <v>116</v>
      </c>
      <c r="F1920" s="34">
        <v>1</v>
      </c>
      <c r="G1920" s="35">
        <v>0</v>
      </c>
      <c r="H1920" s="35">
        <v>0</v>
      </c>
      <c r="I1920" s="35">
        <f>Tabla1[[#This Row],[P.U. M.N.]]*Tabla1[[#This Row],[CANTIDADES DE REFERENCIA]]</f>
        <v>0</v>
      </c>
      <c r="J1920" s="35">
        <f>Tabla1[[#This Row],[P.U. USD]]*Tabla1[[#This Row],[CANTIDADES DE REFERENCIA]]</f>
        <v>0</v>
      </c>
      <c r="K1920" s="36"/>
      <c r="L1920" s="36"/>
      <c r="M1920" s="36"/>
      <c r="N1920" s="37"/>
      <c r="O1920" s="37"/>
      <c r="P1920" s="38"/>
      <c r="Q1920" s="37" t="s">
        <v>4216</v>
      </c>
      <c r="R1920" s="37"/>
      <c r="S1920" s="37" t="s">
        <v>681</v>
      </c>
      <c r="T1920" s="31"/>
    </row>
    <row r="1921" spans="1:20">
      <c r="A1921" s="31"/>
      <c r="B1921" s="32"/>
      <c r="C1921" s="33"/>
      <c r="D1921" s="32" t="s">
        <v>4217</v>
      </c>
      <c r="E1921" s="33" t="s">
        <v>116</v>
      </c>
      <c r="F1921" s="34">
        <v>1</v>
      </c>
      <c r="G1921" s="35">
        <v>0</v>
      </c>
      <c r="H1921" s="35">
        <v>0</v>
      </c>
      <c r="I1921" s="35">
        <f>Tabla1[[#This Row],[P.U. M.N.]]*Tabla1[[#This Row],[CANTIDADES DE REFERENCIA]]</f>
        <v>0</v>
      </c>
      <c r="J1921" s="35">
        <f>Tabla1[[#This Row],[P.U. USD]]*Tabla1[[#This Row],[CANTIDADES DE REFERENCIA]]</f>
        <v>0</v>
      </c>
      <c r="K1921" s="36"/>
      <c r="L1921" s="36"/>
      <c r="M1921" s="36"/>
      <c r="N1921" s="37"/>
      <c r="O1921" s="37"/>
      <c r="P1921" s="38"/>
      <c r="Q1921" s="37" t="s">
        <v>4218</v>
      </c>
      <c r="R1921" s="37"/>
      <c r="S1921" s="37" t="s">
        <v>681</v>
      </c>
      <c r="T1921" s="31"/>
    </row>
    <row r="1922" spans="1:20">
      <c r="A1922" s="31"/>
      <c r="B1922" s="32"/>
      <c r="C1922" s="33"/>
      <c r="D1922" s="32" t="s">
        <v>4219</v>
      </c>
      <c r="E1922" s="33" t="s">
        <v>116</v>
      </c>
      <c r="F1922" s="34">
        <v>1</v>
      </c>
      <c r="G1922" s="35">
        <v>0</v>
      </c>
      <c r="H1922" s="35">
        <v>0</v>
      </c>
      <c r="I1922" s="35">
        <f>Tabla1[[#This Row],[P.U. M.N.]]*Tabla1[[#This Row],[CANTIDADES DE REFERENCIA]]</f>
        <v>0</v>
      </c>
      <c r="J1922" s="35">
        <f>Tabla1[[#This Row],[P.U. USD]]*Tabla1[[#This Row],[CANTIDADES DE REFERENCIA]]</f>
        <v>0</v>
      </c>
      <c r="K1922" s="36"/>
      <c r="L1922" s="36"/>
      <c r="M1922" s="36"/>
      <c r="N1922" s="37"/>
      <c r="O1922" s="37"/>
      <c r="P1922" s="38"/>
      <c r="Q1922" s="37" t="s">
        <v>4220</v>
      </c>
      <c r="R1922" s="37"/>
      <c r="S1922" s="37" t="s">
        <v>681</v>
      </c>
      <c r="T1922" s="31"/>
    </row>
    <row r="1923" spans="1:20">
      <c r="A1923" s="31"/>
      <c r="B1923" s="32"/>
      <c r="C1923" s="33"/>
      <c r="D1923" s="32" t="s">
        <v>4221</v>
      </c>
      <c r="E1923" s="33" t="s">
        <v>116</v>
      </c>
      <c r="F1923" s="34">
        <v>1</v>
      </c>
      <c r="G1923" s="35">
        <v>0</v>
      </c>
      <c r="H1923" s="35">
        <v>0</v>
      </c>
      <c r="I1923" s="35">
        <f>Tabla1[[#This Row],[P.U. M.N.]]*Tabla1[[#This Row],[CANTIDADES DE REFERENCIA]]</f>
        <v>0</v>
      </c>
      <c r="J1923" s="35">
        <f>Tabla1[[#This Row],[P.U. USD]]*Tabla1[[#This Row],[CANTIDADES DE REFERENCIA]]</f>
        <v>0</v>
      </c>
      <c r="K1923" s="36"/>
      <c r="L1923" s="36"/>
      <c r="M1923" s="36"/>
      <c r="N1923" s="37" t="s">
        <v>392</v>
      </c>
      <c r="O1923" s="37" t="s">
        <v>393</v>
      </c>
      <c r="P1923" s="38"/>
      <c r="Q1923" s="37" t="s">
        <v>4222</v>
      </c>
      <c r="R1923" s="37"/>
      <c r="S1923" s="37" t="s">
        <v>395</v>
      </c>
      <c r="T1923" s="31"/>
    </row>
    <row r="1924" spans="1:20">
      <c r="A1924" s="31"/>
      <c r="B1924" s="32"/>
      <c r="C1924" s="33"/>
      <c r="D1924" s="32" t="s">
        <v>4223</v>
      </c>
      <c r="E1924" s="33" t="s">
        <v>54</v>
      </c>
      <c r="F1924" s="34">
        <v>1</v>
      </c>
      <c r="G1924" s="35">
        <v>0</v>
      </c>
      <c r="H1924" s="35">
        <v>0</v>
      </c>
      <c r="I1924" s="35">
        <f>Tabla1[[#This Row],[P.U. M.N.]]*Tabla1[[#This Row],[CANTIDADES DE REFERENCIA]]</f>
        <v>0</v>
      </c>
      <c r="J1924" s="35">
        <f>Tabla1[[#This Row],[P.U. USD]]*Tabla1[[#This Row],[CANTIDADES DE REFERENCIA]]</f>
        <v>0</v>
      </c>
      <c r="K1924" s="36"/>
      <c r="L1924" s="36"/>
      <c r="M1924" s="36"/>
      <c r="N1924" s="37" t="s">
        <v>392</v>
      </c>
      <c r="O1924" s="37" t="s">
        <v>393</v>
      </c>
      <c r="P1924" s="38"/>
      <c r="Q1924" s="37" t="s">
        <v>4224</v>
      </c>
      <c r="R1924" s="37"/>
      <c r="S1924" s="37" t="s">
        <v>395</v>
      </c>
      <c r="T1924" s="31"/>
    </row>
    <row r="1925" spans="1:20">
      <c r="A1925" s="31"/>
      <c r="B1925" s="32"/>
      <c r="C1925" s="33"/>
      <c r="D1925" s="32" t="s">
        <v>4225</v>
      </c>
      <c r="E1925" s="33" t="s">
        <v>42</v>
      </c>
      <c r="F1925" s="34">
        <v>1</v>
      </c>
      <c r="G1925" s="35">
        <v>0</v>
      </c>
      <c r="H1925" s="35">
        <v>0</v>
      </c>
      <c r="I1925" s="35">
        <f>Tabla1[[#This Row],[P.U. M.N.]]*Tabla1[[#This Row],[CANTIDADES DE REFERENCIA]]</f>
        <v>0</v>
      </c>
      <c r="J1925" s="35">
        <f>Tabla1[[#This Row],[P.U. USD]]*Tabla1[[#This Row],[CANTIDADES DE REFERENCIA]]</f>
        <v>0</v>
      </c>
      <c r="K1925" s="36"/>
      <c r="L1925" s="36"/>
      <c r="M1925" s="36"/>
      <c r="N1925" s="37" t="s">
        <v>589</v>
      </c>
      <c r="O1925" s="37"/>
      <c r="P1925" s="38"/>
      <c r="Q1925" s="37" t="s">
        <v>4226</v>
      </c>
      <c r="R1925" s="37"/>
      <c r="S1925" s="37" t="s">
        <v>591</v>
      </c>
      <c r="T1925" s="31"/>
    </row>
    <row r="1926" spans="1:20">
      <c r="A1926" s="31"/>
      <c r="B1926" s="32"/>
      <c r="C1926" s="33"/>
      <c r="D1926" s="32" t="s">
        <v>4227</v>
      </c>
      <c r="E1926" s="33" t="s">
        <v>42</v>
      </c>
      <c r="F1926" s="34">
        <v>1</v>
      </c>
      <c r="G1926" s="35">
        <v>0</v>
      </c>
      <c r="H1926" s="35">
        <v>0</v>
      </c>
      <c r="I1926" s="35">
        <f>Tabla1[[#This Row],[P.U. M.N.]]*Tabla1[[#This Row],[CANTIDADES DE REFERENCIA]]</f>
        <v>0</v>
      </c>
      <c r="J1926" s="35">
        <f>Tabla1[[#This Row],[P.U. USD]]*Tabla1[[#This Row],[CANTIDADES DE REFERENCIA]]</f>
        <v>0</v>
      </c>
      <c r="K1926" s="36"/>
      <c r="L1926" s="36"/>
      <c r="M1926" s="36"/>
      <c r="N1926" s="37" t="s">
        <v>589</v>
      </c>
      <c r="O1926" s="37"/>
      <c r="P1926" s="38"/>
      <c r="Q1926" s="37" t="s">
        <v>4228</v>
      </c>
      <c r="R1926" s="37"/>
      <c r="S1926" s="37" t="s">
        <v>591</v>
      </c>
      <c r="T1926" s="31"/>
    </row>
    <row r="1927" spans="1:20">
      <c r="A1927" s="31"/>
      <c r="B1927" s="32"/>
      <c r="C1927" s="33"/>
      <c r="D1927" s="32" t="s">
        <v>4229</v>
      </c>
      <c r="E1927" s="33" t="s">
        <v>42</v>
      </c>
      <c r="F1927" s="34">
        <v>1</v>
      </c>
      <c r="G1927" s="35">
        <v>0</v>
      </c>
      <c r="H1927" s="35">
        <v>0</v>
      </c>
      <c r="I1927" s="35">
        <f>Tabla1[[#This Row],[P.U. M.N.]]*Tabla1[[#This Row],[CANTIDADES DE REFERENCIA]]</f>
        <v>0</v>
      </c>
      <c r="J1927" s="35">
        <f>Tabla1[[#This Row],[P.U. USD]]*Tabla1[[#This Row],[CANTIDADES DE REFERENCIA]]</f>
        <v>0</v>
      </c>
      <c r="K1927" s="36"/>
      <c r="L1927" s="36"/>
      <c r="M1927" s="36"/>
      <c r="N1927" s="37" t="s">
        <v>589</v>
      </c>
      <c r="O1927" s="37"/>
      <c r="P1927" s="38"/>
      <c r="Q1927" s="37" t="s">
        <v>4230</v>
      </c>
      <c r="R1927" s="37"/>
      <c r="S1927" s="37" t="s">
        <v>591</v>
      </c>
      <c r="T1927" s="31"/>
    </row>
    <row r="1928" spans="1:20">
      <c r="A1928" s="31"/>
      <c r="B1928" s="32"/>
      <c r="C1928" s="33"/>
      <c r="D1928" s="32" t="s">
        <v>4231</v>
      </c>
      <c r="E1928" s="33" t="s">
        <v>42</v>
      </c>
      <c r="F1928" s="34">
        <v>1</v>
      </c>
      <c r="G1928" s="35">
        <v>0</v>
      </c>
      <c r="H1928" s="35">
        <v>0</v>
      </c>
      <c r="I1928" s="35">
        <f>Tabla1[[#This Row],[P.U. M.N.]]*Tabla1[[#This Row],[CANTIDADES DE REFERENCIA]]</f>
        <v>0</v>
      </c>
      <c r="J1928" s="35">
        <f>Tabla1[[#This Row],[P.U. USD]]*Tabla1[[#This Row],[CANTIDADES DE REFERENCIA]]</f>
        <v>0</v>
      </c>
      <c r="K1928" s="36"/>
      <c r="L1928" s="36"/>
      <c r="M1928" s="36"/>
      <c r="N1928" s="37" t="s">
        <v>589</v>
      </c>
      <c r="O1928" s="37"/>
      <c r="P1928" s="38"/>
      <c r="Q1928" s="37" t="s">
        <v>4232</v>
      </c>
      <c r="R1928" s="37"/>
      <c r="S1928" s="37" t="s">
        <v>591</v>
      </c>
      <c r="T1928" s="31"/>
    </row>
    <row r="1929" spans="1:20">
      <c r="A1929" s="31"/>
      <c r="B1929" s="32"/>
      <c r="C1929" s="33"/>
      <c r="D1929" s="32" t="s">
        <v>4233</v>
      </c>
      <c r="E1929" s="33" t="s">
        <v>42</v>
      </c>
      <c r="F1929" s="34">
        <v>1</v>
      </c>
      <c r="G1929" s="35">
        <v>0</v>
      </c>
      <c r="H1929" s="35">
        <v>0</v>
      </c>
      <c r="I1929" s="35">
        <f>Tabla1[[#This Row],[P.U. M.N.]]*Tabla1[[#This Row],[CANTIDADES DE REFERENCIA]]</f>
        <v>0</v>
      </c>
      <c r="J1929" s="35">
        <f>Tabla1[[#This Row],[P.U. USD]]*Tabla1[[#This Row],[CANTIDADES DE REFERENCIA]]</f>
        <v>0</v>
      </c>
      <c r="K1929" s="36"/>
      <c r="L1929" s="36"/>
      <c r="M1929" s="36"/>
      <c r="N1929" s="37" t="s">
        <v>589</v>
      </c>
      <c r="O1929" s="37"/>
      <c r="P1929" s="38"/>
      <c r="Q1929" s="37" t="s">
        <v>4234</v>
      </c>
      <c r="R1929" s="37"/>
      <c r="S1929" s="37" t="s">
        <v>591</v>
      </c>
      <c r="T1929" s="31"/>
    </row>
    <row r="1930" spans="1:20">
      <c r="A1930" s="31"/>
      <c r="B1930" s="32"/>
      <c r="C1930" s="33"/>
      <c r="D1930" s="32" t="s">
        <v>4235</v>
      </c>
      <c r="E1930" s="33" t="s">
        <v>42</v>
      </c>
      <c r="F1930" s="34">
        <v>1</v>
      </c>
      <c r="G1930" s="35">
        <v>0</v>
      </c>
      <c r="H1930" s="35">
        <v>0</v>
      </c>
      <c r="I1930" s="35">
        <f>Tabla1[[#This Row],[P.U. M.N.]]*Tabla1[[#This Row],[CANTIDADES DE REFERENCIA]]</f>
        <v>0</v>
      </c>
      <c r="J1930" s="35">
        <f>Tabla1[[#This Row],[P.U. USD]]*Tabla1[[#This Row],[CANTIDADES DE REFERENCIA]]</f>
        <v>0</v>
      </c>
      <c r="K1930" s="36"/>
      <c r="L1930" s="36"/>
      <c r="M1930" s="36"/>
      <c r="N1930" s="37" t="s">
        <v>589</v>
      </c>
      <c r="O1930" s="37"/>
      <c r="P1930" s="38"/>
      <c r="Q1930" s="37" t="s">
        <v>4236</v>
      </c>
      <c r="R1930" s="37"/>
      <c r="S1930" s="37" t="s">
        <v>591</v>
      </c>
      <c r="T1930" s="31"/>
    </row>
    <row r="1931" spans="1:20">
      <c r="A1931" s="31"/>
      <c r="B1931" s="32"/>
      <c r="C1931" s="33"/>
      <c r="D1931" s="32" t="s">
        <v>4237</v>
      </c>
      <c r="E1931" s="33" t="s">
        <v>2699</v>
      </c>
      <c r="F1931" s="34">
        <v>1</v>
      </c>
      <c r="G1931" s="35">
        <v>0</v>
      </c>
      <c r="H1931" s="35">
        <v>0</v>
      </c>
      <c r="I1931" s="35">
        <f>Tabla1[[#This Row],[P.U. M.N.]]*Tabla1[[#This Row],[CANTIDADES DE REFERENCIA]]</f>
        <v>0</v>
      </c>
      <c r="J1931" s="35">
        <f>Tabla1[[#This Row],[P.U. USD]]*Tabla1[[#This Row],[CANTIDADES DE REFERENCIA]]</f>
        <v>0</v>
      </c>
      <c r="K1931" s="36"/>
      <c r="L1931" s="36"/>
      <c r="M1931" s="36"/>
      <c r="N1931" s="37" t="s">
        <v>589</v>
      </c>
      <c r="O1931" s="37"/>
      <c r="P1931" s="38"/>
      <c r="Q1931" s="37" t="s">
        <v>4238</v>
      </c>
      <c r="R1931" s="37"/>
      <c r="S1931" s="37" t="s">
        <v>591</v>
      </c>
      <c r="T1931" s="31"/>
    </row>
    <row r="1932" spans="1:20">
      <c r="A1932" s="31"/>
      <c r="B1932" s="32"/>
      <c r="C1932" s="33"/>
      <c r="D1932" s="32" t="s">
        <v>4239</v>
      </c>
      <c r="E1932" s="33" t="s">
        <v>42</v>
      </c>
      <c r="F1932" s="34">
        <v>1</v>
      </c>
      <c r="G1932" s="35">
        <v>0</v>
      </c>
      <c r="H1932" s="35">
        <v>0</v>
      </c>
      <c r="I1932" s="35">
        <f>Tabla1[[#This Row],[P.U. M.N.]]*Tabla1[[#This Row],[CANTIDADES DE REFERENCIA]]</f>
        <v>0</v>
      </c>
      <c r="J1932" s="35">
        <f>Tabla1[[#This Row],[P.U. USD]]*Tabla1[[#This Row],[CANTIDADES DE REFERENCIA]]</f>
        <v>0</v>
      </c>
      <c r="K1932" s="36"/>
      <c r="L1932" s="36"/>
      <c r="M1932" s="36"/>
      <c r="N1932" s="37" t="s">
        <v>589</v>
      </c>
      <c r="O1932" s="37"/>
      <c r="P1932" s="38"/>
      <c r="Q1932" s="37" t="s">
        <v>4240</v>
      </c>
      <c r="R1932" s="37"/>
      <c r="S1932" s="37" t="s">
        <v>591</v>
      </c>
      <c r="T1932" s="31"/>
    </row>
    <row r="1933" spans="1:20">
      <c r="A1933" s="31"/>
      <c r="B1933" s="32"/>
      <c r="C1933" s="33"/>
      <c r="D1933" s="32" t="s">
        <v>4241</v>
      </c>
      <c r="E1933" s="33" t="s">
        <v>116</v>
      </c>
      <c r="F1933" s="34">
        <v>1</v>
      </c>
      <c r="G1933" s="35">
        <v>0</v>
      </c>
      <c r="H1933" s="35">
        <v>0</v>
      </c>
      <c r="I1933" s="35">
        <f>Tabla1[[#This Row],[P.U. M.N.]]*Tabla1[[#This Row],[CANTIDADES DE REFERENCIA]]</f>
        <v>0</v>
      </c>
      <c r="J1933" s="35">
        <f>Tabla1[[#This Row],[P.U. USD]]*Tabla1[[#This Row],[CANTIDADES DE REFERENCIA]]</f>
        <v>0</v>
      </c>
      <c r="K1933" s="36"/>
      <c r="L1933" s="36"/>
      <c r="M1933" s="36"/>
      <c r="N1933" s="37" t="s">
        <v>589</v>
      </c>
      <c r="O1933" s="37"/>
      <c r="P1933" s="38"/>
      <c r="Q1933" s="37" t="s">
        <v>4242</v>
      </c>
      <c r="R1933" s="37"/>
      <c r="S1933" s="37" t="s">
        <v>591</v>
      </c>
      <c r="T1933" s="31"/>
    </row>
    <row r="1934" spans="1:20">
      <c r="A1934" s="31"/>
      <c r="B1934" s="32"/>
      <c r="C1934" s="33"/>
      <c r="D1934" s="32" t="s">
        <v>4243</v>
      </c>
      <c r="E1934" s="33" t="s">
        <v>116</v>
      </c>
      <c r="F1934" s="34">
        <v>1</v>
      </c>
      <c r="G1934" s="35">
        <v>0</v>
      </c>
      <c r="H1934" s="35">
        <v>0</v>
      </c>
      <c r="I1934" s="35">
        <f>Tabla1[[#This Row],[P.U. M.N.]]*Tabla1[[#This Row],[CANTIDADES DE REFERENCIA]]</f>
        <v>0</v>
      </c>
      <c r="J1934" s="35">
        <f>Tabla1[[#This Row],[P.U. USD]]*Tabla1[[#This Row],[CANTIDADES DE REFERENCIA]]</f>
        <v>0</v>
      </c>
      <c r="K1934" s="36"/>
      <c r="L1934" s="36"/>
      <c r="M1934" s="36"/>
      <c r="N1934" s="37" t="s">
        <v>589</v>
      </c>
      <c r="O1934" s="37"/>
      <c r="P1934" s="38"/>
      <c r="Q1934" s="37" t="s">
        <v>4244</v>
      </c>
      <c r="R1934" s="37"/>
      <c r="S1934" s="37" t="s">
        <v>591</v>
      </c>
      <c r="T1934" s="31"/>
    </row>
    <row r="1935" spans="1:20">
      <c r="A1935" s="31"/>
      <c r="B1935" s="32"/>
      <c r="C1935" s="33"/>
      <c r="D1935" s="32" t="s">
        <v>4245</v>
      </c>
      <c r="E1935" s="33" t="s">
        <v>116</v>
      </c>
      <c r="F1935" s="34">
        <v>1</v>
      </c>
      <c r="G1935" s="35">
        <v>0</v>
      </c>
      <c r="H1935" s="35">
        <v>0</v>
      </c>
      <c r="I1935" s="35">
        <f>Tabla1[[#This Row],[P.U. M.N.]]*Tabla1[[#This Row],[CANTIDADES DE REFERENCIA]]</f>
        <v>0</v>
      </c>
      <c r="J1935" s="35">
        <f>Tabla1[[#This Row],[P.U. USD]]*Tabla1[[#This Row],[CANTIDADES DE REFERENCIA]]</f>
        <v>0</v>
      </c>
      <c r="K1935" s="36"/>
      <c r="L1935" s="36"/>
      <c r="M1935" s="36"/>
      <c r="N1935" s="37" t="s">
        <v>589</v>
      </c>
      <c r="O1935" s="37"/>
      <c r="P1935" s="38"/>
      <c r="Q1935" s="37" t="s">
        <v>4246</v>
      </c>
      <c r="R1935" s="37"/>
      <c r="S1935" s="37" t="s">
        <v>591</v>
      </c>
      <c r="T1935" s="31"/>
    </row>
    <row r="1936" spans="1:20">
      <c r="A1936" s="31"/>
      <c r="B1936" s="32"/>
      <c r="C1936" s="33"/>
      <c r="D1936" s="32" t="s">
        <v>4247</v>
      </c>
      <c r="E1936" s="33" t="s">
        <v>116</v>
      </c>
      <c r="F1936" s="34">
        <v>1</v>
      </c>
      <c r="G1936" s="35">
        <v>0</v>
      </c>
      <c r="H1936" s="35">
        <v>0</v>
      </c>
      <c r="I1936" s="35">
        <f>Tabla1[[#This Row],[P.U. M.N.]]*Tabla1[[#This Row],[CANTIDADES DE REFERENCIA]]</f>
        <v>0</v>
      </c>
      <c r="J1936" s="35">
        <f>Tabla1[[#This Row],[P.U. USD]]*Tabla1[[#This Row],[CANTIDADES DE REFERENCIA]]</f>
        <v>0</v>
      </c>
      <c r="K1936" s="36"/>
      <c r="L1936" s="36"/>
      <c r="M1936" s="36"/>
      <c r="N1936" s="37" t="s">
        <v>589</v>
      </c>
      <c r="O1936" s="37"/>
      <c r="P1936" s="38"/>
      <c r="Q1936" s="37" t="s">
        <v>4248</v>
      </c>
      <c r="R1936" s="37"/>
      <c r="S1936" s="37" t="s">
        <v>591</v>
      </c>
      <c r="T1936" s="31"/>
    </row>
    <row r="1937" spans="1:20">
      <c r="A1937" s="31"/>
      <c r="B1937" s="32"/>
      <c r="C1937" s="33"/>
      <c r="D1937" s="32" t="s">
        <v>4249</v>
      </c>
      <c r="E1937" s="33" t="s">
        <v>116</v>
      </c>
      <c r="F1937" s="34">
        <v>1</v>
      </c>
      <c r="G1937" s="35">
        <v>0</v>
      </c>
      <c r="H1937" s="35">
        <v>0</v>
      </c>
      <c r="I1937" s="35">
        <f>Tabla1[[#This Row],[P.U. M.N.]]*Tabla1[[#This Row],[CANTIDADES DE REFERENCIA]]</f>
        <v>0</v>
      </c>
      <c r="J1937" s="35">
        <f>Tabla1[[#This Row],[P.U. USD]]*Tabla1[[#This Row],[CANTIDADES DE REFERENCIA]]</f>
        <v>0</v>
      </c>
      <c r="K1937" s="36"/>
      <c r="L1937" s="36"/>
      <c r="M1937" s="36"/>
      <c r="N1937" s="37" t="s">
        <v>589</v>
      </c>
      <c r="O1937" s="37"/>
      <c r="P1937" s="38"/>
      <c r="Q1937" s="37" t="s">
        <v>4250</v>
      </c>
      <c r="R1937" s="37"/>
      <c r="S1937" s="37" t="s">
        <v>591</v>
      </c>
      <c r="T1937" s="31"/>
    </row>
    <row r="1938" spans="1:20">
      <c r="A1938" s="31"/>
      <c r="B1938" s="32"/>
      <c r="C1938" s="33"/>
      <c r="D1938" s="32" t="s">
        <v>4251</v>
      </c>
      <c r="E1938" s="33" t="s">
        <v>116</v>
      </c>
      <c r="F1938" s="34">
        <v>1</v>
      </c>
      <c r="G1938" s="35">
        <v>0</v>
      </c>
      <c r="H1938" s="35">
        <v>0</v>
      </c>
      <c r="I1938" s="35">
        <f>Tabla1[[#This Row],[P.U. M.N.]]*Tabla1[[#This Row],[CANTIDADES DE REFERENCIA]]</f>
        <v>0</v>
      </c>
      <c r="J1938" s="35">
        <f>Tabla1[[#This Row],[P.U. USD]]*Tabla1[[#This Row],[CANTIDADES DE REFERENCIA]]</f>
        <v>0</v>
      </c>
      <c r="K1938" s="36"/>
      <c r="L1938" s="36"/>
      <c r="M1938" s="36"/>
      <c r="N1938" s="37" t="s">
        <v>589</v>
      </c>
      <c r="O1938" s="37"/>
      <c r="P1938" s="38"/>
      <c r="Q1938" s="37" t="s">
        <v>4252</v>
      </c>
      <c r="R1938" s="37"/>
      <c r="S1938" s="37" t="s">
        <v>591</v>
      </c>
      <c r="T1938" s="31"/>
    </row>
    <row r="1939" spans="1:20">
      <c r="A1939" s="31"/>
      <c r="B1939" s="32"/>
      <c r="C1939" s="33"/>
      <c r="D1939" s="32" t="s">
        <v>4253</v>
      </c>
      <c r="E1939" s="33" t="s">
        <v>116</v>
      </c>
      <c r="F1939" s="34">
        <v>1</v>
      </c>
      <c r="G1939" s="35">
        <v>0</v>
      </c>
      <c r="H1939" s="35">
        <v>0</v>
      </c>
      <c r="I1939" s="35">
        <f>Tabla1[[#This Row],[P.U. M.N.]]*Tabla1[[#This Row],[CANTIDADES DE REFERENCIA]]</f>
        <v>0</v>
      </c>
      <c r="J1939" s="35">
        <f>Tabla1[[#This Row],[P.U. USD]]*Tabla1[[#This Row],[CANTIDADES DE REFERENCIA]]</f>
        <v>0</v>
      </c>
      <c r="K1939" s="36"/>
      <c r="L1939" s="36"/>
      <c r="M1939" s="36"/>
      <c r="N1939" s="37" t="s">
        <v>589</v>
      </c>
      <c r="O1939" s="37"/>
      <c r="P1939" s="38"/>
      <c r="Q1939" s="37" t="s">
        <v>4254</v>
      </c>
      <c r="R1939" s="37"/>
      <c r="S1939" s="37" t="s">
        <v>591</v>
      </c>
      <c r="T1939" s="31"/>
    </row>
    <row r="1940" spans="1:20">
      <c r="A1940" s="31"/>
      <c r="B1940" s="32"/>
      <c r="C1940" s="33"/>
      <c r="D1940" s="32" t="s">
        <v>4255</v>
      </c>
      <c r="E1940" s="33" t="s">
        <v>116</v>
      </c>
      <c r="F1940" s="34">
        <v>1</v>
      </c>
      <c r="G1940" s="35">
        <v>0</v>
      </c>
      <c r="H1940" s="35">
        <v>0</v>
      </c>
      <c r="I1940" s="35">
        <f>Tabla1[[#This Row],[P.U. M.N.]]*Tabla1[[#This Row],[CANTIDADES DE REFERENCIA]]</f>
        <v>0</v>
      </c>
      <c r="J1940" s="35">
        <f>Tabla1[[#This Row],[P.U. USD]]*Tabla1[[#This Row],[CANTIDADES DE REFERENCIA]]</f>
        <v>0</v>
      </c>
      <c r="K1940" s="36"/>
      <c r="L1940" s="36"/>
      <c r="M1940" s="36"/>
      <c r="N1940" s="37" t="s">
        <v>589</v>
      </c>
      <c r="O1940" s="37"/>
      <c r="P1940" s="38"/>
      <c r="Q1940" s="37" t="s">
        <v>4256</v>
      </c>
      <c r="R1940" s="37"/>
      <c r="S1940" s="37" t="s">
        <v>591</v>
      </c>
      <c r="T1940" s="31"/>
    </row>
    <row r="1941" spans="1:20">
      <c r="A1941" s="31"/>
      <c r="B1941" s="32"/>
      <c r="C1941" s="33"/>
      <c r="D1941" s="32" t="s">
        <v>4257</v>
      </c>
      <c r="E1941" s="33" t="s">
        <v>116</v>
      </c>
      <c r="F1941" s="34">
        <v>1</v>
      </c>
      <c r="G1941" s="35">
        <v>0</v>
      </c>
      <c r="H1941" s="35">
        <v>0</v>
      </c>
      <c r="I1941" s="35">
        <f>Tabla1[[#This Row],[P.U. M.N.]]*Tabla1[[#This Row],[CANTIDADES DE REFERENCIA]]</f>
        <v>0</v>
      </c>
      <c r="J1941" s="35">
        <f>Tabla1[[#This Row],[P.U. USD]]*Tabla1[[#This Row],[CANTIDADES DE REFERENCIA]]</f>
        <v>0</v>
      </c>
      <c r="K1941" s="36"/>
      <c r="L1941" s="36"/>
      <c r="M1941" s="36"/>
      <c r="N1941" s="37" t="s">
        <v>589</v>
      </c>
      <c r="O1941" s="37"/>
      <c r="P1941" s="38"/>
      <c r="Q1941" s="37" t="s">
        <v>4258</v>
      </c>
      <c r="R1941" s="37"/>
      <c r="S1941" s="37" t="s">
        <v>591</v>
      </c>
      <c r="T1941" s="31"/>
    </row>
    <row r="1942" spans="1:20">
      <c r="A1942" s="31"/>
      <c r="B1942" s="32"/>
      <c r="C1942" s="33"/>
      <c r="D1942" s="32" t="s">
        <v>4259</v>
      </c>
      <c r="E1942" s="33" t="s">
        <v>116</v>
      </c>
      <c r="F1942" s="34">
        <v>1</v>
      </c>
      <c r="G1942" s="35">
        <v>0</v>
      </c>
      <c r="H1942" s="35">
        <v>0</v>
      </c>
      <c r="I1942" s="35">
        <f>Tabla1[[#This Row],[P.U. M.N.]]*Tabla1[[#This Row],[CANTIDADES DE REFERENCIA]]</f>
        <v>0</v>
      </c>
      <c r="J1942" s="35">
        <f>Tabla1[[#This Row],[P.U. USD]]*Tabla1[[#This Row],[CANTIDADES DE REFERENCIA]]</f>
        <v>0</v>
      </c>
      <c r="K1942" s="36"/>
      <c r="L1942" s="36"/>
      <c r="M1942" s="36"/>
      <c r="N1942" s="37" t="s">
        <v>589</v>
      </c>
      <c r="O1942" s="37"/>
      <c r="P1942" s="38"/>
      <c r="Q1942" s="37" t="s">
        <v>4260</v>
      </c>
      <c r="R1942" s="37"/>
      <c r="S1942" s="37" t="s">
        <v>591</v>
      </c>
      <c r="T1942" s="31"/>
    </row>
    <row r="1943" spans="1:20">
      <c r="A1943" s="31"/>
      <c r="B1943" s="32"/>
      <c r="C1943" s="33"/>
      <c r="D1943" s="32" t="s">
        <v>4261</v>
      </c>
      <c r="E1943" s="33" t="s">
        <v>116</v>
      </c>
      <c r="F1943" s="34">
        <v>1</v>
      </c>
      <c r="G1943" s="35">
        <v>0</v>
      </c>
      <c r="H1943" s="35">
        <v>0</v>
      </c>
      <c r="I1943" s="35">
        <f>Tabla1[[#This Row],[P.U. M.N.]]*Tabla1[[#This Row],[CANTIDADES DE REFERENCIA]]</f>
        <v>0</v>
      </c>
      <c r="J1943" s="35">
        <f>Tabla1[[#This Row],[P.U. USD]]*Tabla1[[#This Row],[CANTIDADES DE REFERENCIA]]</f>
        <v>0</v>
      </c>
      <c r="K1943" s="36"/>
      <c r="L1943" s="36"/>
      <c r="M1943" s="36"/>
      <c r="N1943" s="37" t="s">
        <v>589</v>
      </c>
      <c r="O1943" s="37"/>
      <c r="P1943" s="38"/>
      <c r="Q1943" s="37" t="s">
        <v>4262</v>
      </c>
      <c r="R1943" s="37"/>
      <c r="S1943" s="37" t="s">
        <v>591</v>
      </c>
      <c r="T1943" s="31"/>
    </row>
    <row r="1944" spans="1:20">
      <c r="A1944" s="31"/>
      <c r="B1944" s="32"/>
      <c r="C1944" s="33"/>
      <c r="D1944" s="32" t="s">
        <v>4263</v>
      </c>
      <c r="E1944" s="33" t="s">
        <v>116</v>
      </c>
      <c r="F1944" s="34">
        <v>1</v>
      </c>
      <c r="G1944" s="35">
        <v>0</v>
      </c>
      <c r="H1944" s="35">
        <v>0</v>
      </c>
      <c r="I1944" s="35">
        <f>Tabla1[[#This Row],[P.U. M.N.]]*Tabla1[[#This Row],[CANTIDADES DE REFERENCIA]]</f>
        <v>0</v>
      </c>
      <c r="J1944" s="35">
        <f>Tabla1[[#This Row],[P.U. USD]]*Tabla1[[#This Row],[CANTIDADES DE REFERENCIA]]</f>
        <v>0</v>
      </c>
      <c r="K1944" s="36"/>
      <c r="L1944" s="36"/>
      <c r="M1944" s="36"/>
      <c r="N1944" s="37" t="s">
        <v>589</v>
      </c>
      <c r="O1944" s="37"/>
      <c r="P1944" s="38"/>
      <c r="Q1944" s="37" t="s">
        <v>4264</v>
      </c>
      <c r="R1944" s="37"/>
      <c r="S1944" s="37" t="s">
        <v>591</v>
      </c>
      <c r="T1944" s="31"/>
    </row>
    <row r="1945" spans="1:20">
      <c r="A1945" s="31"/>
      <c r="B1945" s="32"/>
      <c r="C1945" s="33"/>
      <c r="D1945" s="32" t="s">
        <v>4265</v>
      </c>
      <c r="E1945" s="33" t="s">
        <v>116</v>
      </c>
      <c r="F1945" s="34">
        <v>1</v>
      </c>
      <c r="G1945" s="35">
        <v>0</v>
      </c>
      <c r="H1945" s="35">
        <v>0</v>
      </c>
      <c r="I1945" s="35">
        <f>Tabla1[[#This Row],[P.U. M.N.]]*Tabla1[[#This Row],[CANTIDADES DE REFERENCIA]]</f>
        <v>0</v>
      </c>
      <c r="J1945" s="35">
        <f>Tabla1[[#This Row],[P.U. USD]]*Tabla1[[#This Row],[CANTIDADES DE REFERENCIA]]</f>
        <v>0</v>
      </c>
      <c r="K1945" s="36"/>
      <c r="L1945" s="36"/>
      <c r="M1945" s="36"/>
      <c r="N1945" s="37" t="s">
        <v>589</v>
      </c>
      <c r="O1945" s="37"/>
      <c r="P1945" s="38"/>
      <c r="Q1945" s="37" t="s">
        <v>4266</v>
      </c>
      <c r="R1945" s="37"/>
      <c r="S1945" s="37" t="s">
        <v>591</v>
      </c>
      <c r="T1945" s="31"/>
    </row>
    <row r="1946" spans="1:20">
      <c r="A1946" s="31"/>
      <c r="B1946" s="32"/>
      <c r="C1946" s="33"/>
      <c r="D1946" s="32" t="s">
        <v>4267</v>
      </c>
      <c r="E1946" s="33" t="s">
        <v>54</v>
      </c>
      <c r="F1946" s="34">
        <v>1</v>
      </c>
      <c r="G1946" s="35">
        <v>0</v>
      </c>
      <c r="H1946" s="35">
        <v>0</v>
      </c>
      <c r="I1946" s="35">
        <f>Tabla1[[#This Row],[P.U. M.N.]]*Tabla1[[#This Row],[CANTIDADES DE REFERENCIA]]</f>
        <v>0</v>
      </c>
      <c r="J1946" s="35">
        <f>Tabla1[[#This Row],[P.U. USD]]*Tabla1[[#This Row],[CANTIDADES DE REFERENCIA]]</f>
        <v>0</v>
      </c>
      <c r="K1946" s="36"/>
      <c r="L1946" s="36"/>
      <c r="M1946" s="36"/>
      <c r="N1946" s="37" t="s">
        <v>589</v>
      </c>
      <c r="O1946" s="37"/>
      <c r="P1946" s="38"/>
      <c r="Q1946" s="37" t="s">
        <v>4268</v>
      </c>
      <c r="R1946" s="37"/>
      <c r="S1946" s="37" t="s">
        <v>591</v>
      </c>
      <c r="T1946" s="31"/>
    </row>
    <row r="1947" spans="1:20">
      <c r="A1947" s="31"/>
      <c r="B1947" s="32"/>
      <c r="C1947" s="33"/>
      <c r="D1947" s="32" t="s">
        <v>4269</v>
      </c>
      <c r="E1947" s="33" t="s">
        <v>54</v>
      </c>
      <c r="F1947" s="34">
        <v>1</v>
      </c>
      <c r="G1947" s="35">
        <v>0</v>
      </c>
      <c r="H1947" s="35">
        <v>0</v>
      </c>
      <c r="I1947" s="35">
        <f>Tabla1[[#This Row],[P.U. M.N.]]*Tabla1[[#This Row],[CANTIDADES DE REFERENCIA]]</f>
        <v>0</v>
      </c>
      <c r="J1947" s="35">
        <f>Tabla1[[#This Row],[P.U. USD]]*Tabla1[[#This Row],[CANTIDADES DE REFERENCIA]]</f>
        <v>0</v>
      </c>
      <c r="K1947" s="36"/>
      <c r="L1947" s="36"/>
      <c r="M1947" s="36"/>
      <c r="N1947" s="37" t="s">
        <v>589</v>
      </c>
      <c r="O1947" s="37"/>
      <c r="P1947" s="38"/>
      <c r="Q1947" s="37" t="s">
        <v>4270</v>
      </c>
      <c r="R1947" s="37"/>
      <c r="S1947" s="37" t="s">
        <v>591</v>
      </c>
      <c r="T1947" s="31"/>
    </row>
    <row r="1948" spans="1:20">
      <c r="A1948" s="31"/>
      <c r="B1948" s="32"/>
      <c r="C1948" s="33"/>
      <c r="D1948" s="32" t="s">
        <v>4271</v>
      </c>
      <c r="E1948" s="33" t="s">
        <v>54</v>
      </c>
      <c r="F1948" s="34">
        <v>1</v>
      </c>
      <c r="G1948" s="35">
        <v>0</v>
      </c>
      <c r="H1948" s="35">
        <v>0</v>
      </c>
      <c r="I1948" s="35">
        <f>Tabla1[[#This Row],[P.U. M.N.]]*Tabla1[[#This Row],[CANTIDADES DE REFERENCIA]]</f>
        <v>0</v>
      </c>
      <c r="J1948" s="35">
        <f>Tabla1[[#This Row],[P.U. USD]]*Tabla1[[#This Row],[CANTIDADES DE REFERENCIA]]</f>
        <v>0</v>
      </c>
      <c r="K1948" s="36"/>
      <c r="L1948" s="36"/>
      <c r="M1948" s="36"/>
      <c r="N1948" s="37" t="s">
        <v>589</v>
      </c>
      <c r="O1948" s="37"/>
      <c r="P1948" s="38"/>
      <c r="Q1948" s="37" t="s">
        <v>4272</v>
      </c>
      <c r="R1948" s="37"/>
      <c r="S1948" s="37" t="s">
        <v>591</v>
      </c>
      <c r="T1948" s="31"/>
    </row>
    <row r="1949" spans="1:20">
      <c r="A1949" s="31"/>
      <c r="B1949" s="32"/>
      <c r="C1949" s="33"/>
      <c r="D1949" s="32" t="s">
        <v>4273</v>
      </c>
      <c r="E1949" s="33" t="s">
        <v>1058</v>
      </c>
      <c r="F1949" s="34">
        <v>1</v>
      </c>
      <c r="G1949" s="35">
        <v>0</v>
      </c>
      <c r="H1949" s="35">
        <v>0</v>
      </c>
      <c r="I1949" s="35">
        <f>Tabla1[[#This Row],[P.U. M.N.]]*Tabla1[[#This Row],[CANTIDADES DE REFERENCIA]]</f>
        <v>0</v>
      </c>
      <c r="J1949" s="35">
        <f>Tabla1[[#This Row],[P.U. USD]]*Tabla1[[#This Row],[CANTIDADES DE REFERENCIA]]</f>
        <v>0</v>
      </c>
      <c r="K1949" s="36"/>
      <c r="L1949" s="36"/>
      <c r="M1949" s="36"/>
      <c r="N1949" s="37"/>
      <c r="O1949" s="37"/>
      <c r="P1949" s="38"/>
      <c r="Q1949" s="37" t="s">
        <v>4274</v>
      </c>
      <c r="R1949" s="37"/>
      <c r="S1949" s="37" t="s">
        <v>681</v>
      </c>
      <c r="T1949" s="31"/>
    </row>
    <row r="1950" spans="1:20">
      <c r="A1950" s="31"/>
      <c r="B1950" s="32"/>
      <c r="C1950" s="33"/>
      <c r="D1950" s="32" t="s">
        <v>4275</v>
      </c>
      <c r="E1950" s="33" t="s">
        <v>116</v>
      </c>
      <c r="F1950" s="34">
        <v>1</v>
      </c>
      <c r="G1950" s="35">
        <v>0</v>
      </c>
      <c r="H1950" s="35">
        <v>0</v>
      </c>
      <c r="I1950" s="35">
        <f>Tabla1[[#This Row],[P.U. M.N.]]*Tabla1[[#This Row],[CANTIDADES DE REFERENCIA]]</f>
        <v>0</v>
      </c>
      <c r="J1950" s="35">
        <f>Tabla1[[#This Row],[P.U. USD]]*Tabla1[[#This Row],[CANTIDADES DE REFERENCIA]]</f>
        <v>0</v>
      </c>
      <c r="K1950" s="36"/>
      <c r="L1950" s="36"/>
      <c r="M1950" s="36"/>
      <c r="N1950" s="37"/>
      <c r="O1950" s="37"/>
      <c r="P1950" s="38"/>
      <c r="Q1950" s="37" t="s">
        <v>4276</v>
      </c>
      <c r="R1950" s="37"/>
      <c r="S1950" s="37" t="s">
        <v>681</v>
      </c>
      <c r="T1950" s="31"/>
    </row>
    <row r="1951" spans="1:20">
      <c r="A1951" s="31"/>
      <c r="B1951" s="32"/>
      <c r="C1951" s="33"/>
      <c r="D1951" s="32" t="s">
        <v>4277</v>
      </c>
      <c r="E1951" s="33" t="s">
        <v>116</v>
      </c>
      <c r="F1951" s="34">
        <v>1</v>
      </c>
      <c r="G1951" s="35">
        <v>0</v>
      </c>
      <c r="H1951" s="35">
        <v>0</v>
      </c>
      <c r="I1951" s="35">
        <f>Tabla1[[#This Row],[P.U. M.N.]]*Tabla1[[#This Row],[CANTIDADES DE REFERENCIA]]</f>
        <v>0</v>
      </c>
      <c r="J1951" s="35">
        <f>Tabla1[[#This Row],[P.U. USD]]*Tabla1[[#This Row],[CANTIDADES DE REFERENCIA]]</f>
        <v>0</v>
      </c>
      <c r="K1951" s="36"/>
      <c r="L1951" s="36"/>
      <c r="M1951" s="36"/>
      <c r="N1951" s="37" t="s">
        <v>1277</v>
      </c>
      <c r="O1951" s="37"/>
      <c r="P1951" s="38"/>
      <c r="Q1951" s="37" t="s">
        <v>4278</v>
      </c>
      <c r="R1951" s="37"/>
      <c r="S1951" s="37" t="s">
        <v>681</v>
      </c>
      <c r="T1951" s="31"/>
    </row>
    <row r="1952" spans="1:20">
      <c r="A1952" s="31"/>
      <c r="B1952" s="32"/>
      <c r="C1952" s="33"/>
      <c r="D1952" s="32" t="s">
        <v>4279</v>
      </c>
      <c r="E1952" s="33" t="s">
        <v>116</v>
      </c>
      <c r="F1952" s="34">
        <v>1</v>
      </c>
      <c r="G1952" s="35">
        <v>0</v>
      </c>
      <c r="H1952" s="35">
        <v>0</v>
      </c>
      <c r="I1952" s="35">
        <f>Tabla1[[#This Row],[P.U. M.N.]]*Tabla1[[#This Row],[CANTIDADES DE REFERENCIA]]</f>
        <v>0</v>
      </c>
      <c r="J1952" s="35">
        <f>Tabla1[[#This Row],[P.U. USD]]*Tabla1[[#This Row],[CANTIDADES DE REFERENCIA]]</f>
        <v>0</v>
      </c>
      <c r="K1952" s="36"/>
      <c r="L1952" s="36"/>
      <c r="M1952" s="36"/>
      <c r="N1952" s="37" t="s">
        <v>392</v>
      </c>
      <c r="O1952" s="37" t="s">
        <v>393</v>
      </c>
      <c r="P1952" s="38"/>
      <c r="Q1952" s="37" t="s">
        <v>4280</v>
      </c>
      <c r="R1952" s="37"/>
      <c r="S1952" s="37" t="s">
        <v>395</v>
      </c>
      <c r="T1952" s="31"/>
    </row>
    <row r="1953" spans="1:20">
      <c r="A1953" s="31"/>
      <c r="B1953" s="32"/>
      <c r="C1953" s="33"/>
      <c r="D1953" s="32" t="s">
        <v>4281</v>
      </c>
      <c r="E1953" s="33" t="s">
        <v>116</v>
      </c>
      <c r="F1953" s="34">
        <v>1</v>
      </c>
      <c r="G1953" s="35">
        <v>0</v>
      </c>
      <c r="H1953" s="35">
        <v>0</v>
      </c>
      <c r="I1953" s="35">
        <f>Tabla1[[#This Row],[P.U. M.N.]]*Tabla1[[#This Row],[CANTIDADES DE REFERENCIA]]</f>
        <v>0</v>
      </c>
      <c r="J1953" s="35">
        <f>Tabla1[[#This Row],[P.U. USD]]*Tabla1[[#This Row],[CANTIDADES DE REFERENCIA]]</f>
        <v>0</v>
      </c>
      <c r="K1953" s="36"/>
      <c r="L1953" s="36"/>
      <c r="M1953" s="36"/>
      <c r="N1953" s="37" t="s">
        <v>392</v>
      </c>
      <c r="O1953" s="37" t="s">
        <v>393</v>
      </c>
      <c r="P1953" s="38"/>
      <c r="Q1953" s="37" t="s">
        <v>4282</v>
      </c>
      <c r="R1953" s="37"/>
      <c r="S1953" s="37" t="s">
        <v>395</v>
      </c>
      <c r="T1953" s="31"/>
    </row>
    <row r="1954" spans="1:20">
      <c r="A1954" s="31" t="s">
        <v>4143</v>
      </c>
      <c r="B1954" s="32" t="s">
        <v>4283</v>
      </c>
      <c r="C1954" s="33" t="str">
        <f>Tabla1[[#This Row],[PARTIDA]] &amp; "."</f>
        <v>2C-008.</v>
      </c>
      <c r="D1954" s="32" t="s">
        <v>4284</v>
      </c>
      <c r="E1954" s="33" t="s">
        <v>116</v>
      </c>
      <c r="F1954" s="34">
        <v>1</v>
      </c>
      <c r="G1954" s="35">
        <v>6346.43</v>
      </c>
      <c r="H1954" s="35">
        <v>24528.61</v>
      </c>
      <c r="I1954" s="35">
        <f>Tabla1[[#This Row],[P.U. M.N.]]*Tabla1[[#This Row],[CANTIDADES DE REFERENCIA]]</f>
        <v>6346.43</v>
      </c>
      <c r="J1954" s="35">
        <f>Tabla1[[#This Row],[P.U. USD]]*Tabla1[[#This Row],[CANTIDADES DE REFERENCIA]]</f>
        <v>24528.61</v>
      </c>
      <c r="K1954" s="36"/>
      <c r="L1954" s="36"/>
      <c r="M1954" s="36"/>
      <c r="N1954" s="37" t="s">
        <v>117</v>
      </c>
      <c r="O1954" s="37" t="s">
        <v>118</v>
      </c>
      <c r="P1954" s="38">
        <v>45479</v>
      </c>
      <c r="Q1954" s="37" t="s">
        <v>4285</v>
      </c>
      <c r="R1954" s="37"/>
      <c r="S1954" s="37" t="s">
        <v>120</v>
      </c>
      <c r="T1954" s="31"/>
    </row>
    <row r="1955" spans="1:20">
      <c r="A1955" s="31"/>
      <c r="B1955" s="32"/>
      <c r="C1955" s="33"/>
      <c r="D1955" s="32" t="s">
        <v>4286</v>
      </c>
      <c r="E1955" s="33" t="s">
        <v>116</v>
      </c>
      <c r="F1955" s="34">
        <v>1</v>
      </c>
      <c r="G1955" s="35">
        <v>0</v>
      </c>
      <c r="H1955" s="35">
        <v>0</v>
      </c>
      <c r="I1955" s="35">
        <f>Tabla1[[#This Row],[P.U. M.N.]]*Tabla1[[#This Row],[CANTIDADES DE REFERENCIA]]</f>
        <v>0</v>
      </c>
      <c r="J1955" s="35">
        <f>Tabla1[[#This Row],[P.U. USD]]*Tabla1[[#This Row],[CANTIDADES DE REFERENCIA]]</f>
        <v>0</v>
      </c>
      <c r="K1955" s="36"/>
      <c r="L1955" s="36"/>
      <c r="M1955" s="36"/>
      <c r="N1955" s="37" t="s">
        <v>1031</v>
      </c>
      <c r="O1955" s="37" t="s">
        <v>1032</v>
      </c>
      <c r="P1955" s="38"/>
      <c r="Q1955" s="37" t="s">
        <v>4287</v>
      </c>
      <c r="R1955" s="37"/>
      <c r="S1955" s="37" t="s">
        <v>2902</v>
      </c>
      <c r="T1955" s="31"/>
    </row>
    <row r="1956" spans="1:20">
      <c r="A1956" s="31"/>
      <c r="B1956" s="32"/>
      <c r="C1956" s="33"/>
      <c r="D1956" s="32" t="s">
        <v>4288</v>
      </c>
      <c r="E1956" s="33" t="s">
        <v>116</v>
      </c>
      <c r="F1956" s="34">
        <v>1</v>
      </c>
      <c r="G1956" s="35">
        <v>0</v>
      </c>
      <c r="H1956" s="35">
        <v>0</v>
      </c>
      <c r="I1956" s="35">
        <f>Tabla1[[#This Row],[P.U. M.N.]]*Tabla1[[#This Row],[CANTIDADES DE REFERENCIA]]</f>
        <v>0</v>
      </c>
      <c r="J1956" s="35">
        <f>Tabla1[[#This Row],[P.U. USD]]*Tabla1[[#This Row],[CANTIDADES DE REFERENCIA]]</f>
        <v>0</v>
      </c>
      <c r="K1956" s="36"/>
      <c r="L1956" s="36"/>
      <c r="M1956" s="36"/>
      <c r="N1956" s="37" t="s">
        <v>1031</v>
      </c>
      <c r="O1956" s="37" t="s">
        <v>1032</v>
      </c>
      <c r="P1956" s="38"/>
      <c r="Q1956" s="37" t="s">
        <v>4289</v>
      </c>
      <c r="R1956" s="37"/>
      <c r="S1956" s="37" t="s">
        <v>2902</v>
      </c>
      <c r="T1956" s="31"/>
    </row>
    <row r="1957" spans="1:20">
      <c r="A1957" s="31"/>
      <c r="B1957" s="32"/>
      <c r="C1957" s="33"/>
      <c r="D1957" s="32" t="s">
        <v>4290</v>
      </c>
      <c r="E1957" s="33" t="s">
        <v>116</v>
      </c>
      <c r="F1957" s="34">
        <v>1</v>
      </c>
      <c r="G1957" s="35">
        <v>0</v>
      </c>
      <c r="H1957" s="35">
        <v>0</v>
      </c>
      <c r="I1957" s="35">
        <f>Tabla1[[#This Row],[P.U. M.N.]]*Tabla1[[#This Row],[CANTIDADES DE REFERENCIA]]</f>
        <v>0</v>
      </c>
      <c r="J1957" s="35">
        <f>Tabla1[[#This Row],[P.U. USD]]*Tabla1[[#This Row],[CANTIDADES DE REFERENCIA]]</f>
        <v>0</v>
      </c>
      <c r="K1957" s="36"/>
      <c r="L1957" s="36"/>
      <c r="M1957" s="36"/>
      <c r="N1957" s="37" t="s">
        <v>1031</v>
      </c>
      <c r="O1957" s="37" t="s">
        <v>1032</v>
      </c>
      <c r="P1957" s="38"/>
      <c r="Q1957" s="37" t="s">
        <v>4291</v>
      </c>
      <c r="R1957" s="37"/>
      <c r="S1957" s="37" t="s">
        <v>2902</v>
      </c>
      <c r="T1957" s="31"/>
    </row>
    <row r="1958" spans="1:20">
      <c r="A1958" s="31"/>
      <c r="B1958" s="32"/>
      <c r="C1958" s="33"/>
      <c r="D1958" s="32" t="s">
        <v>4292</v>
      </c>
      <c r="E1958" s="33" t="s">
        <v>116</v>
      </c>
      <c r="F1958" s="34">
        <v>1</v>
      </c>
      <c r="G1958" s="35">
        <v>0</v>
      </c>
      <c r="H1958" s="35">
        <v>0</v>
      </c>
      <c r="I1958" s="35">
        <f>Tabla1[[#This Row],[P.U. M.N.]]*Tabla1[[#This Row],[CANTIDADES DE REFERENCIA]]</f>
        <v>0</v>
      </c>
      <c r="J1958" s="35">
        <f>Tabla1[[#This Row],[P.U. USD]]*Tabla1[[#This Row],[CANTIDADES DE REFERENCIA]]</f>
        <v>0</v>
      </c>
      <c r="K1958" s="36"/>
      <c r="L1958" s="36"/>
      <c r="M1958" s="36"/>
      <c r="N1958" s="37" t="s">
        <v>1031</v>
      </c>
      <c r="O1958" s="37" t="s">
        <v>1032</v>
      </c>
      <c r="P1958" s="38"/>
      <c r="Q1958" s="37" t="s">
        <v>4293</v>
      </c>
      <c r="R1958" s="37"/>
      <c r="S1958" s="37" t="s">
        <v>2902</v>
      </c>
      <c r="T1958" s="31"/>
    </row>
    <row r="1959" spans="1:20">
      <c r="A1959" s="31"/>
      <c r="B1959" s="32"/>
      <c r="C1959" s="33"/>
      <c r="D1959" s="32" t="s">
        <v>4294</v>
      </c>
      <c r="E1959" s="33" t="s">
        <v>42</v>
      </c>
      <c r="F1959" s="34">
        <v>1</v>
      </c>
      <c r="G1959" s="35">
        <v>0</v>
      </c>
      <c r="H1959" s="35">
        <v>0</v>
      </c>
      <c r="I1959" s="35">
        <f>Tabla1[[#This Row],[P.U. M.N.]]*Tabla1[[#This Row],[CANTIDADES DE REFERENCIA]]</f>
        <v>0</v>
      </c>
      <c r="J1959" s="35">
        <f>Tabla1[[#This Row],[P.U. USD]]*Tabla1[[#This Row],[CANTIDADES DE REFERENCIA]]</f>
        <v>0</v>
      </c>
      <c r="K1959" s="36"/>
      <c r="L1959" s="36"/>
      <c r="M1959" s="36"/>
      <c r="N1959" s="37" t="s">
        <v>392</v>
      </c>
      <c r="O1959" s="37" t="s">
        <v>393</v>
      </c>
      <c r="P1959" s="38"/>
      <c r="Q1959" s="37" t="s">
        <v>4295</v>
      </c>
      <c r="R1959" s="37"/>
      <c r="S1959" s="37" t="s">
        <v>395</v>
      </c>
      <c r="T1959" s="31"/>
    </row>
    <row r="1960" spans="1:20">
      <c r="A1960" s="31"/>
      <c r="B1960" s="32"/>
      <c r="C1960" s="33"/>
      <c r="D1960" s="32" t="s">
        <v>4296</v>
      </c>
      <c r="E1960" s="33" t="s">
        <v>116</v>
      </c>
      <c r="F1960" s="34">
        <v>1</v>
      </c>
      <c r="G1960" s="35">
        <v>0</v>
      </c>
      <c r="H1960" s="35">
        <v>0</v>
      </c>
      <c r="I1960" s="35">
        <f>Tabla1[[#This Row],[P.U. M.N.]]*Tabla1[[#This Row],[CANTIDADES DE REFERENCIA]]</f>
        <v>0</v>
      </c>
      <c r="J1960" s="35">
        <f>Tabla1[[#This Row],[P.U. USD]]*Tabla1[[#This Row],[CANTIDADES DE REFERENCIA]]</f>
        <v>0</v>
      </c>
      <c r="K1960" s="36"/>
      <c r="L1960" s="36"/>
      <c r="M1960" s="36"/>
      <c r="N1960" s="37" t="s">
        <v>1031</v>
      </c>
      <c r="O1960" s="37" t="s">
        <v>1032</v>
      </c>
      <c r="P1960" s="38"/>
      <c r="Q1960" s="37" t="s">
        <v>4297</v>
      </c>
      <c r="R1960" s="37"/>
      <c r="S1960" s="37" t="s">
        <v>2902</v>
      </c>
      <c r="T1960" s="31"/>
    </row>
    <row r="1961" spans="1:20">
      <c r="A1961" s="31"/>
      <c r="B1961" s="32"/>
      <c r="C1961" s="33"/>
      <c r="D1961" s="32" t="s">
        <v>4298</v>
      </c>
      <c r="E1961" s="33" t="s">
        <v>116</v>
      </c>
      <c r="F1961" s="34">
        <v>1</v>
      </c>
      <c r="G1961" s="35">
        <v>0</v>
      </c>
      <c r="H1961" s="35">
        <v>0</v>
      </c>
      <c r="I1961" s="35">
        <f>Tabla1[[#This Row],[P.U. M.N.]]*Tabla1[[#This Row],[CANTIDADES DE REFERENCIA]]</f>
        <v>0</v>
      </c>
      <c r="J1961" s="35">
        <f>Tabla1[[#This Row],[P.U. USD]]*Tabla1[[#This Row],[CANTIDADES DE REFERENCIA]]</f>
        <v>0</v>
      </c>
      <c r="K1961" s="36"/>
      <c r="L1961" s="36"/>
      <c r="M1961" s="36"/>
      <c r="N1961" s="37"/>
      <c r="O1961" s="37"/>
      <c r="P1961" s="39"/>
      <c r="Q1961" s="37" t="s">
        <v>4299</v>
      </c>
      <c r="R1961" s="37"/>
      <c r="S1961" s="37" t="s">
        <v>850</v>
      </c>
      <c r="T1961" s="31"/>
    </row>
    <row r="1962" spans="1:20">
      <c r="A1962" s="31"/>
      <c r="B1962" s="32"/>
      <c r="C1962" s="33"/>
      <c r="D1962" s="32" t="s">
        <v>4300</v>
      </c>
      <c r="E1962" s="33" t="s">
        <v>116</v>
      </c>
      <c r="F1962" s="34">
        <v>1</v>
      </c>
      <c r="G1962" s="35">
        <v>0</v>
      </c>
      <c r="H1962" s="35">
        <v>0</v>
      </c>
      <c r="I1962" s="35">
        <f>Tabla1[[#This Row],[P.U. M.N.]]*Tabla1[[#This Row],[CANTIDADES DE REFERENCIA]]</f>
        <v>0</v>
      </c>
      <c r="J1962" s="35">
        <f>Tabla1[[#This Row],[P.U. USD]]*Tabla1[[#This Row],[CANTIDADES DE REFERENCIA]]</f>
        <v>0</v>
      </c>
      <c r="K1962" s="36"/>
      <c r="L1962" s="36"/>
      <c r="M1962" s="36"/>
      <c r="N1962" s="37"/>
      <c r="O1962" s="37"/>
      <c r="P1962" s="39"/>
      <c r="Q1962" s="37" t="s">
        <v>4301</v>
      </c>
      <c r="R1962" s="37"/>
      <c r="S1962" s="37" t="s">
        <v>850</v>
      </c>
      <c r="T1962" s="31"/>
    </row>
    <row r="1963" spans="1:20">
      <c r="A1963" s="31"/>
      <c r="B1963" s="32"/>
      <c r="C1963" s="33"/>
      <c r="D1963" s="32" t="s">
        <v>4302</v>
      </c>
      <c r="E1963" s="33" t="s">
        <v>116</v>
      </c>
      <c r="F1963" s="34">
        <v>1</v>
      </c>
      <c r="G1963" s="35">
        <v>0</v>
      </c>
      <c r="H1963" s="35">
        <v>0</v>
      </c>
      <c r="I1963" s="35">
        <f>Tabla1[[#This Row],[P.U. M.N.]]*Tabla1[[#This Row],[CANTIDADES DE REFERENCIA]]</f>
        <v>0</v>
      </c>
      <c r="J1963" s="35">
        <f>Tabla1[[#This Row],[P.U. USD]]*Tabla1[[#This Row],[CANTIDADES DE REFERENCIA]]</f>
        <v>0</v>
      </c>
      <c r="K1963" s="36"/>
      <c r="L1963" s="36"/>
      <c r="M1963" s="36"/>
      <c r="N1963" s="37"/>
      <c r="O1963" s="37"/>
      <c r="P1963" s="39"/>
      <c r="Q1963" s="37" t="s">
        <v>4303</v>
      </c>
      <c r="R1963" s="37"/>
      <c r="S1963" s="37" t="s">
        <v>850</v>
      </c>
      <c r="T1963" s="31"/>
    </row>
    <row r="1964" spans="1:20">
      <c r="A1964" s="31"/>
      <c r="B1964" s="32"/>
      <c r="C1964" s="33"/>
      <c r="D1964" s="32" t="s">
        <v>4304</v>
      </c>
      <c r="E1964" s="33" t="s">
        <v>116</v>
      </c>
      <c r="F1964" s="34">
        <v>1</v>
      </c>
      <c r="G1964" s="35">
        <v>0</v>
      </c>
      <c r="H1964" s="35">
        <v>0</v>
      </c>
      <c r="I1964" s="35">
        <f>Tabla1[[#This Row],[P.U. M.N.]]*Tabla1[[#This Row],[CANTIDADES DE REFERENCIA]]</f>
        <v>0</v>
      </c>
      <c r="J1964" s="35">
        <f>Tabla1[[#This Row],[P.U. USD]]*Tabla1[[#This Row],[CANTIDADES DE REFERENCIA]]</f>
        <v>0</v>
      </c>
      <c r="K1964" s="36"/>
      <c r="L1964" s="36"/>
      <c r="M1964" s="36"/>
      <c r="N1964" s="37"/>
      <c r="O1964" s="37"/>
      <c r="P1964" s="39"/>
      <c r="Q1964" s="37" t="s">
        <v>4305</v>
      </c>
      <c r="R1964" s="37"/>
      <c r="S1964" s="37" t="s">
        <v>850</v>
      </c>
      <c r="T1964" s="31"/>
    </row>
    <row r="1965" spans="1:20">
      <c r="A1965" s="31"/>
      <c r="B1965" s="32"/>
      <c r="C1965" s="33"/>
      <c r="D1965" s="32" t="s">
        <v>4306</v>
      </c>
      <c r="E1965" s="33" t="s">
        <v>116</v>
      </c>
      <c r="F1965" s="34">
        <v>1</v>
      </c>
      <c r="G1965" s="35">
        <v>0</v>
      </c>
      <c r="H1965" s="35">
        <v>0</v>
      </c>
      <c r="I1965" s="35">
        <f>Tabla1[[#This Row],[P.U. M.N.]]*Tabla1[[#This Row],[CANTIDADES DE REFERENCIA]]</f>
        <v>0</v>
      </c>
      <c r="J1965" s="35">
        <f>Tabla1[[#This Row],[P.U. USD]]*Tabla1[[#This Row],[CANTIDADES DE REFERENCIA]]</f>
        <v>0</v>
      </c>
      <c r="K1965" s="36"/>
      <c r="L1965" s="36"/>
      <c r="M1965" s="36"/>
      <c r="N1965" s="37"/>
      <c r="O1965" s="37"/>
      <c r="P1965" s="39"/>
      <c r="Q1965" s="37" t="s">
        <v>4307</v>
      </c>
      <c r="R1965" s="37"/>
      <c r="S1965" s="37" t="s">
        <v>850</v>
      </c>
      <c r="T1965" s="31"/>
    </row>
    <row r="1966" spans="1:20">
      <c r="A1966" s="31"/>
      <c r="B1966" s="32"/>
      <c r="C1966" s="33"/>
      <c r="D1966" s="32" t="s">
        <v>4308</v>
      </c>
      <c r="E1966" s="33" t="s">
        <v>116</v>
      </c>
      <c r="F1966" s="34">
        <v>1</v>
      </c>
      <c r="G1966" s="35">
        <v>0</v>
      </c>
      <c r="H1966" s="35">
        <v>0</v>
      </c>
      <c r="I1966" s="35">
        <f>Tabla1[[#This Row],[P.U. M.N.]]*Tabla1[[#This Row],[CANTIDADES DE REFERENCIA]]</f>
        <v>0</v>
      </c>
      <c r="J1966" s="35">
        <f>Tabla1[[#This Row],[P.U. USD]]*Tabla1[[#This Row],[CANTIDADES DE REFERENCIA]]</f>
        <v>0</v>
      </c>
      <c r="K1966" s="36"/>
      <c r="L1966" s="36"/>
      <c r="M1966" s="36"/>
      <c r="N1966" s="37"/>
      <c r="O1966" s="37"/>
      <c r="P1966" s="39"/>
      <c r="Q1966" s="37" t="s">
        <v>4309</v>
      </c>
      <c r="R1966" s="37"/>
      <c r="S1966" s="37" t="s">
        <v>850</v>
      </c>
      <c r="T1966" s="31"/>
    </row>
    <row r="1967" spans="1:20">
      <c r="A1967" s="31"/>
      <c r="B1967" s="32"/>
      <c r="C1967" s="33"/>
      <c r="D1967" s="32" t="s">
        <v>4310</v>
      </c>
      <c r="E1967" s="33" t="s">
        <v>116</v>
      </c>
      <c r="F1967" s="34">
        <v>1</v>
      </c>
      <c r="G1967" s="35">
        <v>0</v>
      </c>
      <c r="H1967" s="35">
        <v>0</v>
      </c>
      <c r="I1967" s="35">
        <f>Tabla1[[#This Row],[P.U. M.N.]]*Tabla1[[#This Row],[CANTIDADES DE REFERENCIA]]</f>
        <v>0</v>
      </c>
      <c r="J1967" s="35">
        <f>Tabla1[[#This Row],[P.U. USD]]*Tabla1[[#This Row],[CANTIDADES DE REFERENCIA]]</f>
        <v>0</v>
      </c>
      <c r="K1967" s="36"/>
      <c r="L1967" s="36"/>
      <c r="M1967" s="36"/>
      <c r="N1967" s="37"/>
      <c r="O1967" s="37"/>
      <c r="P1967" s="39"/>
      <c r="Q1967" s="37" t="s">
        <v>4311</v>
      </c>
      <c r="R1967" s="37"/>
      <c r="S1967" s="37" t="s">
        <v>850</v>
      </c>
      <c r="T1967" s="31"/>
    </row>
    <row r="1968" spans="1:20">
      <c r="A1968" s="31"/>
      <c r="B1968" s="32"/>
      <c r="C1968" s="33"/>
      <c r="D1968" s="32" t="s">
        <v>4312</v>
      </c>
      <c r="E1968" s="33" t="s">
        <v>116</v>
      </c>
      <c r="F1968" s="34">
        <v>1</v>
      </c>
      <c r="G1968" s="35">
        <v>0</v>
      </c>
      <c r="H1968" s="35">
        <v>0</v>
      </c>
      <c r="I1968" s="35">
        <f>Tabla1[[#This Row],[P.U. M.N.]]*Tabla1[[#This Row],[CANTIDADES DE REFERENCIA]]</f>
        <v>0</v>
      </c>
      <c r="J1968" s="35">
        <f>Tabla1[[#This Row],[P.U. USD]]*Tabla1[[#This Row],[CANTIDADES DE REFERENCIA]]</f>
        <v>0</v>
      </c>
      <c r="K1968" s="36"/>
      <c r="L1968" s="36"/>
      <c r="M1968" s="36"/>
      <c r="N1968" s="37"/>
      <c r="O1968" s="37"/>
      <c r="P1968" s="39"/>
      <c r="Q1968" s="37" t="s">
        <v>4313</v>
      </c>
      <c r="R1968" s="37"/>
      <c r="S1968" s="37" t="s">
        <v>850</v>
      </c>
      <c r="T1968" s="31"/>
    </row>
    <row r="1969" spans="1:20">
      <c r="A1969" s="31"/>
      <c r="B1969" s="32"/>
      <c r="C1969" s="33"/>
      <c r="D1969" s="32" t="s">
        <v>4314</v>
      </c>
      <c r="E1969" s="33" t="s">
        <v>116</v>
      </c>
      <c r="F1969" s="34">
        <v>1</v>
      </c>
      <c r="G1969" s="35">
        <v>0</v>
      </c>
      <c r="H1969" s="35">
        <v>0</v>
      </c>
      <c r="I1969" s="35">
        <f>Tabla1[[#This Row],[P.U. M.N.]]*Tabla1[[#This Row],[CANTIDADES DE REFERENCIA]]</f>
        <v>0</v>
      </c>
      <c r="J1969" s="35">
        <f>Tabla1[[#This Row],[P.U. USD]]*Tabla1[[#This Row],[CANTIDADES DE REFERENCIA]]</f>
        <v>0</v>
      </c>
      <c r="K1969" s="36"/>
      <c r="L1969" s="36"/>
      <c r="M1969" s="36"/>
      <c r="N1969" s="37"/>
      <c r="O1969" s="37"/>
      <c r="P1969" s="39"/>
      <c r="Q1969" s="37" t="s">
        <v>4315</v>
      </c>
      <c r="R1969" s="37"/>
      <c r="S1969" s="37" t="s">
        <v>850</v>
      </c>
      <c r="T1969" s="31"/>
    </row>
    <row r="1970" spans="1:20">
      <c r="A1970" s="31"/>
      <c r="B1970" s="32"/>
      <c r="C1970" s="33"/>
      <c r="D1970" s="32" t="s">
        <v>4316</v>
      </c>
      <c r="E1970" s="33" t="s">
        <v>116</v>
      </c>
      <c r="F1970" s="34">
        <v>1</v>
      </c>
      <c r="G1970" s="35">
        <v>0</v>
      </c>
      <c r="H1970" s="35">
        <v>0</v>
      </c>
      <c r="I1970" s="35">
        <f>Tabla1[[#This Row],[P.U. M.N.]]*Tabla1[[#This Row],[CANTIDADES DE REFERENCIA]]</f>
        <v>0</v>
      </c>
      <c r="J1970" s="35">
        <f>Tabla1[[#This Row],[P.U. USD]]*Tabla1[[#This Row],[CANTIDADES DE REFERENCIA]]</f>
        <v>0</v>
      </c>
      <c r="K1970" s="36"/>
      <c r="L1970" s="36"/>
      <c r="M1970" s="36"/>
      <c r="N1970" s="37"/>
      <c r="O1970" s="37"/>
      <c r="P1970" s="39"/>
      <c r="Q1970" s="37" t="s">
        <v>4317</v>
      </c>
      <c r="R1970" s="37"/>
      <c r="S1970" s="37" t="s">
        <v>850</v>
      </c>
      <c r="T1970" s="31"/>
    </row>
    <row r="1971" spans="1:20">
      <c r="A1971" s="31"/>
      <c r="B1971" s="32"/>
      <c r="C1971" s="33"/>
      <c r="D1971" s="32" t="s">
        <v>4318</v>
      </c>
      <c r="E1971" s="33" t="s">
        <v>116</v>
      </c>
      <c r="F1971" s="34">
        <v>1</v>
      </c>
      <c r="G1971" s="35">
        <v>0</v>
      </c>
      <c r="H1971" s="35">
        <v>0</v>
      </c>
      <c r="I1971" s="35">
        <f>Tabla1[[#This Row],[P.U. M.N.]]*Tabla1[[#This Row],[CANTIDADES DE REFERENCIA]]</f>
        <v>0</v>
      </c>
      <c r="J1971" s="35">
        <f>Tabla1[[#This Row],[P.U. USD]]*Tabla1[[#This Row],[CANTIDADES DE REFERENCIA]]</f>
        <v>0</v>
      </c>
      <c r="K1971" s="36"/>
      <c r="L1971" s="36"/>
      <c r="M1971" s="36"/>
      <c r="N1971" s="37"/>
      <c r="O1971" s="37"/>
      <c r="P1971" s="39"/>
      <c r="Q1971" s="37" t="s">
        <v>4319</v>
      </c>
      <c r="R1971" s="37"/>
      <c r="S1971" s="37" t="s">
        <v>850</v>
      </c>
      <c r="T1971" s="31"/>
    </row>
    <row r="1972" spans="1:20">
      <c r="A1972" s="31"/>
      <c r="B1972" s="32"/>
      <c r="C1972" s="33"/>
      <c r="D1972" s="32" t="s">
        <v>4320</v>
      </c>
      <c r="E1972" s="33" t="s">
        <v>116</v>
      </c>
      <c r="F1972" s="34">
        <v>1</v>
      </c>
      <c r="G1972" s="35">
        <v>0</v>
      </c>
      <c r="H1972" s="35">
        <v>0</v>
      </c>
      <c r="I1972" s="35">
        <f>Tabla1[[#This Row],[P.U. M.N.]]*Tabla1[[#This Row],[CANTIDADES DE REFERENCIA]]</f>
        <v>0</v>
      </c>
      <c r="J1972" s="35">
        <f>Tabla1[[#This Row],[P.U. USD]]*Tabla1[[#This Row],[CANTIDADES DE REFERENCIA]]</f>
        <v>0</v>
      </c>
      <c r="K1972" s="36"/>
      <c r="L1972" s="36"/>
      <c r="M1972" s="36"/>
      <c r="N1972" s="37"/>
      <c r="O1972" s="37"/>
      <c r="P1972" s="39"/>
      <c r="Q1972" s="37" t="s">
        <v>4321</v>
      </c>
      <c r="R1972" s="37"/>
      <c r="S1972" s="37" t="s">
        <v>850</v>
      </c>
      <c r="T1972" s="31"/>
    </row>
    <row r="1973" spans="1:20">
      <c r="A1973" s="31"/>
      <c r="B1973" s="32"/>
      <c r="C1973" s="33"/>
      <c r="D1973" s="32" t="s">
        <v>4322</v>
      </c>
      <c r="E1973" s="33" t="s">
        <v>135</v>
      </c>
      <c r="F1973" s="34">
        <v>1</v>
      </c>
      <c r="G1973" s="35">
        <v>0</v>
      </c>
      <c r="H1973" s="35">
        <v>0</v>
      </c>
      <c r="I1973" s="35">
        <f>Tabla1[[#This Row],[P.U. M.N.]]*Tabla1[[#This Row],[CANTIDADES DE REFERENCIA]]</f>
        <v>0</v>
      </c>
      <c r="J1973" s="35">
        <f>Tabla1[[#This Row],[P.U. USD]]*Tabla1[[#This Row],[CANTIDADES DE REFERENCIA]]</f>
        <v>0</v>
      </c>
      <c r="K1973" s="36"/>
      <c r="L1973" s="36"/>
      <c r="M1973" s="36"/>
      <c r="N1973" s="37"/>
      <c r="O1973" s="37"/>
      <c r="P1973" s="39"/>
      <c r="Q1973" s="37" t="s">
        <v>4323</v>
      </c>
      <c r="R1973" s="37"/>
      <c r="S1973" s="37" t="s">
        <v>850</v>
      </c>
      <c r="T1973" s="31"/>
    </row>
    <row r="1974" spans="1:20">
      <c r="A1974" s="31"/>
      <c r="B1974" s="32"/>
      <c r="C1974" s="33"/>
      <c r="D1974" s="32" t="s">
        <v>4324</v>
      </c>
      <c r="E1974" s="33" t="s">
        <v>135</v>
      </c>
      <c r="F1974" s="34">
        <v>1</v>
      </c>
      <c r="G1974" s="35">
        <v>0</v>
      </c>
      <c r="H1974" s="35">
        <v>0</v>
      </c>
      <c r="I1974" s="35">
        <f>Tabla1[[#This Row],[P.U. M.N.]]*Tabla1[[#This Row],[CANTIDADES DE REFERENCIA]]</f>
        <v>0</v>
      </c>
      <c r="J1974" s="35">
        <f>Tabla1[[#This Row],[P.U. USD]]*Tabla1[[#This Row],[CANTIDADES DE REFERENCIA]]</f>
        <v>0</v>
      </c>
      <c r="K1974" s="36"/>
      <c r="L1974" s="36"/>
      <c r="M1974" s="36"/>
      <c r="N1974" s="37"/>
      <c r="O1974" s="37"/>
      <c r="P1974" s="39"/>
      <c r="Q1974" s="37" t="s">
        <v>4325</v>
      </c>
      <c r="R1974" s="37"/>
      <c r="S1974" s="37" t="s">
        <v>850</v>
      </c>
      <c r="T1974" s="31"/>
    </row>
    <row r="1975" spans="1:20">
      <c r="A1975" s="31"/>
      <c r="B1975" s="32"/>
      <c r="C1975" s="33"/>
      <c r="D1975" s="32" t="s">
        <v>4326</v>
      </c>
      <c r="E1975" s="33" t="s">
        <v>135</v>
      </c>
      <c r="F1975" s="34">
        <v>1</v>
      </c>
      <c r="G1975" s="35">
        <v>0</v>
      </c>
      <c r="H1975" s="35">
        <v>0</v>
      </c>
      <c r="I1975" s="35">
        <f>Tabla1[[#This Row],[P.U. M.N.]]*Tabla1[[#This Row],[CANTIDADES DE REFERENCIA]]</f>
        <v>0</v>
      </c>
      <c r="J1975" s="35">
        <f>Tabla1[[#This Row],[P.U. USD]]*Tabla1[[#This Row],[CANTIDADES DE REFERENCIA]]</f>
        <v>0</v>
      </c>
      <c r="K1975" s="36"/>
      <c r="L1975" s="36"/>
      <c r="M1975" s="36"/>
      <c r="N1975" s="37"/>
      <c r="O1975" s="37"/>
      <c r="P1975" s="39"/>
      <c r="Q1975" s="37" t="s">
        <v>4327</v>
      </c>
      <c r="R1975" s="37"/>
      <c r="S1975" s="37" t="s">
        <v>850</v>
      </c>
      <c r="T1975" s="31"/>
    </row>
    <row r="1976" spans="1:20">
      <c r="A1976" s="31"/>
      <c r="B1976" s="32"/>
      <c r="C1976" s="33"/>
      <c r="D1976" s="32" t="s">
        <v>4328</v>
      </c>
      <c r="E1976" s="33" t="s">
        <v>135</v>
      </c>
      <c r="F1976" s="34">
        <v>1</v>
      </c>
      <c r="G1976" s="35">
        <v>0</v>
      </c>
      <c r="H1976" s="35">
        <v>0</v>
      </c>
      <c r="I1976" s="35">
        <f>Tabla1[[#This Row],[P.U. M.N.]]*Tabla1[[#This Row],[CANTIDADES DE REFERENCIA]]</f>
        <v>0</v>
      </c>
      <c r="J1976" s="35">
        <f>Tabla1[[#This Row],[P.U. USD]]*Tabla1[[#This Row],[CANTIDADES DE REFERENCIA]]</f>
        <v>0</v>
      </c>
      <c r="K1976" s="36"/>
      <c r="L1976" s="36"/>
      <c r="M1976" s="36"/>
      <c r="N1976" s="37"/>
      <c r="O1976" s="37"/>
      <c r="P1976" s="39"/>
      <c r="Q1976" s="37" t="s">
        <v>4329</v>
      </c>
      <c r="R1976" s="37"/>
      <c r="S1976" s="37" t="s">
        <v>850</v>
      </c>
      <c r="T1976" s="31"/>
    </row>
    <row r="1977" spans="1:20">
      <c r="A1977" s="31"/>
      <c r="B1977" s="32"/>
      <c r="C1977" s="33"/>
      <c r="D1977" s="32" t="s">
        <v>4330</v>
      </c>
      <c r="E1977" s="33" t="s">
        <v>116</v>
      </c>
      <c r="F1977" s="34">
        <v>1</v>
      </c>
      <c r="G1977" s="35">
        <v>0</v>
      </c>
      <c r="H1977" s="35">
        <v>0</v>
      </c>
      <c r="I1977" s="35">
        <f>Tabla1[[#This Row],[P.U. M.N.]]*Tabla1[[#This Row],[CANTIDADES DE REFERENCIA]]</f>
        <v>0</v>
      </c>
      <c r="J1977" s="35">
        <f>Tabla1[[#This Row],[P.U. USD]]*Tabla1[[#This Row],[CANTIDADES DE REFERENCIA]]</f>
        <v>0</v>
      </c>
      <c r="K1977" s="36"/>
      <c r="L1977" s="36"/>
      <c r="M1977" s="36"/>
      <c r="N1977" s="37"/>
      <c r="O1977" s="37"/>
      <c r="P1977" s="39"/>
      <c r="Q1977" s="37" t="s">
        <v>4331</v>
      </c>
      <c r="R1977" s="37"/>
      <c r="S1977" s="37" t="s">
        <v>850</v>
      </c>
      <c r="T1977" s="31"/>
    </row>
    <row r="1978" spans="1:20">
      <c r="A1978" s="31"/>
      <c r="B1978" s="32"/>
      <c r="C1978" s="33"/>
      <c r="D1978" s="32" t="s">
        <v>4332</v>
      </c>
      <c r="E1978" s="33" t="s">
        <v>116</v>
      </c>
      <c r="F1978" s="34">
        <v>1</v>
      </c>
      <c r="G1978" s="35">
        <v>0</v>
      </c>
      <c r="H1978" s="35">
        <v>0</v>
      </c>
      <c r="I1978" s="35">
        <f>Tabla1[[#This Row],[P.U. M.N.]]*Tabla1[[#This Row],[CANTIDADES DE REFERENCIA]]</f>
        <v>0</v>
      </c>
      <c r="J1978" s="35">
        <f>Tabla1[[#This Row],[P.U. USD]]*Tabla1[[#This Row],[CANTIDADES DE REFERENCIA]]</f>
        <v>0</v>
      </c>
      <c r="K1978" s="36"/>
      <c r="L1978" s="36"/>
      <c r="M1978" s="36"/>
      <c r="N1978" s="37"/>
      <c r="O1978" s="37"/>
      <c r="P1978" s="39"/>
      <c r="Q1978" s="37" t="s">
        <v>4333</v>
      </c>
      <c r="R1978" s="37"/>
      <c r="S1978" s="37" t="s">
        <v>850</v>
      </c>
      <c r="T1978" s="31"/>
    </row>
    <row r="1979" spans="1:20">
      <c r="A1979" s="31"/>
      <c r="B1979" s="32"/>
      <c r="C1979" s="33"/>
      <c r="D1979" s="32" t="s">
        <v>4334</v>
      </c>
      <c r="E1979" s="33" t="s">
        <v>116</v>
      </c>
      <c r="F1979" s="34">
        <v>1</v>
      </c>
      <c r="G1979" s="35">
        <v>0</v>
      </c>
      <c r="H1979" s="35">
        <v>0</v>
      </c>
      <c r="I1979" s="35">
        <f>Tabla1[[#This Row],[P.U. M.N.]]*Tabla1[[#This Row],[CANTIDADES DE REFERENCIA]]</f>
        <v>0</v>
      </c>
      <c r="J1979" s="35">
        <f>Tabla1[[#This Row],[P.U. USD]]*Tabla1[[#This Row],[CANTIDADES DE REFERENCIA]]</f>
        <v>0</v>
      </c>
      <c r="K1979" s="36"/>
      <c r="L1979" s="36"/>
      <c r="M1979" s="36"/>
      <c r="N1979" s="37"/>
      <c r="O1979" s="37"/>
      <c r="P1979" s="39"/>
      <c r="Q1979" s="37" t="s">
        <v>4335</v>
      </c>
      <c r="R1979" s="37"/>
      <c r="S1979" s="37" t="s">
        <v>850</v>
      </c>
      <c r="T1979" s="31"/>
    </row>
    <row r="1980" spans="1:20">
      <c r="A1980" s="31"/>
      <c r="B1980" s="32"/>
      <c r="C1980" s="33"/>
      <c r="D1980" s="32" t="s">
        <v>4336</v>
      </c>
      <c r="E1980" s="33" t="s">
        <v>116</v>
      </c>
      <c r="F1980" s="34">
        <v>1</v>
      </c>
      <c r="G1980" s="35">
        <v>0</v>
      </c>
      <c r="H1980" s="35">
        <v>0</v>
      </c>
      <c r="I1980" s="35">
        <f>Tabla1[[#This Row],[P.U. M.N.]]*Tabla1[[#This Row],[CANTIDADES DE REFERENCIA]]</f>
        <v>0</v>
      </c>
      <c r="J1980" s="35">
        <f>Tabla1[[#This Row],[P.U. USD]]*Tabla1[[#This Row],[CANTIDADES DE REFERENCIA]]</f>
        <v>0</v>
      </c>
      <c r="K1980" s="36"/>
      <c r="L1980" s="36"/>
      <c r="M1980" s="36"/>
      <c r="N1980" s="37"/>
      <c r="O1980" s="37"/>
      <c r="P1980" s="39"/>
      <c r="Q1980" s="37" t="s">
        <v>4337</v>
      </c>
      <c r="R1980" s="37"/>
      <c r="S1980" s="37" t="s">
        <v>850</v>
      </c>
      <c r="T1980" s="31"/>
    </row>
    <row r="1981" spans="1:20">
      <c r="A1981" s="31"/>
      <c r="B1981" s="32"/>
      <c r="C1981" s="33"/>
      <c r="D1981" s="32" t="s">
        <v>4338</v>
      </c>
      <c r="E1981" s="33" t="s">
        <v>116</v>
      </c>
      <c r="F1981" s="34">
        <v>1</v>
      </c>
      <c r="G1981" s="35">
        <v>0</v>
      </c>
      <c r="H1981" s="35">
        <v>0</v>
      </c>
      <c r="I1981" s="35">
        <f>Tabla1[[#This Row],[P.U. M.N.]]*Tabla1[[#This Row],[CANTIDADES DE REFERENCIA]]</f>
        <v>0</v>
      </c>
      <c r="J1981" s="35">
        <f>Tabla1[[#This Row],[P.U. USD]]*Tabla1[[#This Row],[CANTIDADES DE REFERENCIA]]</f>
        <v>0</v>
      </c>
      <c r="K1981" s="36"/>
      <c r="L1981" s="36"/>
      <c r="M1981" s="36"/>
      <c r="N1981" s="37"/>
      <c r="O1981" s="37"/>
      <c r="P1981" s="39"/>
      <c r="Q1981" s="37" t="s">
        <v>4339</v>
      </c>
      <c r="R1981" s="37"/>
      <c r="S1981" s="37" t="s">
        <v>850</v>
      </c>
      <c r="T1981" s="31"/>
    </row>
    <row r="1982" spans="1:20">
      <c r="A1982" s="31"/>
      <c r="B1982" s="32"/>
      <c r="C1982" s="33"/>
      <c r="D1982" s="32" t="s">
        <v>4340</v>
      </c>
      <c r="E1982" s="33" t="s">
        <v>116</v>
      </c>
      <c r="F1982" s="34">
        <v>1</v>
      </c>
      <c r="G1982" s="35">
        <v>0</v>
      </c>
      <c r="H1982" s="35">
        <v>0</v>
      </c>
      <c r="I1982" s="35">
        <f>Tabla1[[#This Row],[P.U. M.N.]]*Tabla1[[#This Row],[CANTIDADES DE REFERENCIA]]</f>
        <v>0</v>
      </c>
      <c r="J1982" s="35">
        <f>Tabla1[[#This Row],[P.U. USD]]*Tabla1[[#This Row],[CANTIDADES DE REFERENCIA]]</f>
        <v>0</v>
      </c>
      <c r="K1982" s="36"/>
      <c r="L1982" s="36"/>
      <c r="M1982" s="36"/>
      <c r="N1982" s="37"/>
      <c r="O1982" s="37"/>
      <c r="P1982" s="39"/>
      <c r="Q1982" s="37" t="s">
        <v>4341</v>
      </c>
      <c r="R1982" s="37"/>
      <c r="S1982" s="37" t="s">
        <v>850</v>
      </c>
      <c r="T1982" s="31"/>
    </row>
    <row r="1983" spans="1:20">
      <c r="A1983" s="31"/>
      <c r="B1983" s="32"/>
      <c r="C1983" s="33"/>
      <c r="D1983" s="32" t="s">
        <v>4342</v>
      </c>
      <c r="E1983" s="33" t="s">
        <v>116</v>
      </c>
      <c r="F1983" s="34">
        <v>1</v>
      </c>
      <c r="G1983" s="35">
        <v>0</v>
      </c>
      <c r="H1983" s="35">
        <v>0</v>
      </c>
      <c r="I1983" s="35">
        <f>Tabla1[[#This Row],[P.U. M.N.]]*Tabla1[[#This Row],[CANTIDADES DE REFERENCIA]]</f>
        <v>0</v>
      </c>
      <c r="J1983" s="35">
        <f>Tabla1[[#This Row],[P.U. USD]]*Tabla1[[#This Row],[CANTIDADES DE REFERENCIA]]</f>
        <v>0</v>
      </c>
      <c r="K1983" s="36"/>
      <c r="L1983" s="36"/>
      <c r="M1983" s="36"/>
      <c r="N1983" s="37"/>
      <c r="O1983" s="37"/>
      <c r="P1983" s="39"/>
      <c r="Q1983" s="37" t="s">
        <v>4343</v>
      </c>
      <c r="R1983" s="37"/>
      <c r="S1983" s="37" t="s">
        <v>850</v>
      </c>
      <c r="T1983" s="31"/>
    </row>
    <row r="1984" spans="1:20">
      <c r="A1984" s="31"/>
      <c r="B1984" s="32"/>
      <c r="C1984" s="33"/>
      <c r="D1984" s="32" t="s">
        <v>4344</v>
      </c>
      <c r="E1984" s="33" t="s">
        <v>116</v>
      </c>
      <c r="F1984" s="34">
        <v>1</v>
      </c>
      <c r="G1984" s="35">
        <v>0</v>
      </c>
      <c r="H1984" s="35">
        <v>0</v>
      </c>
      <c r="I1984" s="35">
        <f>Tabla1[[#This Row],[P.U. M.N.]]*Tabla1[[#This Row],[CANTIDADES DE REFERENCIA]]</f>
        <v>0</v>
      </c>
      <c r="J1984" s="35">
        <f>Tabla1[[#This Row],[P.U. USD]]*Tabla1[[#This Row],[CANTIDADES DE REFERENCIA]]</f>
        <v>0</v>
      </c>
      <c r="K1984" s="36"/>
      <c r="L1984" s="36"/>
      <c r="M1984" s="36"/>
      <c r="N1984" s="37"/>
      <c r="O1984" s="37"/>
      <c r="P1984" s="39"/>
      <c r="Q1984" s="37" t="s">
        <v>4345</v>
      </c>
      <c r="R1984" s="37"/>
      <c r="S1984" s="37" t="s">
        <v>850</v>
      </c>
      <c r="T1984" s="31"/>
    </row>
    <row r="1985" spans="1:20">
      <c r="A1985" s="31"/>
      <c r="B1985" s="32"/>
      <c r="C1985" s="33"/>
      <c r="D1985" s="32" t="s">
        <v>4346</v>
      </c>
      <c r="E1985" s="33" t="s">
        <v>116</v>
      </c>
      <c r="F1985" s="34">
        <v>1</v>
      </c>
      <c r="G1985" s="35">
        <v>0</v>
      </c>
      <c r="H1985" s="35">
        <v>0</v>
      </c>
      <c r="I1985" s="35">
        <f>Tabla1[[#This Row],[P.U. M.N.]]*Tabla1[[#This Row],[CANTIDADES DE REFERENCIA]]</f>
        <v>0</v>
      </c>
      <c r="J1985" s="35">
        <f>Tabla1[[#This Row],[P.U. USD]]*Tabla1[[#This Row],[CANTIDADES DE REFERENCIA]]</f>
        <v>0</v>
      </c>
      <c r="K1985" s="36"/>
      <c r="L1985" s="36"/>
      <c r="M1985" s="36"/>
      <c r="N1985" s="37"/>
      <c r="O1985" s="37"/>
      <c r="P1985" s="39"/>
      <c r="Q1985" s="37" t="s">
        <v>4347</v>
      </c>
      <c r="R1985" s="37"/>
      <c r="S1985" s="37" t="s">
        <v>850</v>
      </c>
      <c r="T1985" s="31"/>
    </row>
    <row r="1986" spans="1:20">
      <c r="A1986" s="31"/>
      <c r="B1986" s="32"/>
      <c r="C1986" s="33"/>
      <c r="D1986" s="32" t="s">
        <v>4348</v>
      </c>
      <c r="E1986" s="33" t="s">
        <v>116</v>
      </c>
      <c r="F1986" s="34">
        <v>1</v>
      </c>
      <c r="G1986" s="35">
        <v>0</v>
      </c>
      <c r="H1986" s="35">
        <v>0</v>
      </c>
      <c r="I1986" s="35">
        <f>Tabla1[[#This Row],[P.U. M.N.]]*Tabla1[[#This Row],[CANTIDADES DE REFERENCIA]]</f>
        <v>0</v>
      </c>
      <c r="J1986" s="35">
        <f>Tabla1[[#This Row],[P.U. USD]]*Tabla1[[#This Row],[CANTIDADES DE REFERENCIA]]</f>
        <v>0</v>
      </c>
      <c r="K1986" s="36"/>
      <c r="L1986" s="36"/>
      <c r="M1986" s="36"/>
      <c r="N1986" s="37"/>
      <c r="O1986" s="37"/>
      <c r="P1986" s="39"/>
      <c r="Q1986" s="37" t="s">
        <v>4349</v>
      </c>
      <c r="R1986" s="37"/>
      <c r="S1986" s="37" t="s">
        <v>850</v>
      </c>
      <c r="T1986" s="31"/>
    </row>
    <row r="1987" spans="1:20">
      <c r="A1987" s="31"/>
      <c r="B1987" s="32"/>
      <c r="C1987" s="33"/>
      <c r="D1987" s="32" t="s">
        <v>4350</v>
      </c>
      <c r="E1987" s="33" t="s">
        <v>116</v>
      </c>
      <c r="F1987" s="34">
        <v>1</v>
      </c>
      <c r="G1987" s="35">
        <v>0</v>
      </c>
      <c r="H1987" s="35">
        <v>0</v>
      </c>
      <c r="I1987" s="35">
        <f>Tabla1[[#This Row],[P.U. M.N.]]*Tabla1[[#This Row],[CANTIDADES DE REFERENCIA]]</f>
        <v>0</v>
      </c>
      <c r="J1987" s="35">
        <f>Tabla1[[#This Row],[P.U. USD]]*Tabla1[[#This Row],[CANTIDADES DE REFERENCIA]]</f>
        <v>0</v>
      </c>
      <c r="K1987" s="36"/>
      <c r="L1987" s="36"/>
      <c r="M1987" s="36"/>
      <c r="N1987" s="37"/>
      <c r="O1987" s="37"/>
      <c r="P1987" s="39"/>
      <c r="Q1987" s="37" t="s">
        <v>4351</v>
      </c>
      <c r="R1987" s="37"/>
      <c r="S1987" s="37" t="s">
        <v>850</v>
      </c>
      <c r="T1987" s="31"/>
    </row>
    <row r="1988" spans="1:20">
      <c r="A1988" s="31"/>
      <c r="B1988" s="32"/>
      <c r="C1988" s="33"/>
      <c r="D1988" s="32" t="s">
        <v>4352</v>
      </c>
      <c r="E1988" s="33" t="s">
        <v>116</v>
      </c>
      <c r="F1988" s="34">
        <v>1</v>
      </c>
      <c r="G1988" s="35">
        <v>0</v>
      </c>
      <c r="H1988" s="35">
        <v>0</v>
      </c>
      <c r="I1988" s="35">
        <f>Tabla1[[#This Row],[P.U. M.N.]]*Tabla1[[#This Row],[CANTIDADES DE REFERENCIA]]</f>
        <v>0</v>
      </c>
      <c r="J1988" s="35">
        <f>Tabla1[[#This Row],[P.U. USD]]*Tabla1[[#This Row],[CANTIDADES DE REFERENCIA]]</f>
        <v>0</v>
      </c>
      <c r="K1988" s="36"/>
      <c r="L1988" s="36"/>
      <c r="M1988" s="36"/>
      <c r="N1988" s="37"/>
      <c r="O1988" s="37"/>
      <c r="P1988" s="39"/>
      <c r="Q1988" s="37" t="s">
        <v>4353</v>
      </c>
      <c r="R1988" s="37"/>
      <c r="S1988" s="37" t="s">
        <v>850</v>
      </c>
      <c r="T1988" s="31"/>
    </row>
    <row r="1989" spans="1:20">
      <c r="A1989" s="31"/>
      <c r="B1989" s="32"/>
      <c r="C1989" s="33"/>
      <c r="D1989" s="32" t="s">
        <v>4354</v>
      </c>
      <c r="E1989" s="33" t="s">
        <v>116</v>
      </c>
      <c r="F1989" s="34">
        <v>1</v>
      </c>
      <c r="G1989" s="35">
        <v>0</v>
      </c>
      <c r="H1989" s="35">
        <v>0</v>
      </c>
      <c r="I1989" s="35">
        <f>Tabla1[[#This Row],[P.U. M.N.]]*Tabla1[[#This Row],[CANTIDADES DE REFERENCIA]]</f>
        <v>0</v>
      </c>
      <c r="J1989" s="35">
        <f>Tabla1[[#This Row],[P.U. USD]]*Tabla1[[#This Row],[CANTIDADES DE REFERENCIA]]</f>
        <v>0</v>
      </c>
      <c r="K1989" s="36"/>
      <c r="L1989" s="36"/>
      <c r="M1989" s="36"/>
      <c r="N1989" s="37"/>
      <c r="O1989" s="37"/>
      <c r="P1989" s="39"/>
      <c r="Q1989" s="37" t="s">
        <v>4355</v>
      </c>
      <c r="R1989" s="37"/>
      <c r="S1989" s="37" t="s">
        <v>850</v>
      </c>
      <c r="T1989" s="31"/>
    </row>
    <row r="1990" spans="1:20">
      <c r="A1990" s="31"/>
      <c r="B1990" s="32"/>
      <c r="C1990" s="33"/>
      <c r="D1990" s="32" t="s">
        <v>4356</v>
      </c>
      <c r="E1990" s="33" t="s">
        <v>116</v>
      </c>
      <c r="F1990" s="34">
        <v>1</v>
      </c>
      <c r="G1990" s="35">
        <v>0</v>
      </c>
      <c r="H1990" s="35">
        <v>0</v>
      </c>
      <c r="I1990" s="35">
        <f>Tabla1[[#This Row],[P.U. M.N.]]*Tabla1[[#This Row],[CANTIDADES DE REFERENCIA]]</f>
        <v>0</v>
      </c>
      <c r="J1990" s="35">
        <f>Tabla1[[#This Row],[P.U. USD]]*Tabla1[[#This Row],[CANTIDADES DE REFERENCIA]]</f>
        <v>0</v>
      </c>
      <c r="K1990" s="36"/>
      <c r="L1990" s="36"/>
      <c r="M1990" s="36"/>
      <c r="N1990" s="37"/>
      <c r="O1990" s="37"/>
      <c r="P1990" s="39"/>
      <c r="Q1990" s="37" t="s">
        <v>4357</v>
      </c>
      <c r="R1990" s="37"/>
      <c r="S1990" s="37" t="s">
        <v>850</v>
      </c>
      <c r="T1990" s="31"/>
    </row>
    <row r="1991" spans="1:20">
      <c r="A1991" s="31"/>
      <c r="B1991" s="32"/>
      <c r="C1991" s="33"/>
      <c r="D1991" s="32" t="s">
        <v>4358</v>
      </c>
      <c r="E1991" s="33" t="s">
        <v>42</v>
      </c>
      <c r="F1991" s="34">
        <v>1</v>
      </c>
      <c r="G1991" s="35">
        <v>0</v>
      </c>
      <c r="H1991" s="35">
        <v>0</v>
      </c>
      <c r="I1991" s="35">
        <f>Tabla1[[#This Row],[P.U. M.N.]]*Tabla1[[#This Row],[CANTIDADES DE REFERENCIA]]</f>
        <v>0</v>
      </c>
      <c r="J1991" s="35">
        <f>Tabla1[[#This Row],[P.U. USD]]*Tabla1[[#This Row],[CANTIDADES DE REFERENCIA]]</f>
        <v>0</v>
      </c>
      <c r="K1991" s="36"/>
      <c r="L1991" s="36"/>
      <c r="M1991" s="36"/>
      <c r="N1991" s="37"/>
      <c r="O1991" s="37"/>
      <c r="P1991" s="39"/>
      <c r="Q1991" s="37" t="s">
        <v>4359</v>
      </c>
      <c r="R1991" s="37"/>
      <c r="S1991" s="37" t="s">
        <v>850</v>
      </c>
      <c r="T1991" s="31"/>
    </row>
    <row r="1992" spans="1:20">
      <c r="A1992" s="31"/>
      <c r="B1992" s="32"/>
      <c r="C1992" s="33"/>
      <c r="D1992" s="32" t="s">
        <v>4360</v>
      </c>
      <c r="E1992" s="33" t="s">
        <v>42</v>
      </c>
      <c r="F1992" s="34">
        <v>1</v>
      </c>
      <c r="G1992" s="35">
        <v>0</v>
      </c>
      <c r="H1992" s="35">
        <v>0</v>
      </c>
      <c r="I1992" s="35">
        <f>Tabla1[[#This Row],[P.U. M.N.]]*Tabla1[[#This Row],[CANTIDADES DE REFERENCIA]]</f>
        <v>0</v>
      </c>
      <c r="J1992" s="35">
        <f>Tabla1[[#This Row],[P.U. USD]]*Tabla1[[#This Row],[CANTIDADES DE REFERENCIA]]</f>
        <v>0</v>
      </c>
      <c r="K1992" s="36"/>
      <c r="L1992" s="36"/>
      <c r="M1992" s="36"/>
      <c r="N1992" s="37"/>
      <c r="O1992" s="37"/>
      <c r="P1992" s="39"/>
      <c r="Q1992" s="37" t="s">
        <v>4361</v>
      </c>
      <c r="R1992" s="37"/>
      <c r="S1992" s="37" t="s">
        <v>850</v>
      </c>
      <c r="T1992" s="31"/>
    </row>
    <row r="1993" spans="1:20">
      <c r="A1993" s="31"/>
      <c r="B1993" s="32"/>
      <c r="C1993" s="33"/>
      <c r="D1993" s="32" t="s">
        <v>4362</v>
      </c>
      <c r="E1993" s="33" t="s">
        <v>42</v>
      </c>
      <c r="F1993" s="34">
        <v>1</v>
      </c>
      <c r="G1993" s="35">
        <v>0</v>
      </c>
      <c r="H1993" s="35">
        <v>0</v>
      </c>
      <c r="I1993" s="35">
        <f>Tabla1[[#This Row],[P.U. M.N.]]*Tabla1[[#This Row],[CANTIDADES DE REFERENCIA]]</f>
        <v>0</v>
      </c>
      <c r="J1993" s="35">
        <f>Tabla1[[#This Row],[P.U. USD]]*Tabla1[[#This Row],[CANTIDADES DE REFERENCIA]]</f>
        <v>0</v>
      </c>
      <c r="K1993" s="36"/>
      <c r="L1993" s="36"/>
      <c r="M1993" s="36"/>
      <c r="N1993" s="37"/>
      <c r="O1993" s="37"/>
      <c r="P1993" s="39"/>
      <c r="Q1993" s="37" t="s">
        <v>4363</v>
      </c>
      <c r="R1993" s="37"/>
      <c r="S1993" s="37" t="s">
        <v>850</v>
      </c>
      <c r="T1993" s="31"/>
    </row>
    <row r="1994" spans="1:20">
      <c r="A1994" s="31"/>
      <c r="B1994" s="32"/>
      <c r="C1994" s="33"/>
      <c r="D1994" s="32" t="s">
        <v>4364</v>
      </c>
      <c r="E1994" s="33" t="s">
        <v>42</v>
      </c>
      <c r="F1994" s="34">
        <v>1</v>
      </c>
      <c r="G1994" s="35">
        <v>0</v>
      </c>
      <c r="H1994" s="35">
        <v>0</v>
      </c>
      <c r="I1994" s="35">
        <f>Tabla1[[#This Row],[P.U. M.N.]]*Tabla1[[#This Row],[CANTIDADES DE REFERENCIA]]</f>
        <v>0</v>
      </c>
      <c r="J1994" s="35">
        <f>Tabla1[[#This Row],[P.U. USD]]*Tabla1[[#This Row],[CANTIDADES DE REFERENCIA]]</f>
        <v>0</v>
      </c>
      <c r="K1994" s="36"/>
      <c r="L1994" s="36"/>
      <c r="M1994" s="36"/>
      <c r="N1994" s="37"/>
      <c r="O1994" s="37"/>
      <c r="P1994" s="39"/>
      <c r="Q1994" s="37" t="s">
        <v>4365</v>
      </c>
      <c r="R1994" s="37"/>
      <c r="S1994" s="37" t="s">
        <v>4366</v>
      </c>
      <c r="T1994" s="31"/>
    </row>
    <row r="1995" spans="1:20">
      <c r="A1995" s="31"/>
      <c r="B1995" s="32"/>
      <c r="C1995" s="33"/>
      <c r="D1995" s="32" t="s">
        <v>4367</v>
      </c>
      <c r="E1995" s="33" t="s">
        <v>42</v>
      </c>
      <c r="F1995" s="34">
        <v>1</v>
      </c>
      <c r="G1995" s="35">
        <v>0</v>
      </c>
      <c r="H1995" s="35">
        <v>0</v>
      </c>
      <c r="I1995" s="35">
        <f>Tabla1[[#This Row],[P.U. M.N.]]*Tabla1[[#This Row],[CANTIDADES DE REFERENCIA]]</f>
        <v>0</v>
      </c>
      <c r="J1995" s="35">
        <f>Tabla1[[#This Row],[P.U. USD]]*Tabla1[[#This Row],[CANTIDADES DE REFERENCIA]]</f>
        <v>0</v>
      </c>
      <c r="K1995" s="36"/>
      <c r="L1995" s="36"/>
      <c r="M1995" s="36"/>
      <c r="N1995" s="37"/>
      <c r="O1995" s="37"/>
      <c r="P1995" s="39"/>
      <c r="Q1995" s="37" t="s">
        <v>4368</v>
      </c>
      <c r="R1995" s="37"/>
      <c r="S1995" s="37" t="s">
        <v>4366</v>
      </c>
      <c r="T1995" s="31"/>
    </row>
    <row r="1996" spans="1:20">
      <c r="A1996" s="31"/>
      <c r="B1996" s="32"/>
      <c r="C1996" s="33"/>
      <c r="D1996" s="32" t="s">
        <v>4369</v>
      </c>
      <c r="E1996" s="33" t="s">
        <v>116</v>
      </c>
      <c r="F1996" s="34">
        <v>1</v>
      </c>
      <c r="G1996" s="35">
        <v>0</v>
      </c>
      <c r="H1996" s="35">
        <v>0</v>
      </c>
      <c r="I1996" s="35">
        <f>Tabla1[[#This Row],[P.U. M.N.]]*Tabla1[[#This Row],[CANTIDADES DE REFERENCIA]]</f>
        <v>0</v>
      </c>
      <c r="J1996" s="35">
        <f>Tabla1[[#This Row],[P.U. USD]]*Tabla1[[#This Row],[CANTIDADES DE REFERENCIA]]</f>
        <v>0</v>
      </c>
      <c r="K1996" s="36"/>
      <c r="L1996" s="36"/>
      <c r="M1996" s="36"/>
      <c r="N1996" s="37" t="s">
        <v>874</v>
      </c>
      <c r="O1996" s="37" t="s">
        <v>875</v>
      </c>
      <c r="P1996" s="39"/>
      <c r="Q1996" s="37" t="s">
        <v>4370</v>
      </c>
      <c r="R1996" s="37"/>
      <c r="S1996" s="37" t="s">
        <v>877</v>
      </c>
      <c r="T1996" s="31"/>
    </row>
    <row r="1997" spans="1:20">
      <c r="A1997" s="31"/>
      <c r="B1997" s="32"/>
      <c r="C1997" s="33"/>
      <c r="D1997" s="32" t="s">
        <v>4371</v>
      </c>
      <c r="E1997" s="33" t="s">
        <v>42</v>
      </c>
      <c r="F1997" s="34">
        <v>1</v>
      </c>
      <c r="G1997" s="35">
        <v>0</v>
      </c>
      <c r="H1997" s="35">
        <v>0</v>
      </c>
      <c r="I1997" s="35">
        <f>Tabla1[[#This Row],[P.U. M.N.]]*Tabla1[[#This Row],[CANTIDADES DE REFERENCIA]]</f>
        <v>0</v>
      </c>
      <c r="J1997" s="35">
        <f>Tabla1[[#This Row],[P.U. USD]]*Tabla1[[#This Row],[CANTIDADES DE REFERENCIA]]</f>
        <v>0</v>
      </c>
      <c r="K1997" s="36"/>
      <c r="L1997" s="36"/>
      <c r="M1997" s="36"/>
      <c r="N1997" s="37" t="s">
        <v>874</v>
      </c>
      <c r="O1997" s="37" t="s">
        <v>875</v>
      </c>
      <c r="P1997" s="39"/>
      <c r="Q1997" s="37" t="s">
        <v>4372</v>
      </c>
      <c r="R1997" s="37"/>
      <c r="S1997" s="37" t="s">
        <v>877</v>
      </c>
      <c r="T1997" s="31"/>
    </row>
    <row r="1998" spans="1:20" ht="15" customHeight="1">
      <c r="A1998" s="31"/>
      <c r="B1998" s="32"/>
      <c r="C1998" s="33"/>
      <c r="D1998" s="32" t="s">
        <v>4373</v>
      </c>
      <c r="E1998" s="33" t="s">
        <v>116</v>
      </c>
      <c r="F1998" s="34">
        <v>1</v>
      </c>
      <c r="G1998" s="35">
        <v>0</v>
      </c>
      <c r="H1998" s="35">
        <v>0</v>
      </c>
      <c r="I1998" s="35">
        <f>Tabla1[[#This Row],[P.U. M.N.]]*Tabla1[[#This Row],[CANTIDADES DE REFERENCIA]]</f>
        <v>0</v>
      </c>
      <c r="J1998" s="35">
        <f>Tabla1[[#This Row],[P.U. USD]]*Tabla1[[#This Row],[CANTIDADES DE REFERENCIA]]</f>
        <v>0</v>
      </c>
      <c r="K1998" s="36"/>
      <c r="L1998" s="36"/>
      <c r="M1998" s="36"/>
      <c r="N1998" s="37"/>
      <c r="O1998" s="37"/>
      <c r="P1998" s="39"/>
      <c r="Q1998" s="37" t="s">
        <v>4374</v>
      </c>
      <c r="R1998" s="37"/>
      <c r="S1998" s="37" t="s">
        <v>4375</v>
      </c>
      <c r="T1998" s="31"/>
    </row>
    <row r="1999" spans="1:20" ht="15" customHeight="1">
      <c r="A1999" s="31"/>
      <c r="B1999" s="32"/>
      <c r="C1999" s="33"/>
      <c r="D1999" s="32" t="s">
        <v>4376</v>
      </c>
      <c r="E1999" s="33" t="s">
        <v>116</v>
      </c>
      <c r="F1999" s="34">
        <v>1</v>
      </c>
      <c r="G1999" s="35">
        <v>0</v>
      </c>
      <c r="H1999" s="35">
        <v>0</v>
      </c>
      <c r="I1999" s="35">
        <f>Tabla1[[#This Row],[P.U. M.N.]]*Tabla1[[#This Row],[CANTIDADES DE REFERENCIA]]</f>
        <v>0</v>
      </c>
      <c r="J1999" s="35">
        <f>Tabla1[[#This Row],[P.U. USD]]*Tabla1[[#This Row],[CANTIDADES DE REFERENCIA]]</f>
        <v>0</v>
      </c>
      <c r="K1999" s="36"/>
      <c r="L1999" s="36"/>
      <c r="M1999" s="36"/>
      <c r="N1999" s="37"/>
      <c r="O1999" s="37"/>
      <c r="P1999" s="39"/>
      <c r="Q1999" s="37" t="s">
        <v>4377</v>
      </c>
      <c r="R1999" s="37"/>
      <c r="S1999" s="37" t="s">
        <v>4378</v>
      </c>
      <c r="T1999" s="31"/>
    </row>
    <row r="2000" spans="1:20" ht="15" customHeight="1">
      <c r="A2000" s="31"/>
      <c r="B2000" s="32"/>
      <c r="C2000" s="33"/>
      <c r="D2000" s="32" t="s">
        <v>4379</v>
      </c>
      <c r="E2000" s="33" t="s">
        <v>116</v>
      </c>
      <c r="F2000" s="34">
        <v>1</v>
      </c>
      <c r="G2000" s="35">
        <v>0</v>
      </c>
      <c r="H2000" s="35">
        <v>0</v>
      </c>
      <c r="I2000" s="35">
        <f>Tabla1[[#This Row],[P.U. M.N.]]*Tabla1[[#This Row],[CANTIDADES DE REFERENCIA]]</f>
        <v>0</v>
      </c>
      <c r="J2000" s="35">
        <f>Tabla1[[#This Row],[P.U. USD]]*Tabla1[[#This Row],[CANTIDADES DE REFERENCIA]]</f>
        <v>0</v>
      </c>
      <c r="K2000" s="36"/>
      <c r="L2000" s="36"/>
      <c r="M2000" s="36"/>
      <c r="N2000" s="37" t="s">
        <v>1277</v>
      </c>
      <c r="O2000" s="37"/>
      <c r="P2000" s="39"/>
      <c r="Q2000" s="37" t="s">
        <v>4380</v>
      </c>
      <c r="R2000" s="37"/>
      <c r="S2000" s="37" t="s">
        <v>4378</v>
      </c>
      <c r="T2000" s="31"/>
    </row>
    <row r="2001" spans="1:20" ht="15" customHeight="1">
      <c r="A2001" s="31"/>
      <c r="B2001" s="32"/>
      <c r="C2001" s="33"/>
      <c r="D2001" s="32" t="s">
        <v>4381</v>
      </c>
      <c r="E2001" s="33" t="s">
        <v>116</v>
      </c>
      <c r="F2001" s="34">
        <v>1</v>
      </c>
      <c r="G2001" s="35">
        <v>0</v>
      </c>
      <c r="H2001" s="35">
        <v>0</v>
      </c>
      <c r="I2001" s="35">
        <f>Tabla1[[#This Row],[P.U. M.N.]]*Tabla1[[#This Row],[CANTIDADES DE REFERENCIA]]</f>
        <v>0</v>
      </c>
      <c r="J2001" s="35">
        <f>Tabla1[[#This Row],[P.U. USD]]*Tabla1[[#This Row],[CANTIDADES DE REFERENCIA]]</f>
        <v>0</v>
      </c>
      <c r="K2001" s="36"/>
      <c r="L2001" s="36"/>
      <c r="M2001" s="36"/>
      <c r="N2001" s="37" t="s">
        <v>4382</v>
      </c>
      <c r="O2001" s="37"/>
      <c r="P2001" s="39"/>
      <c r="Q2001" s="37" t="s">
        <v>4383</v>
      </c>
      <c r="R2001" s="37"/>
      <c r="S2001" s="37" t="s">
        <v>4378</v>
      </c>
      <c r="T2001" s="31"/>
    </row>
    <row r="2002" spans="1:20" ht="15" customHeight="1">
      <c r="A2002" s="31"/>
      <c r="B2002" s="32"/>
      <c r="C2002" s="33"/>
      <c r="D2002" s="32" t="s">
        <v>4384</v>
      </c>
      <c r="E2002" s="33" t="s">
        <v>116</v>
      </c>
      <c r="F2002" s="34">
        <v>1</v>
      </c>
      <c r="G2002" s="35">
        <v>0</v>
      </c>
      <c r="H2002" s="35">
        <v>0</v>
      </c>
      <c r="I2002" s="35">
        <f>Tabla1[[#This Row],[P.U. M.N.]]*Tabla1[[#This Row],[CANTIDADES DE REFERENCIA]]</f>
        <v>0</v>
      </c>
      <c r="J2002" s="35">
        <f>Tabla1[[#This Row],[P.U. USD]]*Tabla1[[#This Row],[CANTIDADES DE REFERENCIA]]</f>
        <v>0</v>
      </c>
      <c r="K2002" s="36"/>
      <c r="L2002" s="36"/>
      <c r="M2002" s="36"/>
      <c r="N2002" s="37" t="s">
        <v>4385</v>
      </c>
      <c r="O2002" s="37"/>
      <c r="P2002" s="39"/>
      <c r="Q2002" s="37" t="s">
        <v>4386</v>
      </c>
      <c r="R2002" s="37"/>
      <c r="S2002" s="37" t="s">
        <v>4378</v>
      </c>
      <c r="T2002" s="31"/>
    </row>
    <row r="2003" spans="1:20" ht="15" customHeight="1">
      <c r="A2003" s="31"/>
      <c r="B2003" s="32"/>
      <c r="C2003" s="33"/>
      <c r="D2003" s="32" t="s">
        <v>4387</v>
      </c>
      <c r="E2003" s="33" t="s">
        <v>116</v>
      </c>
      <c r="F2003" s="34">
        <v>1</v>
      </c>
      <c r="G2003" s="35">
        <v>0</v>
      </c>
      <c r="H2003" s="35">
        <v>0</v>
      </c>
      <c r="I2003" s="35">
        <f>Tabla1[[#This Row],[P.U. M.N.]]*Tabla1[[#This Row],[CANTIDADES DE REFERENCIA]]</f>
        <v>0</v>
      </c>
      <c r="J2003" s="35">
        <f>Tabla1[[#This Row],[P.U. USD]]*Tabla1[[#This Row],[CANTIDADES DE REFERENCIA]]</f>
        <v>0</v>
      </c>
      <c r="K2003" s="36"/>
      <c r="L2003" s="36"/>
      <c r="M2003" s="36"/>
      <c r="N2003" s="37"/>
      <c r="O2003" s="37"/>
      <c r="P2003" s="39"/>
      <c r="Q2003" s="37" t="s">
        <v>4388</v>
      </c>
      <c r="R2003" s="37"/>
      <c r="S2003" s="37" t="s">
        <v>887</v>
      </c>
      <c r="T2003" s="31"/>
    </row>
    <row r="2004" spans="1:20" ht="18" customHeight="1">
      <c r="A2004" s="31"/>
      <c r="B2004" s="32"/>
      <c r="C2004" s="33"/>
      <c r="D2004" s="32" t="s">
        <v>4389</v>
      </c>
      <c r="E2004" s="33" t="s">
        <v>116</v>
      </c>
      <c r="F2004" s="34">
        <v>1</v>
      </c>
      <c r="G2004" s="35">
        <v>0</v>
      </c>
      <c r="H2004" s="35">
        <v>0</v>
      </c>
      <c r="I2004" s="35">
        <f>Tabla1[[#This Row],[P.U. M.N.]]*Tabla1[[#This Row],[CANTIDADES DE REFERENCIA]]</f>
        <v>0</v>
      </c>
      <c r="J2004" s="35">
        <f>Tabla1[[#This Row],[P.U. USD]]*Tabla1[[#This Row],[CANTIDADES DE REFERENCIA]]</f>
        <v>0</v>
      </c>
      <c r="K2004" s="36"/>
      <c r="L2004" s="36"/>
      <c r="M2004" s="36"/>
      <c r="N2004" s="37"/>
      <c r="O2004" s="37"/>
      <c r="P2004" s="39"/>
      <c r="Q2004" s="37" t="s">
        <v>4390</v>
      </c>
      <c r="R2004" s="37"/>
      <c r="S2004" s="37" t="s">
        <v>887</v>
      </c>
      <c r="T2004" s="31"/>
    </row>
    <row r="2005" spans="1:20" ht="18" customHeight="1">
      <c r="A2005" s="31"/>
      <c r="B2005" s="32"/>
      <c r="C2005" s="33"/>
      <c r="D2005" s="32" t="s">
        <v>4391</v>
      </c>
      <c r="E2005" s="33" t="s">
        <v>116</v>
      </c>
      <c r="F2005" s="34">
        <v>1</v>
      </c>
      <c r="G2005" s="35">
        <v>0</v>
      </c>
      <c r="H2005" s="35">
        <v>0</v>
      </c>
      <c r="I2005" s="35">
        <f>Tabla1[[#This Row],[P.U. M.N.]]*Tabla1[[#This Row],[CANTIDADES DE REFERENCIA]]</f>
        <v>0</v>
      </c>
      <c r="J2005" s="35">
        <f>Tabla1[[#This Row],[P.U. USD]]*Tabla1[[#This Row],[CANTIDADES DE REFERENCIA]]</f>
        <v>0</v>
      </c>
      <c r="K2005" s="36"/>
      <c r="L2005" s="36"/>
      <c r="M2005" s="36"/>
      <c r="N2005" s="37"/>
      <c r="O2005" s="37"/>
      <c r="P2005" s="39"/>
      <c r="Q2005" s="37" t="s">
        <v>4392</v>
      </c>
      <c r="R2005" s="37"/>
      <c r="S2005" s="37" t="s">
        <v>887</v>
      </c>
      <c r="T2005" s="31"/>
    </row>
    <row r="2006" spans="1:20" ht="18" customHeight="1">
      <c r="A2006" s="31"/>
      <c r="B2006" s="32"/>
      <c r="C2006" s="33"/>
      <c r="D2006" s="32" t="s">
        <v>4393</v>
      </c>
      <c r="E2006" s="33" t="s">
        <v>116</v>
      </c>
      <c r="F2006" s="34">
        <v>1</v>
      </c>
      <c r="G2006" s="35">
        <v>0</v>
      </c>
      <c r="H2006" s="35">
        <v>0</v>
      </c>
      <c r="I2006" s="35">
        <f>Tabla1[[#This Row],[P.U. M.N.]]*Tabla1[[#This Row],[CANTIDADES DE REFERENCIA]]</f>
        <v>0</v>
      </c>
      <c r="J2006" s="35">
        <f>Tabla1[[#This Row],[P.U. USD]]*Tabla1[[#This Row],[CANTIDADES DE REFERENCIA]]</f>
        <v>0</v>
      </c>
      <c r="K2006" s="36"/>
      <c r="L2006" s="36"/>
      <c r="M2006" s="36"/>
      <c r="N2006" s="37"/>
      <c r="O2006" s="37"/>
      <c r="P2006" s="39"/>
      <c r="Q2006" s="37" t="s">
        <v>4394</v>
      </c>
      <c r="R2006" s="37"/>
      <c r="S2006" s="37" t="s">
        <v>887</v>
      </c>
      <c r="T2006" s="31"/>
    </row>
    <row r="2007" spans="1:20" ht="18" customHeight="1">
      <c r="A2007" s="31"/>
      <c r="B2007" s="32"/>
      <c r="C2007" s="33"/>
      <c r="D2007" s="32" t="s">
        <v>4395</v>
      </c>
      <c r="E2007" s="33" t="s">
        <v>116</v>
      </c>
      <c r="F2007" s="34">
        <v>1</v>
      </c>
      <c r="G2007" s="35">
        <v>0</v>
      </c>
      <c r="H2007" s="35">
        <v>0</v>
      </c>
      <c r="I2007" s="35">
        <f>Tabla1[[#This Row],[P.U. M.N.]]*Tabla1[[#This Row],[CANTIDADES DE REFERENCIA]]</f>
        <v>0</v>
      </c>
      <c r="J2007" s="35">
        <f>Tabla1[[#This Row],[P.U. USD]]*Tabla1[[#This Row],[CANTIDADES DE REFERENCIA]]</f>
        <v>0</v>
      </c>
      <c r="K2007" s="36"/>
      <c r="L2007" s="36"/>
      <c r="M2007" s="36"/>
      <c r="N2007" s="37"/>
      <c r="O2007" s="37"/>
      <c r="P2007" s="39"/>
      <c r="Q2007" s="37" t="s">
        <v>4396</v>
      </c>
      <c r="R2007" s="37"/>
      <c r="S2007" s="37" t="s">
        <v>887</v>
      </c>
      <c r="T2007" s="31"/>
    </row>
    <row r="2008" spans="1:20" ht="18" customHeight="1">
      <c r="A2008" s="31"/>
      <c r="B2008" s="32"/>
      <c r="C2008" s="33"/>
      <c r="D2008" s="32" t="s">
        <v>4397</v>
      </c>
      <c r="E2008" s="33" t="s">
        <v>116</v>
      </c>
      <c r="F2008" s="34">
        <v>1</v>
      </c>
      <c r="G2008" s="35">
        <v>0</v>
      </c>
      <c r="H2008" s="35">
        <v>0</v>
      </c>
      <c r="I2008" s="35">
        <f>Tabla1[[#This Row],[P.U. M.N.]]*Tabla1[[#This Row],[CANTIDADES DE REFERENCIA]]</f>
        <v>0</v>
      </c>
      <c r="J2008" s="35">
        <f>Tabla1[[#This Row],[P.U. USD]]*Tabla1[[#This Row],[CANTIDADES DE REFERENCIA]]</f>
        <v>0</v>
      </c>
      <c r="K2008" s="36"/>
      <c r="L2008" s="36"/>
      <c r="M2008" s="36"/>
      <c r="N2008" s="37"/>
      <c r="O2008" s="37"/>
      <c r="P2008" s="39"/>
      <c r="Q2008" s="37" t="s">
        <v>4398</v>
      </c>
      <c r="R2008" s="37"/>
      <c r="S2008" s="37" t="s">
        <v>887</v>
      </c>
      <c r="T2008" s="31"/>
    </row>
    <row r="2009" spans="1:20" ht="18" customHeight="1">
      <c r="A2009" s="31"/>
      <c r="B2009" s="32"/>
      <c r="C2009" s="33"/>
      <c r="D2009" s="32" t="s">
        <v>4399</v>
      </c>
      <c r="E2009" s="33" t="s">
        <v>116</v>
      </c>
      <c r="F2009" s="34">
        <v>1</v>
      </c>
      <c r="G2009" s="35">
        <v>0</v>
      </c>
      <c r="H2009" s="35">
        <v>0</v>
      </c>
      <c r="I2009" s="35">
        <f>Tabla1[[#This Row],[P.U. M.N.]]*Tabla1[[#This Row],[CANTIDADES DE REFERENCIA]]</f>
        <v>0</v>
      </c>
      <c r="J2009" s="35">
        <f>Tabla1[[#This Row],[P.U. USD]]*Tabla1[[#This Row],[CANTIDADES DE REFERENCIA]]</f>
        <v>0</v>
      </c>
      <c r="K2009" s="36"/>
      <c r="L2009" s="36"/>
      <c r="M2009" s="36"/>
      <c r="N2009" s="37"/>
      <c r="O2009" s="37"/>
      <c r="P2009" s="39"/>
      <c r="Q2009" s="37" t="s">
        <v>4400</v>
      </c>
      <c r="R2009" s="37"/>
      <c r="S2009" s="37" t="s">
        <v>887</v>
      </c>
      <c r="T2009" s="31"/>
    </row>
    <row r="2010" spans="1:20">
      <c r="A2010" s="31"/>
      <c r="B2010" s="32"/>
      <c r="C2010" s="33"/>
      <c r="D2010" s="32" t="s">
        <v>4401</v>
      </c>
      <c r="E2010" s="33" t="s">
        <v>116</v>
      </c>
      <c r="F2010" s="34">
        <v>1</v>
      </c>
      <c r="G2010" s="35">
        <v>0</v>
      </c>
      <c r="H2010" s="35">
        <v>0</v>
      </c>
      <c r="I2010" s="35">
        <f>Tabla1[[#This Row],[P.U. M.N.]]*Tabla1[[#This Row],[CANTIDADES DE REFERENCIA]]</f>
        <v>0</v>
      </c>
      <c r="J2010" s="35">
        <f>Tabla1[[#This Row],[P.U. USD]]*Tabla1[[#This Row],[CANTIDADES DE REFERENCIA]]</f>
        <v>0</v>
      </c>
      <c r="K2010" s="36"/>
      <c r="L2010" s="36"/>
      <c r="M2010" s="36"/>
      <c r="N2010" s="37" t="s">
        <v>1277</v>
      </c>
      <c r="O2010" s="37"/>
      <c r="P2010" s="39"/>
      <c r="Q2010" s="37" t="s">
        <v>4402</v>
      </c>
      <c r="R2010" s="37"/>
      <c r="S2010" s="37" t="s">
        <v>887</v>
      </c>
      <c r="T2010" s="31"/>
    </row>
    <row r="2011" spans="1:20">
      <c r="A2011" s="31"/>
      <c r="B2011" s="32"/>
      <c r="C2011" s="33"/>
      <c r="D2011" s="32" t="s">
        <v>4403</v>
      </c>
      <c r="E2011" s="33" t="s">
        <v>135</v>
      </c>
      <c r="F2011" s="34">
        <v>1</v>
      </c>
      <c r="G2011" s="35">
        <v>0</v>
      </c>
      <c r="H2011" s="35">
        <v>0</v>
      </c>
      <c r="I2011" s="35">
        <f>Tabla1[[#This Row],[P.U. M.N.]]*Tabla1[[#This Row],[CANTIDADES DE REFERENCIA]]</f>
        <v>0</v>
      </c>
      <c r="J2011" s="35">
        <f>Tabla1[[#This Row],[P.U. USD]]*Tabla1[[#This Row],[CANTIDADES DE REFERENCIA]]</f>
        <v>0</v>
      </c>
      <c r="K2011" s="36"/>
      <c r="L2011" s="36"/>
      <c r="M2011" s="36"/>
      <c r="N2011" s="37"/>
      <c r="O2011" s="37"/>
      <c r="P2011" s="39"/>
      <c r="Q2011" s="37" t="s">
        <v>4404</v>
      </c>
      <c r="R2011" s="37"/>
      <c r="S2011" s="37" t="s">
        <v>887</v>
      </c>
      <c r="T2011" s="31"/>
    </row>
    <row r="2012" spans="1:20">
      <c r="A2012" s="31"/>
      <c r="B2012" s="32"/>
      <c r="C2012" s="33"/>
      <c r="D2012" s="32" t="s">
        <v>4405</v>
      </c>
      <c r="E2012" s="33" t="s">
        <v>116</v>
      </c>
      <c r="F2012" s="34">
        <v>1</v>
      </c>
      <c r="G2012" s="35">
        <v>0</v>
      </c>
      <c r="H2012" s="35">
        <v>0</v>
      </c>
      <c r="I2012" s="35">
        <f>Tabla1[[#This Row],[P.U. M.N.]]*Tabla1[[#This Row],[CANTIDADES DE REFERENCIA]]</f>
        <v>0</v>
      </c>
      <c r="J2012" s="35">
        <f>Tabla1[[#This Row],[P.U. USD]]*Tabla1[[#This Row],[CANTIDADES DE REFERENCIA]]</f>
        <v>0</v>
      </c>
      <c r="K2012" s="36"/>
      <c r="L2012" s="36"/>
      <c r="M2012" s="36"/>
      <c r="N2012" s="37" t="s">
        <v>3584</v>
      </c>
      <c r="O2012" s="37"/>
      <c r="P2012" s="39"/>
      <c r="Q2012" s="37" t="s">
        <v>4406</v>
      </c>
      <c r="R2012" s="37"/>
      <c r="S2012" s="37" t="s">
        <v>887</v>
      </c>
      <c r="T2012" s="31"/>
    </row>
    <row r="2013" spans="1:20">
      <c r="A2013" s="31"/>
      <c r="B2013" s="32"/>
      <c r="C2013" s="33"/>
      <c r="D2013" s="32" t="s">
        <v>4407</v>
      </c>
      <c r="E2013" s="33" t="s">
        <v>42</v>
      </c>
      <c r="F2013" s="34">
        <v>1</v>
      </c>
      <c r="G2013" s="35">
        <v>0</v>
      </c>
      <c r="H2013" s="35">
        <v>0</v>
      </c>
      <c r="I2013" s="35">
        <f>Tabla1[[#This Row],[P.U. M.N.]]*Tabla1[[#This Row],[CANTIDADES DE REFERENCIA]]</f>
        <v>0</v>
      </c>
      <c r="J2013" s="35">
        <f>Tabla1[[#This Row],[P.U. USD]]*Tabla1[[#This Row],[CANTIDADES DE REFERENCIA]]</f>
        <v>0</v>
      </c>
      <c r="K2013" s="36"/>
      <c r="L2013" s="36"/>
      <c r="M2013" s="36"/>
      <c r="N2013" s="37" t="s">
        <v>874</v>
      </c>
      <c r="O2013" s="37" t="s">
        <v>875</v>
      </c>
      <c r="P2013" s="39"/>
      <c r="Q2013" s="37" t="s">
        <v>4408</v>
      </c>
      <c r="R2013" s="37"/>
      <c r="S2013" s="37" t="s">
        <v>877</v>
      </c>
      <c r="T2013" s="31"/>
    </row>
    <row r="2014" spans="1:20">
      <c r="A2014" s="31"/>
      <c r="B2014" s="32"/>
      <c r="C2014" s="33"/>
      <c r="D2014" s="32" t="s">
        <v>4409</v>
      </c>
      <c r="E2014" s="33" t="s">
        <v>42</v>
      </c>
      <c r="F2014" s="34">
        <v>1</v>
      </c>
      <c r="G2014" s="35">
        <v>0</v>
      </c>
      <c r="H2014" s="35">
        <v>0</v>
      </c>
      <c r="I2014" s="35">
        <f>Tabla1[[#This Row],[P.U. M.N.]]*Tabla1[[#This Row],[CANTIDADES DE REFERENCIA]]</f>
        <v>0</v>
      </c>
      <c r="J2014" s="35">
        <f>Tabla1[[#This Row],[P.U. USD]]*Tabla1[[#This Row],[CANTIDADES DE REFERENCIA]]</f>
        <v>0</v>
      </c>
      <c r="K2014" s="36"/>
      <c r="L2014" s="36"/>
      <c r="M2014" s="36"/>
      <c r="N2014" s="37" t="s">
        <v>874</v>
      </c>
      <c r="O2014" s="37" t="s">
        <v>875</v>
      </c>
      <c r="P2014" s="39"/>
      <c r="Q2014" s="37" t="s">
        <v>4410</v>
      </c>
      <c r="R2014" s="37"/>
      <c r="S2014" s="37" t="s">
        <v>877</v>
      </c>
      <c r="T2014" s="31"/>
    </row>
    <row r="2015" spans="1:20">
      <c r="A2015" s="31"/>
      <c r="B2015" s="32"/>
      <c r="C2015" s="33"/>
      <c r="D2015" s="32" t="s">
        <v>4411</v>
      </c>
      <c r="E2015" s="33" t="s">
        <v>42</v>
      </c>
      <c r="F2015" s="34">
        <v>1</v>
      </c>
      <c r="G2015" s="35">
        <v>0</v>
      </c>
      <c r="H2015" s="35">
        <v>0</v>
      </c>
      <c r="I2015" s="35">
        <f>Tabla1[[#This Row],[P.U. M.N.]]*Tabla1[[#This Row],[CANTIDADES DE REFERENCIA]]</f>
        <v>0</v>
      </c>
      <c r="J2015" s="35">
        <f>Tabla1[[#This Row],[P.U. USD]]*Tabla1[[#This Row],[CANTIDADES DE REFERENCIA]]</f>
        <v>0</v>
      </c>
      <c r="K2015" s="36"/>
      <c r="L2015" s="36"/>
      <c r="M2015" s="36"/>
      <c r="N2015" s="37" t="s">
        <v>392</v>
      </c>
      <c r="O2015" s="37" t="s">
        <v>393</v>
      </c>
      <c r="P2015" s="39"/>
      <c r="Q2015" s="37" t="s">
        <v>4412</v>
      </c>
      <c r="R2015" s="37"/>
      <c r="S2015" s="37" t="s">
        <v>395</v>
      </c>
      <c r="T2015" s="31"/>
    </row>
    <row r="2016" spans="1:20">
      <c r="A2016" s="31"/>
      <c r="B2016" s="32"/>
      <c r="C2016" s="33"/>
      <c r="D2016" s="32" t="s">
        <v>4413</v>
      </c>
      <c r="E2016" s="33" t="s">
        <v>135</v>
      </c>
      <c r="F2016" s="34">
        <v>1</v>
      </c>
      <c r="G2016" s="35">
        <v>0</v>
      </c>
      <c r="H2016" s="35">
        <v>0</v>
      </c>
      <c r="I2016" s="35">
        <f>Tabla1[[#This Row],[P.U. M.N.]]*Tabla1[[#This Row],[CANTIDADES DE REFERENCIA]]</f>
        <v>0</v>
      </c>
      <c r="J2016" s="35">
        <f>Tabla1[[#This Row],[P.U. USD]]*Tabla1[[#This Row],[CANTIDADES DE REFERENCIA]]</f>
        <v>0</v>
      </c>
      <c r="K2016" s="36"/>
      <c r="L2016" s="36"/>
      <c r="M2016" s="36"/>
      <c r="N2016" s="37" t="s">
        <v>3790</v>
      </c>
      <c r="O2016" s="37" t="s">
        <v>3791</v>
      </c>
      <c r="P2016" s="39"/>
      <c r="Q2016" s="37" t="s">
        <v>4414</v>
      </c>
      <c r="R2016" s="37"/>
      <c r="S2016" s="37" t="s">
        <v>3793</v>
      </c>
      <c r="T2016" s="31"/>
    </row>
    <row r="2017" spans="1:20">
      <c r="A2017" s="31"/>
      <c r="B2017" s="32"/>
      <c r="C2017" s="33"/>
      <c r="D2017" s="32" t="s">
        <v>4415</v>
      </c>
      <c r="E2017" s="33" t="s">
        <v>135</v>
      </c>
      <c r="F2017" s="34">
        <v>1</v>
      </c>
      <c r="G2017" s="35">
        <v>0</v>
      </c>
      <c r="H2017" s="35">
        <v>0</v>
      </c>
      <c r="I2017" s="35">
        <f>Tabla1[[#This Row],[P.U. M.N.]]*Tabla1[[#This Row],[CANTIDADES DE REFERENCIA]]</f>
        <v>0</v>
      </c>
      <c r="J2017" s="35">
        <f>Tabla1[[#This Row],[P.U. USD]]*Tabla1[[#This Row],[CANTIDADES DE REFERENCIA]]</f>
        <v>0</v>
      </c>
      <c r="K2017" s="36"/>
      <c r="L2017" s="36"/>
      <c r="M2017" s="36"/>
      <c r="N2017" s="37" t="s">
        <v>3790</v>
      </c>
      <c r="O2017" s="37" t="s">
        <v>3791</v>
      </c>
      <c r="P2017" s="39"/>
      <c r="Q2017" s="37" t="s">
        <v>4416</v>
      </c>
      <c r="R2017" s="37"/>
      <c r="S2017" s="37" t="s">
        <v>3793</v>
      </c>
      <c r="T2017" s="31"/>
    </row>
    <row r="2018" spans="1:20">
      <c r="A2018" s="31"/>
      <c r="B2018" s="32"/>
      <c r="C2018" s="33"/>
      <c r="D2018" s="32" t="s">
        <v>4417</v>
      </c>
      <c r="E2018" s="33" t="s">
        <v>135</v>
      </c>
      <c r="F2018" s="34">
        <v>1</v>
      </c>
      <c r="G2018" s="35">
        <v>0</v>
      </c>
      <c r="H2018" s="35">
        <v>0</v>
      </c>
      <c r="I2018" s="35">
        <f>Tabla1[[#This Row],[P.U. M.N.]]*Tabla1[[#This Row],[CANTIDADES DE REFERENCIA]]</f>
        <v>0</v>
      </c>
      <c r="J2018" s="35">
        <f>Tabla1[[#This Row],[P.U. USD]]*Tabla1[[#This Row],[CANTIDADES DE REFERENCIA]]</f>
        <v>0</v>
      </c>
      <c r="K2018" s="36"/>
      <c r="L2018" s="36"/>
      <c r="M2018" s="36"/>
      <c r="N2018" s="37" t="s">
        <v>3790</v>
      </c>
      <c r="O2018" s="37" t="s">
        <v>3791</v>
      </c>
      <c r="P2018" s="39"/>
      <c r="Q2018" s="37" t="s">
        <v>4418</v>
      </c>
      <c r="R2018" s="37"/>
      <c r="S2018" s="37" t="s">
        <v>3793</v>
      </c>
      <c r="T2018" s="31"/>
    </row>
    <row r="2019" spans="1:20">
      <c r="A2019" s="31"/>
      <c r="B2019" s="32"/>
      <c r="C2019" s="33"/>
      <c r="D2019" s="32" t="s">
        <v>4419</v>
      </c>
      <c r="E2019" s="33" t="s">
        <v>116</v>
      </c>
      <c r="F2019" s="34">
        <v>1</v>
      </c>
      <c r="G2019" s="35">
        <v>0</v>
      </c>
      <c r="H2019" s="35">
        <v>0</v>
      </c>
      <c r="I2019" s="35">
        <f>Tabla1[[#This Row],[P.U. M.N.]]*Tabla1[[#This Row],[CANTIDADES DE REFERENCIA]]</f>
        <v>0</v>
      </c>
      <c r="J2019" s="35">
        <f>Tabla1[[#This Row],[P.U. USD]]*Tabla1[[#This Row],[CANTIDADES DE REFERENCIA]]</f>
        <v>0</v>
      </c>
      <c r="K2019" s="36"/>
      <c r="L2019" s="36"/>
      <c r="M2019" s="36"/>
      <c r="N2019" s="37" t="s">
        <v>3790</v>
      </c>
      <c r="O2019" s="37" t="s">
        <v>3791</v>
      </c>
      <c r="P2019" s="39"/>
      <c r="Q2019" s="37" t="s">
        <v>4420</v>
      </c>
      <c r="R2019" s="37"/>
      <c r="S2019" s="37" t="s">
        <v>3793</v>
      </c>
      <c r="T2019" s="31"/>
    </row>
    <row r="2020" spans="1:20">
      <c r="A2020" s="31"/>
      <c r="B2020" s="32"/>
      <c r="C2020" s="33"/>
      <c r="D2020" s="32" t="s">
        <v>4421</v>
      </c>
      <c r="E2020" s="33" t="s">
        <v>116</v>
      </c>
      <c r="F2020" s="34">
        <v>1</v>
      </c>
      <c r="G2020" s="35">
        <v>0</v>
      </c>
      <c r="H2020" s="35">
        <v>0</v>
      </c>
      <c r="I2020" s="35">
        <f>Tabla1[[#This Row],[P.U. M.N.]]*Tabla1[[#This Row],[CANTIDADES DE REFERENCIA]]</f>
        <v>0</v>
      </c>
      <c r="J2020" s="35">
        <f>Tabla1[[#This Row],[P.U. USD]]*Tabla1[[#This Row],[CANTIDADES DE REFERENCIA]]</f>
        <v>0</v>
      </c>
      <c r="K2020" s="36"/>
      <c r="L2020" s="36"/>
      <c r="M2020" s="36"/>
      <c r="N2020" s="37" t="s">
        <v>3790</v>
      </c>
      <c r="O2020" s="37" t="s">
        <v>3791</v>
      </c>
      <c r="P2020" s="39"/>
      <c r="Q2020" s="37" t="s">
        <v>4422</v>
      </c>
      <c r="R2020" s="37"/>
      <c r="S2020" s="37" t="s">
        <v>3793</v>
      </c>
      <c r="T2020" s="31"/>
    </row>
    <row r="2021" spans="1:20">
      <c r="A2021" s="31"/>
      <c r="B2021" s="32"/>
      <c r="C2021" s="33"/>
      <c r="D2021" s="32" t="s">
        <v>4423</v>
      </c>
      <c r="E2021" s="33" t="s">
        <v>116</v>
      </c>
      <c r="F2021" s="34">
        <v>1</v>
      </c>
      <c r="G2021" s="35">
        <v>0</v>
      </c>
      <c r="H2021" s="35">
        <v>0</v>
      </c>
      <c r="I2021" s="35">
        <f>Tabla1[[#This Row],[P.U. M.N.]]*Tabla1[[#This Row],[CANTIDADES DE REFERENCIA]]</f>
        <v>0</v>
      </c>
      <c r="J2021" s="35">
        <f>Tabla1[[#This Row],[P.U. USD]]*Tabla1[[#This Row],[CANTIDADES DE REFERENCIA]]</f>
        <v>0</v>
      </c>
      <c r="K2021" s="36"/>
      <c r="L2021" s="36"/>
      <c r="M2021" s="36"/>
      <c r="N2021" s="37" t="s">
        <v>3790</v>
      </c>
      <c r="O2021" s="37" t="s">
        <v>3791</v>
      </c>
      <c r="P2021" s="39"/>
      <c r="Q2021" s="37" t="s">
        <v>4424</v>
      </c>
      <c r="R2021" s="37"/>
      <c r="S2021" s="37" t="s">
        <v>3793</v>
      </c>
      <c r="T2021" s="31"/>
    </row>
    <row r="2022" spans="1:20">
      <c r="A2022" s="31"/>
      <c r="B2022" s="32"/>
      <c r="C2022" s="33"/>
      <c r="D2022" s="32" t="s">
        <v>4425</v>
      </c>
      <c r="E2022" s="33" t="s">
        <v>116</v>
      </c>
      <c r="F2022" s="34">
        <v>1</v>
      </c>
      <c r="G2022" s="35">
        <v>0</v>
      </c>
      <c r="H2022" s="35">
        <v>0</v>
      </c>
      <c r="I2022" s="35">
        <f>Tabla1[[#This Row],[P.U. M.N.]]*Tabla1[[#This Row],[CANTIDADES DE REFERENCIA]]</f>
        <v>0</v>
      </c>
      <c r="J2022" s="35">
        <f>Tabla1[[#This Row],[P.U. USD]]*Tabla1[[#This Row],[CANTIDADES DE REFERENCIA]]</f>
        <v>0</v>
      </c>
      <c r="K2022" s="36"/>
      <c r="L2022" s="36"/>
      <c r="M2022" s="36"/>
      <c r="N2022" s="37" t="s">
        <v>3790</v>
      </c>
      <c r="O2022" s="37" t="s">
        <v>3791</v>
      </c>
      <c r="P2022" s="39"/>
      <c r="Q2022" s="37" t="s">
        <v>4426</v>
      </c>
      <c r="R2022" s="37"/>
      <c r="S2022" s="37" t="s">
        <v>3793</v>
      </c>
      <c r="T2022" s="31"/>
    </row>
    <row r="2023" spans="1:20">
      <c r="A2023" s="31"/>
      <c r="B2023" s="32"/>
      <c r="C2023" s="33"/>
      <c r="D2023" s="32" t="s">
        <v>4427</v>
      </c>
      <c r="E2023" s="33" t="s">
        <v>116</v>
      </c>
      <c r="F2023" s="34">
        <v>1</v>
      </c>
      <c r="G2023" s="35">
        <v>0</v>
      </c>
      <c r="H2023" s="35">
        <v>0</v>
      </c>
      <c r="I2023" s="35">
        <f>Tabla1[[#This Row],[P.U. M.N.]]*Tabla1[[#This Row],[CANTIDADES DE REFERENCIA]]</f>
        <v>0</v>
      </c>
      <c r="J2023" s="35">
        <f>Tabla1[[#This Row],[P.U. USD]]*Tabla1[[#This Row],[CANTIDADES DE REFERENCIA]]</f>
        <v>0</v>
      </c>
      <c r="K2023" s="36"/>
      <c r="L2023" s="36"/>
      <c r="M2023" s="36"/>
      <c r="N2023" s="37" t="s">
        <v>3790</v>
      </c>
      <c r="O2023" s="37" t="s">
        <v>3791</v>
      </c>
      <c r="P2023" s="39"/>
      <c r="Q2023" s="37" t="s">
        <v>4428</v>
      </c>
      <c r="R2023" s="37"/>
      <c r="S2023" s="37" t="s">
        <v>3793</v>
      </c>
      <c r="T2023" s="31"/>
    </row>
    <row r="2024" spans="1:20">
      <c r="A2024" s="31"/>
      <c r="B2024" s="32"/>
      <c r="C2024" s="33"/>
      <c r="D2024" s="32" t="s">
        <v>4429</v>
      </c>
      <c r="E2024" s="33" t="s">
        <v>116</v>
      </c>
      <c r="F2024" s="34">
        <v>1</v>
      </c>
      <c r="G2024" s="35">
        <v>0</v>
      </c>
      <c r="H2024" s="35">
        <v>0</v>
      </c>
      <c r="I2024" s="35">
        <f>Tabla1[[#This Row],[P.U. M.N.]]*Tabla1[[#This Row],[CANTIDADES DE REFERENCIA]]</f>
        <v>0</v>
      </c>
      <c r="J2024" s="35">
        <f>Tabla1[[#This Row],[P.U. USD]]*Tabla1[[#This Row],[CANTIDADES DE REFERENCIA]]</f>
        <v>0</v>
      </c>
      <c r="K2024" s="36"/>
      <c r="L2024" s="36"/>
      <c r="M2024" s="36"/>
      <c r="N2024" s="37" t="s">
        <v>3790</v>
      </c>
      <c r="O2024" s="37" t="s">
        <v>3791</v>
      </c>
      <c r="P2024" s="39"/>
      <c r="Q2024" s="37" t="s">
        <v>4430</v>
      </c>
      <c r="R2024" s="37"/>
      <c r="S2024" s="37" t="s">
        <v>3793</v>
      </c>
      <c r="T2024" s="31"/>
    </row>
    <row r="2025" spans="1:20">
      <c r="A2025" s="31"/>
      <c r="B2025" s="32"/>
      <c r="C2025" s="33"/>
      <c r="D2025" s="32" t="s">
        <v>4431</v>
      </c>
      <c r="E2025" s="33" t="s">
        <v>116</v>
      </c>
      <c r="F2025" s="34">
        <v>1</v>
      </c>
      <c r="G2025" s="35">
        <v>0</v>
      </c>
      <c r="H2025" s="35">
        <v>0</v>
      </c>
      <c r="I2025" s="35">
        <f>Tabla1[[#This Row],[P.U. M.N.]]*Tabla1[[#This Row],[CANTIDADES DE REFERENCIA]]</f>
        <v>0</v>
      </c>
      <c r="J2025" s="35">
        <f>Tabla1[[#This Row],[P.U. USD]]*Tabla1[[#This Row],[CANTIDADES DE REFERENCIA]]</f>
        <v>0</v>
      </c>
      <c r="K2025" s="36"/>
      <c r="L2025" s="36"/>
      <c r="M2025" s="36"/>
      <c r="N2025" s="37" t="s">
        <v>3790</v>
      </c>
      <c r="O2025" s="37" t="s">
        <v>3791</v>
      </c>
      <c r="P2025" s="39"/>
      <c r="Q2025" s="37" t="s">
        <v>4432</v>
      </c>
      <c r="R2025" s="37"/>
      <c r="S2025" s="37" t="s">
        <v>3793</v>
      </c>
      <c r="T2025" s="31"/>
    </row>
    <row r="2026" spans="1:20">
      <c r="A2026" s="31"/>
      <c r="B2026" s="32"/>
      <c r="C2026" s="33"/>
      <c r="D2026" s="32" t="s">
        <v>4433</v>
      </c>
      <c r="E2026" s="33" t="s">
        <v>116</v>
      </c>
      <c r="F2026" s="34">
        <v>1</v>
      </c>
      <c r="G2026" s="35">
        <v>0</v>
      </c>
      <c r="H2026" s="35">
        <v>0</v>
      </c>
      <c r="I2026" s="35">
        <f>Tabla1[[#This Row],[P.U. M.N.]]*Tabla1[[#This Row],[CANTIDADES DE REFERENCIA]]</f>
        <v>0</v>
      </c>
      <c r="J2026" s="35">
        <f>Tabla1[[#This Row],[P.U. USD]]*Tabla1[[#This Row],[CANTIDADES DE REFERENCIA]]</f>
        <v>0</v>
      </c>
      <c r="K2026" s="36"/>
      <c r="L2026" s="36"/>
      <c r="M2026" s="36"/>
      <c r="N2026" s="37" t="s">
        <v>3790</v>
      </c>
      <c r="O2026" s="37" t="s">
        <v>3791</v>
      </c>
      <c r="P2026" s="39"/>
      <c r="Q2026" s="37" t="s">
        <v>4434</v>
      </c>
      <c r="R2026" s="37"/>
      <c r="S2026" s="37" t="s">
        <v>3793</v>
      </c>
      <c r="T2026" s="31"/>
    </row>
    <row r="2027" spans="1:20">
      <c r="A2027" s="31"/>
      <c r="B2027" s="32"/>
      <c r="C2027" s="33"/>
      <c r="D2027" s="32" t="s">
        <v>4435</v>
      </c>
      <c r="E2027" s="33" t="s">
        <v>116</v>
      </c>
      <c r="F2027" s="34">
        <v>1</v>
      </c>
      <c r="G2027" s="35">
        <v>0</v>
      </c>
      <c r="H2027" s="35">
        <v>0</v>
      </c>
      <c r="I2027" s="35">
        <f>Tabla1[[#This Row],[P.U. M.N.]]*Tabla1[[#This Row],[CANTIDADES DE REFERENCIA]]</f>
        <v>0</v>
      </c>
      <c r="J2027" s="35">
        <f>Tabla1[[#This Row],[P.U. USD]]*Tabla1[[#This Row],[CANTIDADES DE REFERENCIA]]</f>
        <v>0</v>
      </c>
      <c r="K2027" s="36"/>
      <c r="L2027" s="36"/>
      <c r="M2027" s="36"/>
      <c r="N2027" s="37" t="s">
        <v>3790</v>
      </c>
      <c r="O2027" s="37" t="s">
        <v>3791</v>
      </c>
      <c r="P2027" s="39"/>
      <c r="Q2027" s="37" t="s">
        <v>4436</v>
      </c>
      <c r="R2027" s="37"/>
      <c r="S2027" s="37" t="s">
        <v>3793</v>
      </c>
      <c r="T2027" s="31"/>
    </row>
    <row r="2028" spans="1:20">
      <c r="A2028" s="31"/>
      <c r="B2028" s="32"/>
      <c r="C2028" s="33"/>
      <c r="D2028" s="32" t="s">
        <v>4437</v>
      </c>
      <c r="E2028" s="33" t="s">
        <v>116</v>
      </c>
      <c r="F2028" s="34">
        <v>1</v>
      </c>
      <c r="G2028" s="35">
        <v>0</v>
      </c>
      <c r="H2028" s="35">
        <v>0</v>
      </c>
      <c r="I2028" s="35">
        <f>Tabla1[[#This Row],[P.U. M.N.]]*Tabla1[[#This Row],[CANTIDADES DE REFERENCIA]]</f>
        <v>0</v>
      </c>
      <c r="J2028" s="35">
        <f>Tabla1[[#This Row],[P.U. USD]]*Tabla1[[#This Row],[CANTIDADES DE REFERENCIA]]</f>
        <v>0</v>
      </c>
      <c r="K2028" s="36"/>
      <c r="L2028" s="36"/>
      <c r="M2028" s="36"/>
      <c r="N2028" s="37" t="s">
        <v>3790</v>
      </c>
      <c r="O2028" s="37" t="s">
        <v>3791</v>
      </c>
      <c r="P2028" s="39"/>
      <c r="Q2028" s="37" t="s">
        <v>4438</v>
      </c>
      <c r="R2028" s="37"/>
      <c r="S2028" s="37" t="s">
        <v>3793</v>
      </c>
      <c r="T2028" s="31"/>
    </row>
    <row r="2029" spans="1:20">
      <c r="A2029" s="31"/>
      <c r="B2029" s="32"/>
      <c r="C2029" s="33"/>
      <c r="D2029" s="32" t="s">
        <v>4439</v>
      </c>
      <c r="E2029" s="33" t="s">
        <v>116</v>
      </c>
      <c r="F2029" s="34">
        <v>1</v>
      </c>
      <c r="G2029" s="35">
        <v>0</v>
      </c>
      <c r="H2029" s="35">
        <v>0</v>
      </c>
      <c r="I2029" s="35">
        <f>Tabla1[[#This Row],[P.U. M.N.]]*Tabla1[[#This Row],[CANTIDADES DE REFERENCIA]]</f>
        <v>0</v>
      </c>
      <c r="J2029" s="35">
        <f>Tabla1[[#This Row],[P.U. USD]]*Tabla1[[#This Row],[CANTIDADES DE REFERENCIA]]</f>
        <v>0</v>
      </c>
      <c r="K2029" s="36"/>
      <c r="L2029" s="36"/>
      <c r="M2029" s="36"/>
      <c r="N2029" s="37" t="s">
        <v>3790</v>
      </c>
      <c r="O2029" s="37" t="s">
        <v>3791</v>
      </c>
      <c r="P2029" s="39"/>
      <c r="Q2029" s="37" t="s">
        <v>4440</v>
      </c>
      <c r="R2029" s="37"/>
      <c r="S2029" s="37" t="s">
        <v>3793</v>
      </c>
      <c r="T2029" s="31"/>
    </row>
    <row r="2030" spans="1:20">
      <c r="A2030" s="31"/>
      <c r="B2030" s="32"/>
      <c r="C2030" s="33"/>
      <c r="D2030" s="32" t="s">
        <v>4441</v>
      </c>
      <c r="E2030" s="33" t="s">
        <v>116</v>
      </c>
      <c r="F2030" s="34">
        <v>1</v>
      </c>
      <c r="G2030" s="35">
        <v>0</v>
      </c>
      <c r="H2030" s="35">
        <v>0</v>
      </c>
      <c r="I2030" s="35">
        <f>Tabla1[[#This Row],[P.U. M.N.]]*Tabla1[[#This Row],[CANTIDADES DE REFERENCIA]]</f>
        <v>0</v>
      </c>
      <c r="J2030" s="35">
        <f>Tabla1[[#This Row],[P.U. USD]]*Tabla1[[#This Row],[CANTIDADES DE REFERENCIA]]</f>
        <v>0</v>
      </c>
      <c r="K2030" s="36"/>
      <c r="L2030" s="36"/>
      <c r="M2030" s="36"/>
      <c r="N2030" s="37" t="s">
        <v>3790</v>
      </c>
      <c r="O2030" s="37" t="s">
        <v>3791</v>
      </c>
      <c r="P2030" s="39"/>
      <c r="Q2030" s="37" t="s">
        <v>4442</v>
      </c>
      <c r="R2030" s="37"/>
      <c r="S2030" s="37" t="s">
        <v>3793</v>
      </c>
      <c r="T2030" s="31"/>
    </row>
    <row r="2031" spans="1:20">
      <c r="A2031" s="31"/>
      <c r="B2031" s="32"/>
      <c r="C2031" s="33"/>
      <c r="D2031" s="32" t="s">
        <v>4443</v>
      </c>
      <c r="E2031" s="33" t="s">
        <v>116</v>
      </c>
      <c r="F2031" s="34">
        <v>1</v>
      </c>
      <c r="G2031" s="35">
        <v>0</v>
      </c>
      <c r="H2031" s="35">
        <v>0</v>
      </c>
      <c r="I2031" s="35">
        <f>Tabla1[[#This Row],[P.U. M.N.]]*Tabla1[[#This Row],[CANTIDADES DE REFERENCIA]]</f>
        <v>0</v>
      </c>
      <c r="J2031" s="35">
        <f>Tabla1[[#This Row],[P.U. USD]]*Tabla1[[#This Row],[CANTIDADES DE REFERENCIA]]</f>
        <v>0</v>
      </c>
      <c r="K2031" s="36"/>
      <c r="L2031" s="36"/>
      <c r="M2031" s="36"/>
      <c r="N2031" s="37" t="s">
        <v>3790</v>
      </c>
      <c r="O2031" s="37" t="s">
        <v>3791</v>
      </c>
      <c r="P2031" s="39"/>
      <c r="Q2031" s="37" t="s">
        <v>4444</v>
      </c>
      <c r="R2031" s="37"/>
      <c r="S2031" s="37" t="s">
        <v>3793</v>
      </c>
      <c r="T2031" s="31"/>
    </row>
    <row r="2032" spans="1:20">
      <c r="A2032" s="31"/>
      <c r="B2032" s="32"/>
      <c r="C2032" s="33"/>
      <c r="D2032" s="32" t="s">
        <v>4445</v>
      </c>
      <c r="E2032" s="33" t="s">
        <v>116</v>
      </c>
      <c r="F2032" s="34">
        <v>1</v>
      </c>
      <c r="G2032" s="35">
        <v>0</v>
      </c>
      <c r="H2032" s="35">
        <v>0</v>
      </c>
      <c r="I2032" s="35">
        <f>Tabla1[[#This Row],[P.U. M.N.]]*Tabla1[[#This Row],[CANTIDADES DE REFERENCIA]]</f>
        <v>0</v>
      </c>
      <c r="J2032" s="35">
        <f>Tabla1[[#This Row],[P.U. USD]]*Tabla1[[#This Row],[CANTIDADES DE REFERENCIA]]</f>
        <v>0</v>
      </c>
      <c r="K2032" s="36"/>
      <c r="L2032" s="36"/>
      <c r="M2032" s="36"/>
      <c r="N2032" s="37" t="s">
        <v>3790</v>
      </c>
      <c r="O2032" s="37" t="s">
        <v>3791</v>
      </c>
      <c r="P2032" s="39"/>
      <c r="Q2032" s="37" t="s">
        <v>4446</v>
      </c>
      <c r="R2032" s="37"/>
      <c r="S2032" s="37" t="s">
        <v>3793</v>
      </c>
      <c r="T2032" s="31"/>
    </row>
    <row r="2033" spans="1:20">
      <c r="A2033" s="31"/>
      <c r="B2033" s="32"/>
      <c r="C2033" s="33"/>
      <c r="D2033" s="32" t="s">
        <v>4447</v>
      </c>
      <c r="E2033" s="33" t="s">
        <v>116</v>
      </c>
      <c r="F2033" s="34">
        <v>1</v>
      </c>
      <c r="G2033" s="35">
        <v>0</v>
      </c>
      <c r="H2033" s="35">
        <v>0</v>
      </c>
      <c r="I2033" s="35">
        <f>Tabla1[[#This Row],[P.U. M.N.]]*Tabla1[[#This Row],[CANTIDADES DE REFERENCIA]]</f>
        <v>0</v>
      </c>
      <c r="J2033" s="35">
        <f>Tabla1[[#This Row],[P.U. USD]]*Tabla1[[#This Row],[CANTIDADES DE REFERENCIA]]</f>
        <v>0</v>
      </c>
      <c r="K2033" s="36"/>
      <c r="L2033" s="36"/>
      <c r="M2033" s="36"/>
      <c r="N2033" s="37" t="s">
        <v>3790</v>
      </c>
      <c r="O2033" s="37" t="s">
        <v>3791</v>
      </c>
      <c r="P2033" s="39"/>
      <c r="Q2033" s="37" t="s">
        <v>4448</v>
      </c>
      <c r="R2033" s="37"/>
      <c r="S2033" s="37" t="s">
        <v>3793</v>
      </c>
      <c r="T2033" s="31"/>
    </row>
    <row r="2034" spans="1:20">
      <c r="A2034" s="31"/>
      <c r="B2034" s="32"/>
      <c r="C2034" s="33"/>
      <c r="D2034" s="32" t="s">
        <v>4449</v>
      </c>
      <c r="E2034" s="33" t="s">
        <v>116</v>
      </c>
      <c r="F2034" s="34">
        <v>1</v>
      </c>
      <c r="G2034" s="35">
        <v>0</v>
      </c>
      <c r="H2034" s="35">
        <v>0</v>
      </c>
      <c r="I2034" s="35">
        <f>Tabla1[[#This Row],[P.U. M.N.]]*Tabla1[[#This Row],[CANTIDADES DE REFERENCIA]]</f>
        <v>0</v>
      </c>
      <c r="J2034" s="35">
        <f>Tabla1[[#This Row],[P.U. USD]]*Tabla1[[#This Row],[CANTIDADES DE REFERENCIA]]</f>
        <v>0</v>
      </c>
      <c r="K2034" s="36"/>
      <c r="L2034" s="36"/>
      <c r="M2034" s="36"/>
      <c r="N2034" s="37" t="s">
        <v>3790</v>
      </c>
      <c r="O2034" s="37" t="s">
        <v>3791</v>
      </c>
      <c r="P2034" s="39"/>
      <c r="Q2034" s="37" t="s">
        <v>4450</v>
      </c>
      <c r="R2034" s="37"/>
      <c r="S2034" s="37" t="s">
        <v>3793</v>
      </c>
      <c r="T2034" s="31"/>
    </row>
    <row r="2035" spans="1:20">
      <c r="A2035" s="31"/>
      <c r="B2035" s="32"/>
      <c r="C2035" s="33"/>
      <c r="D2035" s="32" t="s">
        <v>4451</v>
      </c>
      <c r="E2035" s="33" t="s">
        <v>116</v>
      </c>
      <c r="F2035" s="34">
        <v>1</v>
      </c>
      <c r="G2035" s="35">
        <v>0</v>
      </c>
      <c r="H2035" s="35">
        <v>0</v>
      </c>
      <c r="I2035" s="35">
        <f>Tabla1[[#This Row],[P.U. M.N.]]*Tabla1[[#This Row],[CANTIDADES DE REFERENCIA]]</f>
        <v>0</v>
      </c>
      <c r="J2035" s="35">
        <f>Tabla1[[#This Row],[P.U. USD]]*Tabla1[[#This Row],[CANTIDADES DE REFERENCIA]]</f>
        <v>0</v>
      </c>
      <c r="K2035" s="36"/>
      <c r="L2035" s="36"/>
      <c r="M2035" s="36"/>
      <c r="N2035" s="37" t="s">
        <v>3790</v>
      </c>
      <c r="O2035" s="37" t="s">
        <v>3791</v>
      </c>
      <c r="P2035" s="39"/>
      <c r="Q2035" s="37" t="s">
        <v>4452</v>
      </c>
      <c r="R2035" s="37"/>
      <c r="S2035" s="37" t="s">
        <v>3793</v>
      </c>
      <c r="T2035" s="31"/>
    </row>
    <row r="2036" spans="1:20">
      <c r="A2036" s="31"/>
      <c r="B2036" s="32"/>
      <c r="C2036" s="33"/>
      <c r="D2036" s="32" t="s">
        <v>4453</v>
      </c>
      <c r="E2036" s="33" t="s">
        <v>116</v>
      </c>
      <c r="F2036" s="34">
        <v>1</v>
      </c>
      <c r="G2036" s="35">
        <v>0</v>
      </c>
      <c r="H2036" s="35">
        <v>0</v>
      </c>
      <c r="I2036" s="35">
        <f>Tabla1[[#This Row],[P.U. M.N.]]*Tabla1[[#This Row],[CANTIDADES DE REFERENCIA]]</f>
        <v>0</v>
      </c>
      <c r="J2036" s="35">
        <f>Tabla1[[#This Row],[P.U. USD]]*Tabla1[[#This Row],[CANTIDADES DE REFERENCIA]]</f>
        <v>0</v>
      </c>
      <c r="K2036" s="36"/>
      <c r="L2036" s="36"/>
      <c r="M2036" s="36"/>
      <c r="N2036" s="37" t="s">
        <v>3790</v>
      </c>
      <c r="O2036" s="37" t="s">
        <v>3791</v>
      </c>
      <c r="P2036" s="39"/>
      <c r="Q2036" s="37" t="s">
        <v>4454</v>
      </c>
      <c r="R2036" s="37"/>
      <c r="S2036" s="37" t="s">
        <v>3793</v>
      </c>
      <c r="T2036" s="31"/>
    </row>
    <row r="2037" spans="1:20">
      <c r="A2037" s="31"/>
      <c r="B2037" s="32"/>
      <c r="C2037" s="33"/>
      <c r="D2037" s="32" t="s">
        <v>4455</v>
      </c>
      <c r="E2037" s="33" t="s">
        <v>116</v>
      </c>
      <c r="F2037" s="34">
        <v>1</v>
      </c>
      <c r="G2037" s="35">
        <v>0</v>
      </c>
      <c r="H2037" s="35">
        <v>0</v>
      </c>
      <c r="I2037" s="35">
        <f>Tabla1[[#This Row],[P.U. M.N.]]*Tabla1[[#This Row],[CANTIDADES DE REFERENCIA]]</f>
        <v>0</v>
      </c>
      <c r="J2037" s="35">
        <f>Tabla1[[#This Row],[P.U. USD]]*Tabla1[[#This Row],[CANTIDADES DE REFERENCIA]]</f>
        <v>0</v>
      </c>
      <c r="K2037" s="36"/>
      <c r="L2037" s="36"/>
      <c r="M2037" s="36"/>
      <c r="N2037" s="37" t="s">
        <v>3790</v>
      </c>
      <c r="O2037" s="37" t="s">
        <v>3791</v>
      </c>
      <c r="P2037" s="39"/>
      <c r="Q2037" s="37" t="s">
        <v>4456</v>
      </c>
      <c r="R2037" s="37"/>
      <c r="S2037" s="37" t="s">
        <v>3793</v>
      </c>
      <c r="T2037" s="31"/>
    </row>
    <row r="2038" spans="1:20">
      <c r="A2038" s="31"/>
      <c r="B2038" s="32"/>
      <c r="C2038" s="33"/>
      <c r="D2038" s="32" t="s">
        <v>4457</v>
      </c>
      <c r="E2038" s="33" t="s">
        <v>116</v>
      </c>
      <c r="F2038" s="34">
        <v>1</v>
      </c>
      <c r="G2038" s="35">
        <v>0</v>
      </c>
      <c r="H2038" s="35">
        <v>0</v>
      </c>
      <c r="I2038" s="35">
        <f>Tabla1[[#This Row],[P.U. M.N.]]*Tabla1[[#This Row],[CANTIDADES DE REFERENCIA]]</f>
        <v>0</v>
      </c>
      <c r="J2038" s="35">
        <f>Tabla1[[#This Row],[P.U. USD]]*Tabla1[[#This Row],[CANTIDADES DE REFERENCIA]]</f>
        <v>0</v>
      </c>
      <c r="K2038" s="36"/>
      <c r="L2038" s="36"/>
      <c r="M2038" s="36"/>
      <c r="N2038" s="37" t="s">
        <v>3790</v>
      </c>
      <c r="O2038" s="37" t="s">
        <v>3791</v>
      </c>
      <c r="P2038" s="39"/>
      <c r="Q2038" s="37" t="s">
        <v>4458</v>
      </c>
      <c r="R2038" s="37"/>
      <c r="S2038" s="37" t="s">
        <v>3793</v>
      </c>
      <c r="T2038" s="31"/>
    </row>
    <row r="2039" spans="1:20">
      <c r="A2039" s="31"/>
      <c r="B2039" s="32"/>
      <c r="C2039" s="33"/>
      <c r="D2039" s="32" t="s">
        <v>4459</v>
      </c>
      <c r="E2039" s="33" t="s">
        <v>116</v>
      </c>
      <c r="F2039" s="34">
        <v>1</v>
      </c>
      <c r="G2039" s="35">
        <v>0</v>
      </c>
      <c r="H2039" s="35">
        <v>0</v>
      </c>
      <c r="I2039" s="35">
        <f>Tabla1[[#This Row],[P.U. M.N.]]*Tabla1[[#This Row],[CANTIDADES DE REFERENCIA]]</f>
        <v>0</v>
      </c>
      <c r="J2039" s="35">
        <f>Tabla1[[#This Row],[P.U. USD]]*Tabla1[[#This Row],[CANTIDADES DE REFERENCIA]]</f>
        <v>0</v>
      </c>
      <c r="K2039" s="36"/>
      <c r="L2039" s="36"/>
      <c r="M2039" s="36"/>
      <c r="N2039" s="37" t="s">
        <v>3790</v>
      </c>
      <c r="O2039" s="37" t="s">
        <v>3791</v>
      </c>
      <c r="P2039" s="39"/>
      <c r="Q2039" s="37" t="s">
        <v>4460</v>
      </c>
      <c r="R2039" s="37"/>
      <c r="S2039" s="37" t="s">
        <v>3793</v>
      </c>
      <c r="T2039" s="31"/>
    </row>
    <row r="2040" spans="1:20">
      <c r="A2040" s="31"/>
      <c r="B2040" s="32"/>
      <c r="C2040" s="33"/>
      <c r="D2040" s="32" t="s">
        <v>4461</v>
      </c>
      <c r="E2040" s="33" t="s">
        <v>116</v>
      </c>
      <c r="F2040" s="34">
        <v>1</v>
      </c>
      <c r="G2040" s="35">
        <v>0</v>
      </c>
      <c r="H2040" s="35">
        <v>0</v>
      </c>
      <c r="I2040" s="35">
        <f>Tabla1[[#This Row],[P.U. M.N.]]*Tabla1[[#This Row],[CANTIDADES DE REFERENCIA]]</f>
        <v>0</v>
      </c>
      <c r="J2040" s="35">
        <f>Tabla1[[#This Row],[P.U. USD]]*Tabla1[[#This Row],[CANTIDADES DE REFERENCIA]]</f>
        <v>0</v>
      </c>
      <c r="K2040" s="36"/>
      <c r="L2040" s="36"/>
      <c r="M2040" s="36"/>
      <c r="N2040" s="37" t="s">
        <v>3790</v>
      </c>
      <c r="O2040" s="37" t="s">
        <v>3791</v>
      </c>
      <c r="P2040" s="39"/>
      <c r="Q2040" s="37" t="s">
        <v>4462</v>
      </c>
      <c r="R2040" s="37"/>
      <c r="S2040" s="37" t="s">
        <v>3793</v>
      </c>
      <c r="T2040" s="31"/>
    </row>
    <row r="2041" spans="1:20">
      <c r="A2041" s="31"/>
      <c r="B2041" s="32"/>
      <c r="C2041" s="33"/>
      <c r="D2041" s="32" t="s">
        <v>4463</v>
      </c>
      <c r="E2041" s="33" t="s">
        <v>116</v>
      </c>
      <c r="F2041" s="34">
        <v>1</v>
      </c>
      <c r="G2041" s="35">
        <v>0</v>
      </c>
      <c r="H2041" s="35">
        <v>0</v>
      </c>
      <c r="I2041" s="35">
        <f>Tabla1[[#This Row],[P.U. M.N.]]*Tabla1[[#This Row],[CANTIDADES DE REFERENCIA]]</f>
        <v>0</v>
      </c>
      <c r="J2041" s="35">
        <f>Tabla1[[#This Row],[P.U. USD]]*Tabla1[[#This Row],[CANTIDADES DE REFERENCIA]]</f>
        <v>0</v>
      </c>
      <c r="K2041" s="36"/>
      <c r="L2041" s="36"/>
      <c r="M2041" s="36"/>
      <c r="N2041" s="37" t="s">
        <v>3790</v>
      </c>
      <c r="O2041" s="37" t="s">
        <v>3791</v>
      </c>
      <c r="P2041" s="39"/>
      <c r="Q2041" s="37" t="s">
        <v>4464</v>
      </c>
      <c r="R2041" s="37"/>
      <c r="S2041" s="37" t="s">
        <v>3793</v>
      </c>
      <c r="T2041" s="31"/>
    </row>
    <row r="2042" spans="1:20">
      <c r="A2042" s="31"/>
      <c r="B2042" s="32"/>
      <c r="C2042" s="33"/>
      <c r="D2042" s="32" t="s">
        <v>4465</v>
      </c>
      <c r="E2042" s="33" t="s">
        <v>116</v>
      </c>
      <c r="F2042" s="34">
        <v>1</v>
      </c>
      <c r="G2042" s="35">
        <v>0</v>
      </c>
      <c r="H2042" s="35">
        <v>0</v>
      </c>
      <c r="I2042" s="35">
        <f>Tabla1[[#This Row],[P.U. M.N.]]*Tabla1[[#This Row],[CANTIDADES DE REFERENCIA]]</f>
        <v>0</v>
      </c>
      <c r="J2042" s="35">
        <f>Tabla1[[#This Row],[P.U. USD]]*Tabla1[[#This Row],[CANTIDADES DE REFERENCIA]]</f>
        <v>0</v>
      </c>
      <c r="K2042" s="36"/>
      <c r="L2042" s="36"/>
      <c r="M2042" s="36"/>
      <c r="N2042" s="37" t="s">
        <v>3790</v>
      </c>
      <c r="O2042" s="37" t="s">
        <v>3791</v>
      </c>
      <c r="P2042" s="39"/>
      <c r="Q2042" s="37" t="s">
        <v>4466</v>
      </c>
      <c r="R2042" s="37"/>
      <c r="S2042" s="37" t="s">
        <v>3793</v>
      </c>
      <c r="T2042" s="31"/>
    </row>
    <row r="2043" spans="1:20">
      <c r="A2043" s="31"/>
      <c r="B2043" s="32"/>
      <c r="C2043" s="33"/>
      <c r="D2043" s="32" t="s">
        <v>4467</v>
      </c>
      <c r="E2043" s="33" t="s">
        <v>116</v>
      </c>
      <c r="F2043" s="34">
        <v>1</v>
      </c>
      <c r="G2043" s="35">
        <v>0</v>
      </c>
      <c r="H2043" s="35">
        <v>0</v>
      </c>
      <c r="I2043" s="35">
        <f>Tabla1[[#This Row],[P.U. M.N.]]*Tabla1[[#This Row],[CANTIDADES DE REFERENCIA]]</f>
        <v>0</v>
      </c>
      <c r="J2043" s="35">
        <f>Tabla1[[#This Row],[P.U. USD]]*Tabla1[[#This Row],[CANTIDADES DE REFERENCIA]]</f>
        <v>0</v>
      </c>
      <c r="K2043" s="36"/>
      <c r="L2043" s="36"/>
      <c r="M2043" s="36"/>
      <c r="N2043" s="37" t="s">
        <v>3790</v>
      </c>
      <c r="O2043" s="37" t="s">
        <v>3791</v>
      </c>
      <c r="P2043" s="39"/>
      <c r="Q2043" s="37" t="s">
        <v>4468</v>
      </c>
      <c r="R2043" s="37"/>
      <c r="S2043" s="37" t="s">
        <v>3793</v>
      </c>
      <c r="T2043" s="31"/>
    </row>
    <row r="2044" spans="1:20">
      <c r="A2044" s="31"/>
      <c r="B2044" s="32"/>
      <c r="C2044" s="33"/>
      <c r="D2044" s="32" t="s">
        <v>4469</v>
      </c>
      <c r="E2044" s="33" t="s">
        <v>116</v>
      </c>
      <c r="F2044" s="34">
        <v>1</v>
      </c>
      <c r="G2044" s="35">
        <v>0</v>
      </c>
      <c r="H2044" s="35">
        <v>0</v>
      </c>
      <c r="I2044" s="35">
        <f>Tabla1[[#This Row],[P.U. M.N.]]*Tabla1[[#This Row],[CANTIDADES DE REFERENCIA]]</f>
        <v>0</v>
      </c>
      <c r="J2044" s="35">
        <f>Tabla1[[#This Row],[P.U. USD]]*Tabla1[[#This Row],[CANTIDADES DE REFERENCIA]]</f>
        <v>0</v>
      </c>
      <c r="K2044" s="36"/>
      <c r="L2044" s="36"/>
      <c r="M2044" s="36"/>
      <c r="N2044" s="37" t="s">
        <v>3790</v>
      </c>
      <c r="O2044" s="37" t="s">
        <v>3791</v>
      </c>
      <c r="P2044" s="39"/>
      <c r="Q2044" s="37" t="s">
        <v>4470</v>
      </c>
      <c r="R2044" s="37"/>
      <c r="S2044" s="37" t="s">
        <v>3793</v>
      </c>
      <c r="T2044" s="31"/>
    </row>
    <row r="2045" spans="1:20">
      <c r="A2045" s="31"/>
      <c r="B2045" s="32"/>
      <c r="C2045" s="33"/>
      <c r="D2045" s="32" t="s">
        <v>4471</v>
      </c>
      <c r="E2045" s="33" t="s">
        <v>116</v>
      </c>
      <c r="F2045" s="34">
        <v>1</v>
      </c>
      <c r="G2045" s="35">
        <v>0</v>
      </c>
      <c r="H2045" s="35">
        <v>0</v>
      </c>
      <c r="I2045" s="35">
        <f>Tabla1[[#This Row],[P.U. M.N.]]*Tabla1[[#This Row],[CANTIDADES DE REFERENCIA]]</f>
        <v>0</v>
      </c>
      <c r="J2045" s="35">
        <f>Tabla1[[#This Row],[P.U. USD]]*Tabla1[[#This Row],[CANTIDADES DE REFERENCIA]]</f>
        <v>0</v>
      </c>
      <c r="K2045" s="36"/>
      <c r="L2045" s="36"/>
      <c r="M2045" s="36"/>
      <c r="N2045" s="37" t="s">
        <v>3790</v>
      </c>
      <c r="O2045" s="37" t="s">
        <v>3791</v>
      </c>
      <c r="P2045" s="39"/>
      <c r="Q2045" s="37" t="s">
        <v>4472</v>
      </c>
      <c r="R2045" s="37"/>
      <c r="S2045" s="37" t="s">
        <v>3793</v>
      </c>
      <c r="T2045" s="31"/>
    </row>
    <row r="2046" spans="1:20">
      <c r="A2046" s="31"/>
      <c r="B2046" s="32"/>
      <c r="C2046" s="33"/>
      <c r="D2046" s="32" t="s">
        <v>4473</v>
      </c>
      <c r="E2046" s="33" t="s">
        <v>116</v>
      </c>
      <c r="F2046" s="34">
        <v>1</v>
      </c>
      <c r="G2046" s="35">
        <v>0</v>
      </c>
      <c r="H2046" s="35">
        <v>0</v>
      </c>
      <c r="I2046" s="35">
        <f>Tabla1[[#This Row],[P.U. M.N.]]*Tabla1[[#This Row],[CANTIDADES DE REFERENCIA]]</f>
        <v>0</v>
      </c>
      <c r="J2046" s="35">
        <f>Tabla1[[#This Row],[P.U. USD]]*Tabla1[[#This Row],[CANTIDADES DE REFERENCIA]]</f>
        <v>0</v>
      </c>
      <c r="K2046" s="36"/>
      <c r="L2046" s="36"/>
      <c r="M2046" s="36"/>
      <c r="N2046" s="37" t="s">
        <v>3790</v>
      </c>
      <c r="O2046" s="37" t="s">
        <v>3791</v>
      </c>
      <c r="P2046" s="39"/>
      <c r="Q2046" s="37" t="s">
        <v>4474</v>
      </c>
      <c r="R2046" s="37"/>
      <c r="S2046" s="37" t="s">
        <v>3793</v>
      </c>
      <c r="T2046" s="31"/>
    </row>
    <row r="2047" spans="1:20">
      <c r="A2047" s="31"/>
      <c r="B2047" s="32"/>
      <c r="C2047" s="33"/>
      <c r="D2047" s="32" t="s">
        <v>4475</v>
      </c>
      <c r="E2047" s="33" t="s">
        <v>116</v>
      </c>
      <c r="F2047" s="34">
        <v>1</v>
      </c>
      <c r="G2047" s="35">
        <v>0</v>
      </c>
      <c r="H2047" s="35">
        <v>0</v>
      </c>
      <c r="I2047" s="35">
        <f>Tabla1[[#This Row],[P.U. M.N.]]*Tabla1[[#This Row],[CANTIDADES DE REFERENCIA]]</f>
        <v>0</v>
      </c>
      <c r="J2047" s="35">
        <f>Tabla1[[#This Row],[P.U. USD]]*Tabla1[[#This Row],[CANTIDADES DE REFERENCIA]]</f>
        <v>0</v>
      </c>
      <c r="K2047" s="36"/>
      <c r="L2047" s="36"/>
      <c r="M2047" s="36"/>
      <c r="N2047" s="37" t="s">
        <v>3790</v>
      </c>
      <c r="O2047" s="37" t="s">
        <v>3791</v>
      </c>
      <c r="P2047" s="39"/>
      <c r="Q2047" s="37" t="s">
        <v>4476</v>
      </c>
      <c r="R2047" s="37"/>
      <c r="S2047" s="37" t="s">
        <v>3793</v>
      </c>
      <c r="T2047" s="31"/>
    </row>
    <row r="2048" spans="1:20">
      <c r="A2048" s="31"/>
      <c r="B2048" s="32"/>
      <c r="C2048" s="33"/>
      <c r="D2048" s="32" t="s">
        <v>4477</v>
      </c>
      <c r="E2048" s="33" t="s">
        <v>116</v>
      </c>
      <c r="F2048" s="34">
        <v>1</v>
      </c>
      <c r="G2048" s="35">
        <v>0</v>
      </c>
      <c r="H2048" s="35">
        <v>0</v>
      </c>
      <c r="I2048" s="35">
        <f>Tabla1[[#This Row],[P.U. M.N.]]*Tabla1[[#This Row],[CANTIDADES DE REFERENCIA]]</f>
        <v>0</v>
      </c>
      <c r="J2048" s="35">
        <f>Tabla1[[#This Row],[P.U. USD]]*Tabla1[[#This Row],[CANTIDADES DE REFERENCIA]]</f>
        <v>0</v>
      </c>
      <c r="K2048" s="36"/>
      <c r="L2048" s="36"/>
      <c r="M2048" s="36"/>
      <c r="N2048" s="37" t="s">
        <v>3790</v>
      </c>
      <c r="O2048" s="37" t="s">
        <v>3791</v>
      </c>
      <c r="P2048" s="39"/>
      <c r="Q2048" s="37" t="s">
        <v>4478</v>
      </c>
      <c r="R2048" s="37"/>
      <c r="S2048" s="37" t="s">
        <v>3793</v>
      </c>
      <c r="T2048" s="31"/>
    </row>
    <row r="2049" spans="1:20">
      <c r="A2049" s="31"/>
      <c r="B2049" s="32"/>
      <c r="C2049" s="33"/>
      <c r="D2049" s="32" t="s">
        <v>4479</v>
      </c>
      <c r="E2049" s="33" t="s">
        <v>116</v>
      </c>
      <c r="F2049" s="34">
        <v>1</v>
      </c>
      <c r="G2049" s="35">
        <v>0</v>
      </c>
      <c r="H2049" s="35">
        <v>0</v>
      </c>
      <c r="I2049" s="35">
        <f>Tabla1[[#This Row],[P.U. M.N.]]*Tabla1[[#This Row],[CANTIDADES DE REFERENCIA]]</f>
        <v>0</v>
      </c>
      <c r="J2049" s="35">
        <f>Tabla1[[#This Row],[P.U. USD]]*Tabla1[[#This Row],[CANTIDADES DE REFERENCIA]]</f>
        <v>0</v>
      </c>
      <c r="K2049" s="36"/>
      <c r="L2049" s="36"/>
      <c r="M2049" s="36"/>
      <c r="N2049" s="37" t="s">
        <v>3790</v>
      </c>
      <c r="O2049" s="37" t="s">
        <v>3791</v>
      </c>
      <c r="P2049" s="39"/>
      <c r="Q2049" s="37" t="s">
        <v>4480</v>
      </c>
      <c r="R2049" s="37"/>
      <c r="S2049" s="37" t="s">
        <v>3793</v>
      </c>
      <c r="T2049" s="31"/>
    </row>
    <row r="2050" spans="1:20">
      <c r="A2050" s="31"/>
      <c r="B2050" s="32"/>
      <c r="C2050" s="33"/>
      <c r="D2050" s="32" t="s">
        <v>4481</v>
      </c>
      <c r="E2050" s="33" t="s">
        <v>116</v>
      </c>
      <c r="F2050" s="34">
        <v>1</v>
      </c>
      <c r="G2050" s="35">
        <v>0</v>
      </c>
      <c r="H2050" s="35">
        <v>0</v>
      </c>
      <c r="I2050" s="35">
        <f>Tabla1[[#This Row],[P.U. M.N.]]*Tabla1[[#This Row],[CANTIDADES DE REFERENCIA]]</f>
        <v>0</v>
      </c>
      <c r="J2050" s="35">
        <f>Tabla1[[#This Row],[P.U. USD]]*Tabla1[[#This Row],[CANTIDADES DE REFERENCIA]]</f>
        <v>0</v>
      </c>
      <c r="K2050" s="36"/>
      <c r="L2050" s="36"/>
      <c r="M2050" s="36"/>
      <c r="N2050" s="37" t="s">
        <v>3790</v>
      </c>
      <c r="O2050" s="37" t="s">
        <v>3791</v>
      </c>
      <c r="P2050" s="39"/>
      <c r="Q2050" s="37" t="s">
        <v>4482</v>
      </c>
      <c r="R2050" s="37"/>
      <c r="S2050" s="37" t="s">
        <v>3793</v>
      </c>
      <c r="T2050" s="31"/>
    </row>
    <row r="2051" spans="1:20">
      <c r="A2051" s="31"/>
      <c r="B2051" s="32"/>
      <c r="C2051" s="33"/>
      <c r="D2051" s="32" t="s">
        <v>4483</v>
      </c>
      <c r="E2051" s="33" t="s">
        <v>116</v>
      </c>
      <c r="F2051" s="34">
        <v>1</v>
      </c>
      <c r="G2051" s="35">
        <v>0</v>
      </c>
      <c r="H2051" s="35">
        <v>0</v>
      </c>
      <c r="I2051" s="35">
        <f>Tabla1[[#This Row],[P.U. M.N.]]*Tabla1[[#This Row],[CANTIDADES DE REFERENCIA]]</f>
        <v>0</v>
      </c>
      <c r="J2051" s="35">
        <f>Tabla1[[#This Row],[P.U. USD]]*Tabla1[[#This Row],[CANTIDADES DE REFERENCIA]]</f>
        <v>0</v>
      </c>
      <c r="K2051" s="36"/>
      <c r="L2051" s="36"/>
      <c r="M2051" s="36"/>
      <c r="N2051" s="37" t="s">
        <v>3790</v>
      </c>
      <c r="O2051" s="37" t="s">
        <v>3791</v>
      </c>
      <c r="P2051" s="39"/>
      <c r="Q2051" s="37" t="s">
        <v>4484</v>
      </c>
      <c r="R2051" s="37"/>
      <c r="S2051" s="37" t="s">
        <v>3793</v>
      </c>
      <c r="T2051" s="31"/>
    </row>
    <row r="2052" spans="1:20">
      <c r="A2052" s="31"/>
      <c r="B2052" s="32"/>
      <c r="C2052" s="33"/>
      <c r="D2052" s="32" t="s">
        <v>4485</v>
      </c>
      <c r="E2052" s="33" t="s">
        <v>116</v>
      </c>
      <c r="F2052" s="34">
        <v>1</v>
      </c>
      <c r="G2052" s="35">
        <v>0</v>
      </c>
      <c r="H2052" s="35">
        <v>0</v>
      </c>
      <c r="I2052" s="35">
        <f>Tabla1[[#This Row],[P.U. M.N.]]*Tabla1[[#This Row],[CANTIDADES DE REFERENCIA]]</f>
        <v>0</v>
      </c>
      <c r="J2052" s="35">
        <f>Tabla1[[#This Row],[P.U. USD]]*Tabla1[[#This Row],[CANTIDADES DE REFERENCIA]]</f>
        <v>0</v>
      </c>
      <c r="K2052" s="36"/>
      <c r="L2052" s="36"/>
      <c r="M2052" s="36"/>
      <c r="N2052" s="37" t="s">
        <v>3790</v>
      </c>
      <c r="O2052" s="37" t="s">
        <v>3791</v>
      </c>
      <c r="P2052" s="39"/>
      <c r="Q2052" s="37" t="s">
        <v>4486</v>
      </c>
      <c r="R2052" s="37"/>
      <c r="S2052" s="37" t="s">
        <v>3793</v>
      </c>
      <c r="T2052" s="31"/>
    </row>
    <row r="2053" spans="1:20">
      <c r="A2053" s="31"/>
      <c r="B2053" s="32"/>
      <c r="C2053" s="33"/>
      <c r="D2053" s="32" t="s">
        <v>4487</v>
      </c>
      <c r="E2053" s="33" t="s">
        <v>116</v>
      </c>
      <c r="F2053" s="34">
        <v>1</v>
      </c>
      <c r="G2053" s="35">
        <v>0</v>
      </c>
      <c r="H2053" s="35">
        <v>0</v>
      </c>
      <c r="I2053" s="35">
        <f>Tabla1[[#This Row],[P.U. M.N.]]*Tabla1[[#This Row],[CANTIDADES DE REFERENCIA]]</f>
        <v>0</v>
      </c>
      <c r="J2053" s="35">
        <f>Tabla1[[#This Row],[P.U. USD]]*Tabla1[[#This Row],[CANTIDADES DE REFERENCIA]]</f>
        <v>0</v>
      </c>
      <c r="K2053" s="36"/>
      <c r="L2053" s="36"/>
      <c r="M2053" s="36"/>
      <c r="N2053" s="37" t="s">
        <v>3790</v>
      </c>
      <c r="O2053" s="37" t="s">
        <v>3791</v>
      </c>
      <c r="P2053" s="39"/>
      <c r="Q2053" s="37" t="s">
        <v>4488</v>
      </c>
      <c r="R2053" s="37"/>
      <c r="S2053" s="37" t="s">
        <v>3793</v>
      </c>
      <c r="T2053" s="31"/>
    </row>
    <row r="2054" spans="1:20">
      <c r="A2054" s="31"/>
      <c r="B2054" s="32"/>
      <c r="C2054" s="33"/>
      <c r="D2054" s="32" t="s">
        <v>4489</v>
      </c>
      <c r="E2054" s="33" t="s">
        <v>116</v>
      </c>
      <c r="F2054" s="34">
        <v>1</v>
      </c>
      <c r="G2054" s="35">
        <v>0</v>
      </c>
      <c r="H2054" s="35">
        <v>0</v>
      </c>
      <c r="I2054" s="35">
        <f>Tabla1[[#This Row],[P.U. M.N.]]*Tabla1[[#This Row],[CANTIDADES DE REFERENCIA]]</f>
        <v>0</v>
      </c>
      <c r="J2054" s="35">
        <f>Tabla1[[#This Row],[P.U. USD]]*Tabla1[[#This Row],[CANTIDADES DE REFERENCIA]]</f>
        <v>0</v>
      </c>
      <c r="K2054" s="36"/>
      <c r="L2054" s="36"/>
      <c r="M2054" s="36"/>
      <c r="N2054" s="37" t="s">
        <v>3790</v>
      </c>
      <c r="O2054" s="37" t="s">
        <v>3791</v>
      </c>
      <c r="P2054" s="39"/>
      <c r="Q2054" s="37" t="s">
        <v>4490</v>
      </c>
      <c r="R2054" s="37"/>
      <c r="S2054" s="37" t="s">
        <v>3793</v>
      </c>
      <c r="T2054" s="31"/>
    </row>
    <row r="2055" spans="1:20">
      <c r="A2055" s="31"/>
      <c r="B2055" s="32"/>
      <c r="C2055" s="33"/>
      <c r="D2055" s="32" t="s">
        <v>4491</v>
      </c>
      <c r="E2055" s="33" t="s">
        <v>116</v>
      </c>
      <c r="F2055" s="34">
        <v>1</v>
      </c>
      <c r="G2055" s="35">
        <v>0</v>
      </c>
      <c r="H2055" s="35">
        <v>0</v>
      </c>
      <c r="I2055" s="35">
        <f>Tabla1[[#This Row],[P.U. M.N.]]*Tabla1[[#This Row],[CANTIDADES DE REFERENCIA]]</f>
        <v>0</v>
      </c>
      <c r="J2055" s="35">
        <f>Tabla1[[#This Row],[P.U. USD]]*Tabla1[[#This Row],[CANTIDADES DE REFERENCIA]]</f>
        <v>0</v>
      </c>
      <c r="K2055" s="36"/>
      <c r="L2055" s="36"/>
      <c r="M2055" s="36"/>
      <c r="N2055" s="37" t="s">
        <v>3790</v>
      </c>
      <c r="O2055" s="37" t="s">
        <v>3791</v>
      </c>
      <c r="P2055" s="39"/>
      <c r="Q2055" s="37" t="s">
        <v>4492</v>
      </c>
      <c r="R2055" s="37"/>
      <c r="S2055" s="37" t="s">
        <v>3793</v>
      </c>
      <c r="T2055" s="31"/>
    </row>
    <row r="2056" spans="1:20">
      <c r="A2056" s="31"/>
      <c r="B2056" s="32"/>
      <c r="C2056" s="33"/>
      <c r="D2056" s="32" t="s">
        <v>4493</v>
      </c>
      <c r="E2056" s="33" t="s">
        <v>116</v>
      </c>
      <c r="F2056" s="34">
        <v>1</v>
      </c>
      <c r="G2056" s="35">
        <v>0</v>
      </c>
      <c r="H2056" s="35">
        <v>0</v>
      </c>
      <c r="I2056" s="35">
        <f>Tabla1[[#This Row],[P.U. M.N.]]*Tabla1[[#This Row],[CANTIDADES DE REFERENCIA]]</f>
        <v>0</v>
      </c>
      <c r="J2056" s="35">
        <f>Tabla1[[#This Row],[P.U. USD]]*Tabla1[[#This Row],[CANTIDADES DE REFERENCIA]]</f>
        <v>0</v>
      </c>
      <c r="K2056" s="36"/>
      <c r="L2056" s="36"/>
      <c r="M2056" s="36"/>
      <c r="N2056" s="37" t="s">
        <v>3790</v>
      </c>
      <c r="O2056" s="37" t="s">
        <v>3791</v>
      </c>
      <c r="P2056" s="39"/>
      <c r="Q2056" s="37" t="s">
        <v>4494</v>
      </c>
      <c r="R2056" s="37"/>
      <c r="S2056" s="37" t="s">
        <v>3793</v>
      </c>
      <c r="T2056" s="31"/>
    </row>
    <row r="2057" spans="1:20">
      <c r="A2057" s="31"/>
      <c r="B2057" s="32"/>
      <c r="C2057" s="33"/>
      <c r="D2057" s="32" t="s">
        <v>4495</v>
      </c>
      <c r="E2057" s="33" t="s">
        <v>61</v>
      </c>
      <c r="F2057" s="34">
        <v>1</v>
      </c>
      <c r="G2057" s="35">
        <v>0</v>
      </c>
      <c r="H2057" s="35">
        <v>0</v>
      </c>
      <c r="I2057" s="35">
        <f>Tabla1[[#This Row],[P.U. M.N.]]*Tabla1[[#This Row],[CANTIDADES DE REFERENCIA]]</f>
        <v>0</v>
      </c>
      <c r="J2057" s="35">
        <f>Tabla1[[#This Row],[P.U. USD]]*Tabla1[[#This Row],[CANTIDADES DE REFERENCIA]]</f>
        <v>0</v>
      </c>
      <c r="K2057" s="36"/>
      <c r="L2057" s="36"/>
      <c r="M2057" s="36"/>
      <c r="N2057" s="37" t="s">
        <v>3790</v>
      </c>
      <c r="O2057" s="37" t="s">
        <v>3791</v>
      </c>
      <c r="P2057" s="39"/>
      <c r="Q2057" s="37" t="s">
        <v>4496</v>
      </c>
      <c r="R2057" s="37"/>
      <c r="S2057" s="37" t="s">
        <v>3793</v>
      </c>
      <c r="T2057" s="31"/>
    </row>
    <row r="2058" spans="1:20">
      <c r="A2058" s="31"/>
      <c r="B2058" s="32"/>
      <c r="C2058" s="33"/>
      <c r="D2058" s="32" t="s">
        <v>4497</v>
      </c>
      <c r="E2058" s="33" t="s">
        <v>116</v>
      </c>
      <c r="F2058" s="34">
        <v>1</v>
      </c>
      <c r="G2058" s="35">
        <v>0</v>
      </c>
      <c r="H2058" s="35">
        <v>0</v>
      </c>
      <c r="I2058" s="35">
        <f>Tabla1[[#This Row],[P.U. M.N.]]*Tabla1[[#This Row],[CANTIDADES DE REFERENCIA]]</f>
        <v>0</v>
      </c>
      <c r="J2058" s="35">
        <f>Tabla1[[#This Row],[P.U. USD]]*Tabla1[[#This Row],[CANTIDADES DE REFERENCIA]]</f>
        <v>0</v>
      </c>
      <c r="K2058" s="36"/>
      <c r="L2058" s="36"/>
      <c r="M2058" s="36"/>
      <c r="N2058" s="37" t="s">
        <v>3790</v>
      </c>
      <c r="O2058" s="37" t="s">
        <v>3791</v>
      </c>
      <c r="P2058" s="39"/>
      <c r="Q2058" s="37" t="s">
        <v>4498</v>
      </c>
      <c r="R2058" s="37"/>
      <c r="S2058" s="37" t="s">
        <v>3793</v>
      </c>
      <c r="T2058" s="31"/>
    </row>
    <row r="2059" spans="1:20">
      <c r="A2059" s="31"/>
      <c r="B2059" s="32"/>
      <c r="C2059" s="33"/>
      <c r="D2059" s="32" t="s">
        <v>4499</v>
      </c>
      <c r="E2059" s="33" t="s">
        <v>116</v>
      </c>
      <c r="F2059" s="34">
        <v>1</v>
      </c>
      <c r="G2059" s="35">
        <v>0</v>
      </c>
      <c r="H2059" s="35">
        <v>0</v>
      </c>
      <c r="I2059" s="35">
        <f>Tabla1[[#This Row],[P.U. M.N.]]*Tabla1[[#This Row],[CANTIDADES DE REFERENCIA]]</f>
        <v>0</v>
      </c>
      <c r="J2059" s="35">
        <f>Tabla1[[#This Row],[P.U. USD]]*Tabla1[[#This Row],[CANTIDADES DE REFERENCIA]]</f>
        <v>0</v>
      </c>
      <c r="K2059" s="36"/>
      <c r="L2059" s="36"/>
      <c r="M2059" s="36"/>
      <c r="N2059" s="37" t="s">
        <v>3790</v>
      </c>
      <c r="O2059" s="37" t="s">
        <v>3791</v>
      </c>
      <c r="P2059" s="39"/>
      <c r="Q2059" s="37" t="s">
        <v>4500</v>
      </c>
      <c r="R2059" s="37"/>
      <c r="S2059" s="37" t="s">
        <v>3793</v>
      </c>
      <c r="T2059" s="31"/>
    </row>
    <row r="2060" spans="1:20">
      <c r="A2060" s="31"/>
      <c r="B2060" s="32"/>
      <c r="C2060" s="33"/>
      <c r="D2060" s="32" t="s">
        <v>4501</v>
      </c>
      <c r="E2060" s="33" t="s">
        <v>116</v>
      </c>
      <c r="F2060" s="34">
        <v>1</v>
      </c>
      <c r="G2060" s="35">
        <v>0</v>
      </c>
      <c r="H2060" s="35">
        <v>0</v>
      </c>
      <c r="I2060" s="35">
        <f>Tabla1[[#This Row],[P.U. M.N.]]*Tabla1[[#This Row],[CANTIDADES DE REFERENCIA]]</f>
        <v>0</v>
      </c>
      <c r="J2060" s="35">
        <f>Tabla1[[#This Row],[P.U. USD]]*Tabla1[[#This Row],[CANTIDADES DE REFERENCIA]]</f>
        <v>0</v>
      </c>
      <c r="K2060" s="36"/>
      <c r="L2060" s="36"/>
      <c r="M2060" s="36"/>
      <c r="N2060" s="37" t="s">
        <v>3790</v>
      </c>
      <c r="O2060" s="37" t="s">
        <v>3791</v>
      </c>
      <c r="P2060" s="39"/>
      <c r="Q2060" s="37" t="s">
        <v>4502</v>
      </c>
      <c r="R2060" s="37"/>
      <c r="S2060" s="37" t="s">
        <v>3793</v>
      </c>
      <c r="T2060" s="31"/>
    </row>
    <row r="2061" spans="1:20">
      <c r="A2061" s="31"/>
      <c r="B2061" s="32"/>
      <c r="C2061" s="33"/>
      <c r="D2061" s="32" t="s">
        <v>4503</v>
      </c>
      <c r="E2061" s="33" t="s">
        <v>116</v>
      </c>
      <c r="F2061" s="34">
        <v>1</v>
      </c>
      <c r="G2061" s="35">
        <v>0</v>
      </c>
      <c r="H2061" s="35">
        <v>0</v>
      </c>
      <c r="I2061" s="35">
        <f>Tabla1[[#This Row],[P.U. M.N.]]*Tabla1[[#This Row],[CANTIDADES DE REFERENCIA]]</f>
        <v>0</v>
      </c>
      <c r="J2061" s="35">
        <f>Tabla1[[#This Row],[P.U. USD]]*Tabla1[[#This Row],[CANTIDADES DE REFERENCIA]]</f>
        <v>0</v>
      </c>
      <c r="K2061" s="36"/>
      <c r="L2061" s="36"/>
      <c r="M2061" s="36"/>
      <c r="N2061" s="37" t="s">
        <v>3790</v>
      </c>
      <c r="O2061" s="37" t="s">
        <v>3791</v>
      </c>
      <c r="P2061" s="39"/>
      <c r="Q2061" s="37" t="s">
        <v>4504</v>
      </c>
      <c r="R2061" s="37"/>
      <c r="S2061" s="37" t="s">
        <v>3793</v>
      </c>
      <c r="T2061" s="31"/>
    </row>
    <row r="2062" spans="1:20">
      <c r="A2062" s="31"/>
      <c r="B2062" s="32"/>
      <c r="C2062" s="33"/>
      <c r="D2062" s="32" t="s">
        <v>4505</v>
      </c>
      <c r="E2062" s="33" t="s">
        <v>116</v>
      </c>
      <c r="F2062" s="34">
        <v>1</v>
      </c>
      <c r="G2062" s="35">
        <v>0</v>
      </c>
      <c r="H2062" s="35">
        <v>0</v>
      </c>
      <c r="I2062" s="35">
        <f>Tabla1[[#This Row],[P.U. M.N.]]*Tabla1[[#This Row],[CANTIDADES DE REFERENCIA]]</f>
        <v>0</v>
      </c>
      <c r="J2062" s="35">
        <f>Tabla1[[#This Row],[P.U. USD]]*Tabla1[[#This Row],[CANTIDADES DE REFERENCIA]]</f>
        <v>0</v>
      </c>
      <c r="K2062" s="36"/>
      <c r="L2062" s="36"/>
      <c r="M2062" s="36"/>
      <c r="N2062" s="37" t="s">
        <v>3790</v>
      </c>
      <c r="O2062" s="37" t="s">
        <v>3791</v>
      </c>
      <c r="P2062" s="39"/>
      <c r="Q2062" s="37" t="s">
        <v>4506</v>
      </c>
      <c r="R2062" s="37"/>
      <c r="S2062" s="37" t="s">
        <v>3793</v>
      </c>
      <c r="T2062" s="31"/>
    </row>
    <row r="2063" spans="1:20">
      <c r="A2063" s="31"/>
      <c r="B2063" s="32"/>
      <c r="C2063" s="33"/>
      <c r="D2063" s="32" t="s">
        <v>4507</v>
      </c>
      <c r="E2063" s="33" t="s">
        <v>116</v>
      </c>
      <c r="F2063" s="34">
        <v>1</v>
      </c>
      <c r="G2063" s="35">
        <v>0</v>
      </c>
      <c r="H2063" s="35">
        <v>0</v>
      </c>
      <c r="I2063" s="35">
        <f>Tabla1[[#This Row],[P.U. M.N.]]*Tabla1[[#This Row],[CANTIDADES DE REFERENCIA]]</f>
        <v>0</v>
      </c>
      <c r="J2063" s="35">
        <f>Tabla1[[#This Row],[P.U. USD]]*Tabla1[[#This Row],[CANTIDADES DE REFERENCIA]]</f>
        <v>0</v>
      </c>
      <c r="K2063" s="36"/>
      <c r="L2063" s="36"/>
      <c r="M2063" s="36"/>
      <c r="N2063" s="37" t="s">
        <v>3790</v>
      </c>
      <c r="O2063" s="37" t="s">
        <v>3791</v>
      </c>
      <c r="P2063" s="39"/>
      <c r="Q2063" s="37" t="s">
        <v>4508</v>
      </c>
      <c r="R2063" s="37"/>
      <c r="S2063" s="37" t="s">
        <v>3793</v>
      </c>
      <c r="T2063" s="31"/>
    </row>
    <row r="2064" spans="1:20">
      <c r="A2064" s="31"/>
      <c r="B2064" s="32"/>
      <c r="C2064" s="33"/>
      <c r="D2064" s="32" t="s">
        <v>4509</v>
      </c>
      <c r="E2064" s="33" t="s">
        <v>116</v>
      </c>
      <c r="F2064" s="34">
        <v>1</v>
      </c>
      <c r="G2064" s="35">
        <v>0</v>
      </c>
      <c r="H2064" s="35">
        <v>0</v>
      </c>
      <c r="I2064" s="35">
        <f>Tabla1[[#This Row],[P.U. M.N.]]*Tabla1[[#This Row],[CANTIDADES DE REFERENCIA]]</f>
        <v>0</v>
      </c>
      <c r="J2064" s="35">
        <f>Tabla1[[#This Row],[P.U. USD]]*Tabla1[[#This Row],[CANTIDADES DE REFERENCIA]]</f>
        <v>0</v>
      </c>
      <c r="K2064" s="36"/>
      <c r="L2064" s="36"/>
      <c r="M2064" s="36"/>
      <c r="N2064" s="37" t="s">
        <v>3790</v>
      </c>
      <c r="O2064" s="37" t="s">
        <v>3791</v>
      </c>
      <c r="P2064" s="39"/>
      <c r="Q2064" s="37" t="s">
        <v>4510</v>
      </c>
      <c r="R2064" s="37"/>
      <c r="S2064" s="37" t="s">
        <v>3793</v>
      </c>
      <c r="T2064" s="31"/>
    </row>
    <row r="2065" spans="1:20">
      <c r="A2065" s="31"/>
      <c r="B2065" s="32"/>
      <c r="C2065" s="33"/>
      <c r="D2065" s="32" t="s">
        <v>4511</v>
      </c>
      <c r="E2065" s="33" t="s">
        <v>116</v>
      </c>
      <c r="F2065" s="34">
        <v>1</v>
      </c>
      <c r="G2065" s="35">
        <v>0</v>
      </c>
      <c r="H2065" s="35">
        <v>0</v>
      </c>
      <c r="I2065" s="35">
        <f>Tabla1[[#This Row],[P.U. M.N.]]*Tabla1[[#This Row],[CANTIDADES DE REFERENCIA]]</f>
        <v>0</v>
      </c>
      <c r="J2065" s="35">
        <f>Tabla1[[#This Row],[P.U. USD]]*Tabla1[[#This Row],[CANTIDADES DE REFERENCIA]]</f>
        <v>0</v>
      </c>
      <c r="K2065" s="36"/>
      <c r="L2065" s="36"/>
      <c r="M2065" s="36"/>
      <c r="N2065" s="37" t="s">
        <v>3790</v>
      </c>
      <c r="O2065" s="37" t="s">
        <v>3791</v>
      </c>
      <c r="P2065" s="39"/>
      <c r="Q2065" s="37" t="s">
        <v>4512</v>
      </c>
      <c r="R2065" s="37"/>
      <c r="S2065" s="37" t="s">
        <v>3793</v>
      </c>
      <c r="T2065" s="31"/>
    </row>
    <row r="2066" spans="1:20">
      <c r="A2066" s="31"/>
      <c r="B2066" s="32"/>
      <c r="C2066" s="33"/>
      <c r="D2066" s="32" t="s">
        <v>4513</v>
      </c>
      <c r="E2066" s="33" t="s">
        <v>116</v>
      </c>
      <c r="F2066" s="34">
        <v>1</v>
      </c>
      <c r="G2066" s="35">
        <v>0</v>
      </c>
      <c r="H2066" s="35">
        <v>0</v>
      </c>
      <c r="I2066" s="35">
        <f>Tabla1[[#This Row],[P.U. M.N.]]*Tabla1[[#This Row],[CANTIDADES DE REFERENCIA]]</f>
        <v>0</v>
      </c>
      <c r="J2066" s="35">
        <f>Tabla1[[#This Row],[P.U. USD]]*Tabla1[[#This Row],[CANTIDADES DE REFERENCIA]]</f>
        <v>0</v>
      </c>
      <c r="K2066" s="36"/>
      <c r="L2066" s="36"/>
      <c r="M2066" s="36"/>
      <c r="N2066" s="37" t="s">
        <v>3790</v>
      </c>
      <c r="O2066" s="37" t="s">
        <v>3791</v>
      </c>
      <c r="P2066" s="39"/>
      <c r="Q2066" s="37" t="s">
        <v>4514</v>
      </c>
      <c r="R2066" s="37"/>
      <c r="S2066" s="37" t="s">
        <v>3793</v>
      </c>
      <c r="T2066" s="31"/>
    </row>
    <row r="2067" spans="1:20">
      <c r="A2067" s="31"/>
      <c r="B2067" s="32"/>
      <c r="C2067" s="33"/>
      <c r="D2067" s="32" t="s">
        <v>4515</v>
      </c>
      <c r="E2067" s="33" t="s">
        <v>116</v>
      </c>
      <c r="F2067" s="34">
        <v>1</v>
      </c>
      <c r="G2067" s="35">
        <v>0</v>
      </c>
      <c r="H2067" s="35">
        <v>0</v>
      </c>
      <c r="I2067" s="35">
        <f>Tabla1[[#This Row],[P.U. M.N.]]*Tabla1[[#This Row],[CANTIDADES DE REFERENCIA]]</f>
        <v>0</v>
      </c>
      <c r="J2067" s="35">
        <f>Tabla1[[#This Row],[P.U. USD]]*Tabla1[[#This Row],[CANTIDADES DE REFERENCIA]]</f>
        <v>0</v>
      </c>
      <c r="K2067" s="36"/>
      <c r="L2067" s="36"/>
      <c r="M2067" s="36"/>
      <c r="N2067" s="37" t="s">
        <v>3790</v>
      </c>
      <c r="O2067" s="37" t="s">
        <v>3791</v>
      </c>
      <c r="P2067" s="39"/>
      <c r="Q2067" s="37" t="s">
        <v>4516</v>
      </c>
      <c r="R2067" s="37"/>
      <c r="S2067" s="37" t="s">
        <v>3793</v>
      </c>
      <c r="T2067" s="31"/>
    </row>
    <row r="2068" spans="1:20">
      <c r="A2068" s="31"/>
      <c r="B2068" s="32"/>
      <c r="C2068" s="33"/>
      <c r="D2068" s="32" t="s">
        <v>4517</v>
      </c>
      <c r="E2068" s="33" t="s">
        <v>116</v>
      </c>
      <c r="F2068" s="34">
        <v>1</v>
      </c>
      <c r="G2068" s="35">
        <v>0</v>
      </c>
      <c r="H2068" s="35">
        <v>0</v>
      </c>
      <c r="I2068" s="35">
        <f>Tabla1[[#This Row],[P.U. M.N.]]*Tabla1[[#This Row],[CANTIDADES DE REFERENCIA]]</f>
        <v>0</v>
      </c>
      <c r="J2068" s="35">
        <f>Tabla1[[#This Row],[P.U. USD]]*Tabla1[[#This Row],[CANTIDADES DE REFERENCIA]]</f>
        <v>0</v>
      </c>
      <c r="K2068" s="36"/>
      <c r="L2068" s="36"/>
      <c r="M2068" s="36"/>
      <c r="N2068" s="37" t="s">
        <v>3790</v>
      </c>
      <c r="O2068" s="37" t="s">
        <v>3791</v>
      </c>
      <c r="P2068" s="39"/>
      <c r="Q2068" s="37" t="s">
        <v>4518</v>
      </c>
      <c r="R2068" s="37" t="s">
        <v>58</v>
      </c>
      <c r="S2068" s="37" t="s">
        <v>3793</v>
      </c>
      <c r="T2068" s="31"/>
    </row>
    <row r="2069" spans="1:20">
      <c r="A2069" s="31"/>
      <c r="B2069" s="32"/>
      <c r="C2069" s="33"/>
      <c r="D2069" s="32" t="s">
        <v>4519</v>
      </c>
      <c r="E2069" s="33" t="s">
        <v>116</v>
      </c>
      <c r="F2069" s="34">
        <v>1</v>
      </c>
      <c r="G2069" s="35">
        <v>0</v>
      </c>
      <c r="H2069" s="35">
        <v>0</v>
      </c>
      <c r="I2069" s="35">
        <f>Tabla1[[#This Row],[P.U. M.N.]]*Tabla1[[#This Row],[CANTIDADES DE REFERENCIA]]</f>
        <v>0</v>
      </c>
      <c r="J2069" s="35">
        <f>Tabla1[[#This Row],[P.U. USD]]*Tabla1[[#This Row],[CANTIDADES DE REFERENCIA]]</f>
        <v>0</v>
      </c>
      <c r="K2069" s="36"/>
      <c r="L2069" s="36"/>
      <c r="M2069" s="36"/>
      <c r="N2069" s="37" t="s">
        <v>3790</v>
      </c>
      <c r="O2069" s="37" t="s">
        <v>3791</v>
      </c>
      <c r="P2069" s="39"/>
      <c r="Q2069" s="37" t="s">
        <v>4520</v>
      </c>
      <c r="R2069" s="37"/>
      <c r="S2069" s="37" t="s">
        <v>3793</v>
      </c>
      <c r="T2069" s="31"/>
    </row>
    <row r="2070" spans="1:20">
      <c r="A2070" s="31"/>
      <c r="B2070" s="32"/>
      <c r="C2070" s="33"/>
      <c r="D2070" s="32" t="s">
        <v>4521</v>
      </c>
      <c r="E2070" s="33" t="s">
        <v>116</v>
      </c>
      <c r="F2070" s="34">
        <v>1</v>
      </c>
      <c r="G2070" s="35">
        <v>0</v>
      </c>
      <c r="H2070" s="35">
        <v>0</v>
      </c>
      <c r="I2070" s="35">
        <f>Tabla1[[#This Row],[P.U. M.N.]]*Tabla1[[#This Row],[CANTIDADES DE REFERENCIA]]</f>
        <v>0</v>
      </c>
      <c r="J2070" s="35">
        <f>Tabla1[[#This Row],[P.U. USD]]*Tabla1[[#This Row],[CANTIDADES DE REFERENCIA]]</f>
        <v>0</v>
      </c>
      <c r="K2070" s="36"/>
      <c r="L2070" s="36"/>
      <c r="M2070" s="36"/>
      <c r="N2070" s="37" t="s">
        <v>3790</v>
      </c>
      <c r="O2070" s="37" t="s">
        <v>3791</v>
      </c>
      <c r="P2070" s="39"/>
      <c r="Q2070" s="37" t="s">
        <v>4522</v>
      </c>
      <c r="R2070" s="37"/>
      <c r="S2070" s="37" t="s">
        <v>3793</v>
      </c>
      <c r="T2070" s="31"/>
    </row>
    <row r="2071" spans="1:20">
      <c r="A2071" s="31"/>
      <c r="B2071" s="32"/>
      <c r="C2071" s="33"/>
      <c r="D2071" s="32" t="s">
        <v>4523</v>
      </c>
      <c r="E2071" s="33" t="s">
        <v>116</v>
      </c>
      <c r="F2071" s="34">
        <v>1</v>
      </c>
      <c r="G2071" s="35">
        <v>0</v>
      </c>
      <c r="H2071" s="35">
        <v>0</v>
      </c>
      <c r="I2071" s="35">
        <f>Tabla1[[#This Row],[P.U. M.N.]]*Tabla1[[#This Row],[CANTIDADES DE REFERENCIA]]</f>
        <v>0</v>
      </c>
      <c r="J2071" s="35">
        <f>Tabla1[[#This Row],[P.U. USD]]*Tabla1[[#This Row],[CANTIDADES DE REFERENCIA]]</f>
        <v>0</v>
      </c>
      <c r="K2071" s="36"/>
      <c r="L2071" s="36"/>
      <c r="M2071" s="36"/>
      <c r="N2071" s="37" t="s">
        <v>3790</v>
      </c>
      <c r="O2071" s="37" t="s">
        <v>3791</v>
      </c>
      <c r="P2071" s="39"/>
      <c r="Q2071" s="37" t="s">
        <v>4524</v>
      </c>
      <c r="R2071" s="37"/>
      <c r="S2071" s="37" t="s">
        <v>3793</v>
      </c>
      <c r="T2071" s="31"/>
    </row>
    <row r="2072" spans="1:20">
      <c r="A2072" s="31"/>
      <c r="B2072" s="32"/>
      <c r="C2072" s="33"/>
      <c r="D2072" s="32" t="s">
        <v>4525</v>
      </c>
      <c r="E2072" s="33" t="s">
        <v>116</v>
      </c>
      <c r="F2072" s="34">
        <v>1</v>
      </c>
      <c r="G2072" s="35">
        <v>0</v>
      </c>
      <c r="H2072" s="35">
        <v>0</v>
      </c>
      <c r="I2072" s="35">
        <f>Tabla1[[#This Row],[P.U. M.N.]]*Tabla1[[#This Row],[CANTIDADES DE REFERENCIA]]</f>
        <v>0</v>
      </c>
      <c r="J2072" s="35">
        <f>Tabla1[[#This Row],[P.U. USD]]*Tabla1[[#This Row],[CANTIDADES DE REFERENCIA]]</f>
        <v>0</v>
      </c>
      <c r="K2072" s="36"/>
      <c r="L2072" s="36"/>
      <c r="M2072" s="36"/>
      <c r="N2072" s="37" t="s">
        <v>3790</v>
      </c>
      <c r="O2072" s="37" t="s">
        <v>3791</v>
      </c>
      <c r="P2072" s="39"/>
      <c r="Q2072" s="37" t="s">
        <v>4526</v>
      </c>
      <c r="R2072" s="37"/>
      <c r="S2072" s="37" t="s">
        <v>3793</v>
      </c>
      <c r="T2072" s="31"/>
    </row>
    <row r="2073" spans="1:20">
      <c r="A2073" s="31"/>
      <c r="B2073" s="32"/>
      <c r="C2073" s="33"/>
      <c r="D2073" s="32" t="s">
        <v>4527</v>
      </c>
      <c r="E2073" s="33" t="s">
        <v>116</v>
      </c>
      <c r="F2073" s="34">
        <v>1</v>
      </c>
      <c r="G2073" s="35">
        <v>0</v>
      </c>
      <c r="H2073" s="35">
        <v>0</v>
      </c>
      <c r="I2073" s="35">
        <f>Tabla1[[#This Row],[P.U. M.N.]]*Tabla1[[#This Row],[CANTIDADES DE REFERENCIA]]</f>
        <v>0</v>
      </c>
      <c r="J2073" s="35">
        <f>Tabla1[[#This Row],[P.U. USD]]*Tabla1[[#This Row],[CANTIDADES DE REFERENCIA]]</f>
        <v>0</v>
      </c>
      <c r="K2073" s="36"/>
      <c r="L2073" s="36"/>
      <c r="M2073" s="36"/>
      <c r="N2073" s="37" t="s">
        <v>3790</v>
      </c>
      <c r="O2073" s="37" t="s">
        <v>3791</v>
      </c>
      <c r="P2073" s="39"/>
      <c r="Q2073" s="37" t="s">
        <v>4528</v>
      </c>
      <c r="R2073" s="37"/>
      <c r="S2073" s="37" t="s">
        <v>3793</v>
      </c>
      <c r="T2073" s="31"/>
    </row>
    <row r="2074" spans="1:20">
      <c r="A2074" s="31"/>
      <c r="B2074" s="32"/>
      <c r="C2074" s="33"/>
      <c r="D2074" s="32" t="s">
        <v>4529</v>
      </c>
      <c r="E2074" s="33" t="s">
        <v>116</v>
      </c>
      <c r="F2074" s="34">
        <v>1</v>
      </c>
      <c r="G2074" s="35">
        <v>0</v>
      </c>
      <c r="H2074" s="35">
        <v>0</v>
      </c>
      <c r="I2074" s="35">
        <f>Tabla1[[#This Row],[P.U. M.N.]]*Tabla1[[#This Row],[CANTIDADES DE REFERENCIA]]</f>
        <v>0</v>
      </c>
      <c r="J2074" s="35">
        <f>Tabla1[[#This Row],[P.U. USD]]*Tabla1[[#This Row],[CANTIDADES DE REFERENCIA]]</f>
        <v>0</v>
      </c>
      <c r="K2074" s="36"/>
      <c r="L2074" s="36"/>
      <c r="M2074" s="36"/>
      <c r="N2074" s="37" t="s">
        <v>3790</v>
      </c>
      <c r="O2074" s="37" t="s">
        <v>3791</v>
      </c>
      <c r="P2074" s="39"/>
      <c r="Q2074" s="37" t="s">
        <v>4530</v>
      </c>
      <c r="R2074" s="37"/>
      <c r="S2074" s="37" t="s">
        <v>3793</v>
      </c>
      <c r="T2074" s="31"/>
    </row>
    <row r="2075" spans="1:20">
      <c r="A2075" s="31"/>
      <c r="B2075" s="32"/>
      <c r="C2075" s="33"/>
      <c r="D2075" s="32" t="s">
        <v>4531</v>
      </c>
      <c r="E2075" s="33" t="s">
        <v>116</v>
      </c>
      <c r="F2075" s="34">
        <v>1</v>
      </c>
      <c r="G2075" s="35">
        <v>0</v>
      </c>
      <c r="H2075" s="35">
        <v>0</v>
      </c>
      <c r="I2075" s="35">
        <f>Tabla1[[#This Row],[P.U. M.N.]]*Tabla1[[#This Row],[CANTIDADES DE REFERENCIA]]</f>
        <v>0</v>
      </c>
      <c r="J2075" s="35">
        <f>Tabla1[[#This Row],[P.U. USD]]*Tabla1[[#This Row],[CANTIDADES DE REFERENCIA]]</f>
        <v>0</v>
      </c>
      <c r="K2075" s="36"/>
      <c r="L2075" s="36"/>
      <c r="M2075" s="36"/>
      <c r="N2075" s="37" t="s">
        <v>3790</v>
      </c>
      <c r="O2075" s="37" t="s">
        <v>3791</v>
      </c>
      <c r="P2075" s="39"/>
      <c r="Q2075" s="37" t="s">
        <v>4532</v>
      </c>
      <c r="R2075" s="37"/>
      <c r="S2075" s="37" t="s">
        <v>3793</v>
      </c>
      <c r="T2075" s="31"/>
    </row>
    <row r="2076" spans="1:20">
      <c r="A2076" s="31"/>
      <c r="B2076" s="32"/>
      <c r="C2076" s="33"/>
      <c r="D2076" s="32" t="s">
        <v>4533</v>
      </c>
      <c r="E2076" s="33" t="s">
        <v>116</v>
      </c>
      <c r="F2076" s="34">
        <v>1</v>
      </c>
      <c r="G2076" s="35">
        <v>0</v>
      </c>
      <c r="H2076" s="35">
        <v>0</v>
      </c>
      <c r="I2076" s="35">
        <f>Tabla1[[#This Row],[P.U. M.N.]]*Tabla1[[#This Row],[CANTIDADES DE REFERENCIA]]</f>
        <v>0</v>
      </c>
      <c r="J2076" s="35">
        <f>Tabla1[[#This Row],[P.U. USD]]*Tabla1[[#This Row],[CANTIDADES DE REFERENCIA]]</f>
        <v>0</v>
      </c>
      <c r="K2076" s="36"/>
      <c r="L2076" s="36"/>
      <c r="M2076" s="36"/>
      <c r="N2076" s="37" t="s">
        <v>3790</v>
      </c>
      <c r="O2076" s="37" t="s">
        <v>3791</v>
      </c>
      <c r="P2076" s="39"/>
      <c r="Q2076" s="37" t="s">
        <v>4534</v>
      </c>
      <c r="R2076" s="37"/>
      <c r="S2076" s="37" t="s">
        <v>3793</v>
      </c>
      <c r="T2076" s="31"/>
    </row>
    <row r="2077" spans="1:20">
      <c r="A2077" s="31"/>
      <c r="B2077" s="32"/>
      <c r="C2077" s="33"/>
      <c r="D2077" s="32" t="s">
        <v>4535</v>
      </c>
      <c r="E2077" s="33" t="s">
        <v>116</v>
      </c>
      <c r="F2077" s="34">
        <v>1</v>
      </c>
      <c r="G2077" s="35">
        <v>0</v>
      </c>
      <c r="H2077" s="35">
        <v>0</v>
      </c>
      <c r="I2077" s="35">
        <f>Tabla1[[#This Row],[P.U. M.N.]]*Tabla1[[#This Row],[CANTIDADES DE REFERENCIA]]</f>
        <v>0</v>
      </c>
      <c r="J2077" s="35">
        <f>Tabla1[[#This Row],[P.U. USD]]*Tabla1[[#This Row],[CANTIDADES DE REFERENCIA]]</f>
        <v>0</v>
      </c>
      <c r="K2077" s="36"/>
      <c r="L2077" s="36"/>
      <c r="M2077" s="36"/>
      <c r="N2077" s="37" t="s">
        <v>3790</v>
      </c>
      <c r="O2077" s="37" t="s">
        <v>3791</v>
      </c>
      <c r="P2077" s="39"/>
      <c r="Q2077" s="37" t="s">
        <v>4536</v>
      </c>
      <c r="R2077" s="37"/>
      <c r="S2077" s="37" t="s">
        <v>3793</v>
      </c>
      <c r="T2077" s="31"/>
    </row>
    <row r="2078" spans="1:20">
      <c r="A2078" s="31"/>
      <c r="B2078" s="32"/>
      <c r="C2078" s="33"/>
      <c r="D2078" s="32" t="s">
        <v>4537</v>
      </c>
      <c r="E2078" s="33" t="s">
        <v>116</v>
      </c>
      <c r="F2078" s="34">
        <v>1</v>
      </c>
      <c r="G2078" s="35">
        <v>0</v>
      </c>
      <c r="H2078" s="35">
        <v>0</v>
      </c>
      <c r="I2078" s="35">
        <f>Tabla1[[#This Row],[P.U. M.N.]]*Tabla1[[#This Row],[CANTIDADES DE REFERENCIA]]</f>
        <v>0</v>
      </c>
      <c r="J2078" s="35">
        <f>Tabla1[[#This Row],[P.U. USD]]*Tabla1[[#This Row],[CANTIDADES DE REFERENCIA]]</f>
        <v>0</v>
      </c>
      <c r="K2078" s="36"/>
      <c r="L2078" s="36"/>
      <c r="M2078" s="36"/>
      <c r="N2078" s="37" t="s">
        <v>3790</v>
      </c>
      <c r="O2078" s="37" t="s">
        <v>3791</v>
      </c>
      <c r="P2078" s="39"/>
      <c r="Q2078" s="37" t="s">
        <v>4538</v>
      </c>
      <c r="R2078" s="37"/>
      <c r="S2078" s="37" t="s">
        <v>3793</v>
      </c>
      <c r="T2078" s="31"/>
    </row>
    <row r="2079" spans="1:20">
      <c r="A2079" s="31"/>
      <c r="B2079" s="32"/>
      <c r="C2079" s="33"/>
      <c r="D2079" s="32" t="s">
        <v>4539</v>
      </c>
      <c r="E2079" s="33" t="s">
        <v>116</v>
      </c>
      <c r="F2079" s="34">
        <v>1</v>
      </c>
      <c r="G2079" s="35">
        <v>0</v>
      </c>
      <c r="H2079" s="35">
        <v>0</v>
      </c>
      <c r="I2079" s="35">
        <f>Tabla1[[#This Row],[P.U. M.N.]]*Tabla1[[#This Row],[CANTIDADES DE REFERENCIA]]</f>
        <v>0</v>
      </c>
      <c r="J2079" s="35">
        <f>Tabla1[[#This Row],[P.U. USD]]*Tabla1[[#This Row],[CANTIDADES DE REFERENCIA]]</f>
        <v>0</v>
      </c>
      <c r="K2079" s="36"/>
      <c r="L2079" s="36"/>
      <c r="M2079" s="36"/>
      <c r="N2079" s="37" t="s">
        <v>3790</v>
      </c>
      <c r="O2079" s="37" t="s">
        <v>3791</v>
      </c>
      <c r="P2079" s="39"/>
      <c r="Q2079" s="37" t="s">
        <v>4540</v>
      </c>
      <c r="R2079" s="37"/>
      <c r="S2079" s="37" t="s">
        <v>3793</v>
      </c>
      <c r="T2079" s="31"/>
    </row>
    <row r="2080" spans="1:20">
      <c r="A2080" s="31"/>
      <c r="B2080" s="32"/>
      <c r="C2080" s="33"/>
      <c r="D2080" s="32" t="s">
        <v>4541</v>
      </c>
      <c r="E2080" s="33" t="s">
        <v>116</v>
      </c>
      <c r="F2080" s="34">
        <v>1</v>
      </c>
      <c r="G2080" s="35">
        <v>0</v>
      </c>
      <c r="H2080" s="35">
        <v>0</v>
      </c>
      <c r="I2080" s="35">
        <f>Tabla1[[#This Row],[P.U. M.N.]]*Tabla1[[#This Row],[CANTIDADES DE REFERENCIA]]</f>
        <v>0</v>
      </c>
      <c r="J2080" s="35">
        <f>Tabla1[[#This Row],[P.U. USD]]*Tabla1[[#This Row],[CANTIDADES DE REFERENCIA]]</f>
        <v>0</v>
      </c>
      <c r="K2080" s="36"/>
      <c r="L2080" s="36"/>
      <c r="M2080" s="36"/>
      <c r="N2080" s="37" t="s">
        <v>3790</v>
      </c>
      <c r="O2080" s="37" t="s">
        <v>3791</v>
      </c>
      <c r="P2080" s="39"/>
      <c r="Q2080" s="37" t="s">
        <v>4542</v>
      </c>
      <c r="R2080" s="37"/>
      <c r="S2080" s="37" t="s">
        <v>3793</v>
      </c>
      <c r="T2080" s="31"/>
    </row>
    <row r="2081" spans="1:20">
      <c r="A2081" s="31"/>
      <c r="B2081" s="32"/>
      <c r="C2081" s="33"/>
      <c r="D2081" s="32" t="s">
        <v>4543</v>
      </c>
      <c r="E2081" s="33" t="s">
        <v>116</v>
      </c>
      <c r="F2081" s="34">
        <v>1</v>
      </c>
      <c r="G2081" s="35">
        <v>0</v>
      </c>
      <c r="H2081" s="35">
        <v>0</v>
      </c>
      <c r="I2081" s="35">
        <f>Tabla1[[#This Row],[P.U. M.N.]]*Tabla1[[#This Row],[CANTIDADES DE REFERENCIA]]</f>
        <v>0</v>
      </c>
      <c r="J2081" s="35">
        <f>Tabla1[[#This Row],[P.U. USD]]*Tabla1[[#This Row],[CANTIDADES DE REFERENCIA]]</f>
        <v>0</v>
      </c>
      <c r="K2081" s="36"/>
      <c r="L2081" s="36"/>
      <c r="M2081" s="36"/>
      <c r="N2081" s="37" t="s">
        <v>3790</v>
      </c>
      <c r="O2081" s="37" t="s">
        <v>3791</v>
      </c>
      <c r="P2081" s="39"/>
      <c r="Q2081" s="37" t="s">
        <v>4544</v>
      </c>
      <c r="R2081" s="37"/>
      <c r="S2081" s="37" t="s">
        <v>3793</v>
      </c>
      <c r="T2081" s="31"/>
    </row>
    <row r="2082" spans="1:20">
      <c r="A2082" s="31"/>
      <c r="B2082" s="32"/>
      <c r="C2082" s="33"/>
      <c r="D2082" s="32" t="s">
        <v>4545</v>
      </c>
      <c r="E2082" s="33" t="s">
        <v>116</v>
      </c>
      <c r="F2082" s="34">
        <v>1</v>
      </c>
      <c r="G2082" s="35">
        <v>0</v>
      </c>
      <c r="H2082" s="35">
        <v>0</v>
      </c>
      <c r="I2082" s="35">
        <f>Tabla1[[#This Row],[P.U. M.N.]]*Tabla1[[#This Row],[CANTIDADES DE REFERENCIA]]</f>
        <v>0</v>
      </c>
      <c r="J2082" s="35">
        <f>Tabla1[[#This Row],[P.U. USD]]*Tabla1[[#This Row],[CANTIDADES DE REFERENCIA]]</f>
        <v>0</v>
      </c>
      <c r="K2082" s="36"/>
      <c r="L2082" s="36"/>
      <c r="M2082" s="36"/>
      <c r="N2082" s="37" t="s">
        <v>3790</v>
      </c>
      <c r="O2082" s="37" t="s">
        <v>3791</v>
      </c>
      <c r="P2082" s="39"/>
      <c r="Q2082" s="37" t="s">
        <v>4546</v>
      </c>
      <c r="R2082" s="37"/>
      <c r="S2082" s="37" t="s">
        <v>3793</v>
      </c>
      <c r="T2082" s="31"/>
    </row>
    <row r="2083" spans="1:20">
      <c r="A2083" s="31" t="s">
        <v>4143</v>
      </c>
      <c r="B2083" s="32" t="s">
        <v>4547</v>
      </c>
      <c r="C2083" s="33" t="str">
        <f>Tabla1[[#This Row],[PARTIDA]] &amp; "."</f>
        <v>3C-008.</v>
      </c>
      <c r="D2083" s="32" t="s">
        <v>4548</v>
      </c>
      <c r="E2083" s="33" t="s">
        <v>116</v>
      </c>
      <c r="F2083" s="34">
        <v>1</v>
      </c>
      <c r="G2083" s="35">
        <v>3897.18</v>
      </c>
      <c r="H2083" s="35">
        <v>857.73</v>
      </c>
      <c r="I2083" s="35">
        <f>Tabla1[[#This Row],[P.U. M.N.]]*Tabla1[[#This Row],[CANTIDADES DE REFERENCIA]]</f>
        <v>3897.18</v>
      </c>
      <c r="J2083" s="35">
        <f>Tabla1[[#This Row],[P.U. USD]]*Tabla1[[#This Row],[CANTIDADES DE REFERENCIA]]</f>
        <v>857.73</v>
      </c>
      <c r="K2083" s="36"/>
      <c r="L2083" s="36"/>
      <c r="M2083" s="36"/>
      <c r="N2083" s="37" t="s">
        <v>117</v>
      </c>
      <c r="O2083" s="37" t="s">
        <v>118</v>
      </c>
      <c r="P2083" s="38">
        <v>45479</v>
      </c>
      <c r="Q2083" s="37" t="s">
        <v>4549</v>
      </c>
      <c r="R2083" s="37"/>
      <c r="S2083" s="37" t="s">
        <v>120</v>
      </c>
      <c r="T2083" s="31"/>
    </row>
    <row r="2084" spans="1:20">
      <c r="A2084" s="31" t="s">
        <v>4143</v>
      </c>
      <c r="B2084" s="32" t="s">
        <v>4550</v>
      </c>
      <c r="C2084" s="33" t="str">
        <f>Tabla1[[#This Row],[PARTIDA]] &amp; "."</f>
        <v>4C-008.</v>
      </c>
      <c r="D2084" s="32" t="s">
        <v>4551</v>
      </c>
      <c r="E2084" s="33" t="s">
        <v>116</v>
      </c>
      <c r="F2084" s="34">
        <v>1</v>
      </c>
      <c r="G2084" s="35">
        <v>3897.18</v>
      </c>
      <c r="H2084" s="35">
        <v>2835.51</v>
      </c>
      <c r="I2084" s="35">
        <f>Tabla1[[#This Row],[P.U. M.N.]]*Tabla1[[#This Row],[CANTIDADES DE REFERENCIA]]</f>
        <v>3897.18</v>
      </c>
      <c r="J2084" s="35">
        <f>Tabla1[[#This Row],[P.U. USD]]*Tabla1[[#This Row],[CANTIDADES DE REFERENCIA]]</f>
        <v>2835.51</v>
      </c>
      <c r="K2084" s="36"/>
      <c r="L2084" s="36"/>
      <c r="M2084" s="36"/>
      <c r="N2084" s="37" t="s">
        <v>117</v>
      </c>
      <c r="O2084" s="37" t="s">
        <v>118</v>
      </c>
      <c r="P2084" s="38">
        <v>45479</v>
      </c>
      <c r="Q2084" s="37" t="s">
        <v>4552</v>
      </c>
      <c r="R2084" s="37"/>
      <c r="S2084" s="37" t="s">
        <v>120</v>
      </c>
      <c r="T2084" s="31"/>
    </row>
    <row r="2085" spans="1:20">
      <c r="A2085" s="31"/>
      <c r="B2085" s="32"/>
      <c r="C2085" s="33"/>
      <c r="D2085" s="32" t="s">
        <v>4553</v>
      </c>
      <c r="E2085" s="33" t="s">
        <v>116</v>
      </c>
      <c r="F2085" s="34">
        <v>1</v>
      </c>
      <c r="G2085" s="35">
        <v>0</v>
      </c>
      <c r="H2085" s="35">
        <v>0</v>
      </c>
      <c r="I2085" s="35">
        <f>Tabla1[[#This Row],[P.U. M.N.]]*Tabla1[[#This Row],[CANTIDADES DE REFERENCIA]]</f>
        <v>0</v>
      </c>
      <c r="J2085" s="35">
        <f>Tabla1[[#This Row],[P.U. USD]]*Tabla1[[#This Row],[CANTIDADES DE REFERENCIA]]</f>
        <v>0</v>
      </c>
      <c r="K2085" s="36"/>
      <c r="L2085" s="36"/>
      <c r="M2085" s="36"/>
      <c r="N2085" s="37" t="s">
        <v>3790</v>
      </c>
      <c r="O2085" s="37" t="s">
        <v>3791</v>
      </c>
      <c r="P2085" s="39"/>
      <c r="Q2085" s="37" t="s">
        <v>4554</v>
      </c>
      <c r="R2085" s="37"/>
      <c r="S2085" s="37" t="s">
        <v>3793</v>
      </c>
      <c r="T2085" s="31"/>
    </row>
    <row r="2086" spans="1:20">
      <c r="A2086" s="31"/>
      <c r="B2086" s="32"/>
      <c r="C2086" s="33"/>
      <c r="D2086" s="32" t="s">
        <v>4555</v>
      </c>
      <c r="E2086" s="33" t="s">
        <v>116</v>
      </c>
      <c r="F2086" s="34">
        <v>1</v>
      </c>
      <c r="G2086" s="35">
        <v>0</v>
      </c>
      <c r="H2086" s="35">
        <v>0</v>
      </c>
      <c r="I2086" s="35">
        <f>Tabla1[[#This Row],[P.U. M.N.]]*Tabla1[[#This Row],[CANTIDADES DE REFERENCIA]]</f>
        <v>0</v>
      </c>
      <c r="J2086" s="35">
        <f>Tabla1[[#This Row],[P.U. USD]]*Tabla1[[#This Row],[CANTIDADES DE REFERENCIA]]</f>
        <v>0</v>
      </c>
      <c r="K2086" s="36"/>
      <c r="L2086" s="36"/>
      <c r="M2086" s="36"/>
      <c r="N2086" s="37" t="s">
        <v>3790</v>
      </c>
      <c r="O2086" s="37" t="s">
        <v>3791</v>
      </c>
      <c r="P2086" s="39"/>
      <c r="Q2086" s="37" t="s">
        <v>4556</v>
      </c>
      <c r="R2086" s="37"/>
      <c r="S2086" s="37" t="s">
        <v>3793</v>
      </c>
      <c r="T2086" s="31"/>
    </row>
    <row r="2087" spans="1:20">
      <c r="A2087" s="31"/>
      <c r="B2087" s="32"/>
      <c r="C2087" s="33"/>
      <c r="D2087" s="32" t="s">
        <v>4557</v>
      </c>
      <c r="E2087" s="33" t="s">
        <v>116</v>
      </c>
      <c r="F2087" s="34">
        <v>1</v>
      </c>
      <c r="G2087" s="35">
        <v>0</v>
      </c>
      <c r="H2087" s="35">
        <v>0</v>
      </c>
      <c r="I2087" s="35">
        <f>Tabla1[[#This Row],[P.U. M.N.]]*Tabla1[[#This Row],[CANTIDADES DE REFERENCIA]]</f>
        <v>0</v>
      </c>
      <c r="J2087" s="35">
        <f>Tabla1[[#This Row],[P.U. USD]]*Tabla1[[#This Row],[CANTIDADES DE REFERENCIA]]</f>
        <v>0</v>
      </c>
      <c r="K2087" s="36"/>
      <c r="L2087" s="36"/>
      <c r="M2087" s="36"/>
      <c r="N2087" s="37" t="s">
        <v>3790</v>
      </c>
      <c r="O2087" s="37" t="s">
        <v>3791</v>
      </c>
      <c r="P2087" s="39"/>
      <c r="Q2087" s="37" t="s">
        <v>4558</v>
      </c>
      <c r="R2087" s="37"/>
      <c r="S2087" s="37" t="s">
        <v>3793</v>
      </c>
      <c r="T2087" s="31"/>
    </row>
    <row r="2088" spans="1:20">
      <c r="A2088" s="31" t="s">
        <v>4143</v>
      </c>
      <c r="B2088" s="32" t="s">
        <v>4559</v>
      </c>
      <c r="C2088" s="33" t="str">
        <f>Tabla1[[#This Row],[PARTIDA]] &amp; "."</f>
        <v>5C-008.</v>
      </c>
      <c r="D2088" s="32" t="s">
        <v>4560</v>
      </c>
      <c r="E2088" s="33" t="s">
        <v>116</v>
      </c>
      <c r="F2088" s="34">
        <v>1</v>
      </c>
      <c r="G2088" s="35">
        <v>3897.18</v>
      </c>
      <c r="H2088" s="35">
        <v>4113.16</v>
      </c>
      <c r="I2088" s="35">
        <f>Tabla1[[#This Row],[P.U. M.N.]]*Tabla1[[#This Row],[CANTIDADES DE REFERENCIA]]</f>
        <v>3897.18</v>
      </c>
      <c r="J2088" s="35">
        <f>Tabla1[[#This Row],[P.U. USD]]*Tabla1[[#This Row],[CANTIDADES DE REFERENCIA]]</f>
        <v>4113.16</v>
      </c>
      <c r="K2088" s="36"/>
      <c r="L2088" s="36"/>
      <c r="M2088" s="36"/>
      <c r="N2088" s="37" t="s">
        <v>117</v>
      </c>
      <c r="O2088" s="37" t="s">
        <v>118</v>
      </c>
      <c r="P2088" s="38">
        <v>45479</v>
      </c>
      <c r="Q2088" s="37" t="s">
        <v>4561</v>
      </c>
      <c r="R2088" s="37"/>
      <c r="S2088" s="37" t="s">
        <v>120</v>
      </c>
      <c r="T2088" s="31"/>
    </row>
    <row r="2089" spans="1:20">
      <c r="A2089" s="31"/>
      <c r="B2089" s="32"/>
      <c r="C2089" s="33"/>
      <c r="D2089" s="32" t="s">
        <v>4562</v>
      </c>
      <c r="E2089" s="33" t="s">
        <v>116</v>
      </c>
      <c r="F2089" s="34">
        <v>1</v>
      </c>
      <c r="G2089" s="35">
        <v>0</v>
      </c>
      <c r="H2089" s="35">
        <v>0</v>
      </c>
      <c r="I2089" s="35">
        <f>Tabla1[[#This Row],[P.U. M.N.]]*Tabla1[[#This Row],[CANTIDADES DE REFERENCIA]]</f>
        <v>0</v>
      </c>
      <c r="J2089" s="35">
        <f>Tabla1[[#This Row],[P.U. USD]]*Tabla1[[#This Row],[CANTIDADES DE REFERENCIA]]</f>
        <v>0</v>
      </c>
      <c r="K2089" s="36"/>
      <c r="L2089" s="36"/>
      <c r="M2089" s="36"/>
      <c r="N2089" s="37" t="s">
        <v>3790</v>
      </c>
      <c r="O2089" s="37" t="s">
        <v>3791</v>
      </c>
      <c r="P2089" s="39"/>
      <c r="Q2089" s="37" t="s">
        <v>4563</v>
      </c>
      <c r="R2089" s="37"/>
      <c r="S2089" s="37" t="s">
        <v>3793</v>
      </c>
      <c r="T2089" s="31"/>
    </row>
    <row r="2090" spans="1:20">
      <c r="A2090" s="31"/>
      <c r="B2090" s="32"/>
      <c r="C2090" s="33"/>
      <c r="D2090" s="32" t="s">
        <v>4564</v>
      </c>
      <c r="E2090" s="33" t="s">
        <v>54</v>
      </c>
      <c r="F2090" s="34">
        <v>1</v>
      </c>
      <c r="G2090" s="35">
        <v>0</v>
      </c>
      <c r="H2090" s="35">
        <v>0</v>
      </c>
      <c r="I2090" s="35">
        <f>Tabla1[[#This Row],[P.U. M.N.]]*Tabla1[[#This Row],[CANTIDADES DE REFERENCIA]]</f>
        <v>0</v>
      </c>
      <c r="J2090" s="35">
        <f>Tabla1[[#This Row],[P.U. USD]]*Tabla1[[#This Row],[CANTIDADES DE REFERENCIA]]</f>
        <v>0</v>
      </c>
      <c r="K2090" s="36"/>
      <c r="L2090" s="36"/>
      <c r="M2090" s="36"/>
      <c r="N2090" s="37" t="s">
        <v>3790</v>
      </c>
      <c r="O2090" s="37" t="s">
        <v>3791</v>
      </c>
      <c r="P2090" s="39"/>
      <c r="Q2090" s="37" t="s">
        <v>4565</v>
      </c>
      <c r="R2090" s="37"/>
      <c r="S2090" s="37" t="s">
        <v>3793</v>
      </c>
      <c r="T2090" s="31"/>
    </row>
    <row r="2091" spans="1:20">
      <c r="A2091" s="31"/>
      <c r="B2091" s="32"/>
      <c r="C2091" s="33"/>
      <c r="D2091" s="32" t="s">
        <v>4566</v>
      </c>
      <c r="E2091" s="33" t="s">
        <v>54</v>
      </c>
      <c r="F2091" s="34">
        <v>1</v>
      </c>
      <c r="G2091" s="35">
        <v>0</v>
      </c>
      <c r="H2091" s="35">
        <v>0</v>
      </c>
      <c r="I2091" s="35">
        <f>Tabla1[[#This Row],[P.U. M.N.]]*Tabla1[[#This Row],[CANTIDADES DE REFERENCIA]]</f>
        <v>0</v>
      </c>
      <c r="J2091" s="35">
        <f>Tabla1[[#This Row],[P.U. USD]]*Tabla1[[#This Row],[CANTIDADES DE REFERENCIA]]</f>
        <v>0</v>
      </c>
      <c r="K2091" s="36"/>
      <c r="L2091" s="36"/>
      <c r="M2091" s="36"/>
      <c r="N2091" s="37" t="s">
        <v>3790</v>
      </c>
      <c r="O2091" s="37" t="s">
        <v>3791</v>
      </c>
      <c r="P2091" s="39"/>
      <c r="Q2091" s="37" t="s">
        <v>4567</v>
      </c>
      <c r="R2091" s="37"/>
      <c r="S2091" s="37" t="s">
        <v>3793</v>
      </c>
      <c r="T2091" s="31"/>
    </row>
    <row r="2092" spans="1:20">
      <c r="A2092" s="31"/>
      <c r="B2092" s="32"/>
      <c r="C2092" s="33"/>
      <c r="D2092" s="32" t="s">
        <v>4568</v>
      </c>
      <c r="E2092" s="33" t="s">
        <v>54</v>
      </c>
      <c r="F2092" s="34">
        <v>1</v>
      </c>
      <c r="G2092" s="35">
        <v>0</v>
      </c>
      <c r="H2092" s="35">
        <v>0</v>
      </c>
      <c r="I2092" s="35">
        <f>Tabla1[[#This Row],[P.U. M.N.]]*Tabla1[[#This Row],[CANTIDADES DE REFERENCIA]]</f>
        <v>0</v>
      </c>
      <c r="J2092" s="35">
        <f>Tabla1[[#This Row],[P.U. USD]]*Tabla1[[#This Row],[CANTIDADES DE REFERENCIA]]</f>
        <v>0</v>
      </c>
      <c r="K2092" s="36"/>
      <c r="L2092" s="36"/>
      <c r="M2092" s="36"/>
      <c r="N2092" s="37" t="s">
        <v>3790</v>
      </c>
      <c r="O2092" s="37" t="s">
        <v>3791</v>
      </c>
      <c r="P2092" s="39"/>
      <c r="Q2092" s="37" t="s">
        <v>4569</v>
      </c>
      <c r="R2092" s="37"/>
      <c r="S2092" s="37" t="s">
        <v>3793</v>
      </c>
      <c r="T2092" s="31"/>
    </row>
    <row r="2093" spans="1:20">
      <c r="A2093" s="31"/>
      <c r="B2093" s="32"/>
      <c r="C2093" s="33"/>
      <c r="D2093" s="32" t="s">
        <v>4570</v>
      </c>
      <c r="E2093" s="33" t="s">
        <v>116</v>
      </c>
      <c r="F2093" s="34">
        <v>1</v>
      </c>
      <c r="G2093" s="35">
        <v>0</v>
      </c>
      <c r="H2093" s="35">
        <v>0</v>
      </c>
      <c r="I2093" s="35">
        <f>Tabla1[[#This Row],[P.U. M.N.]]*Tabla1[[#This Row],[CANTIDADES DE REFERENCIA]]</f>
        <v>0</v>
      </c>
      <c r="J2093" s="35">
        <f>Tabla1[[#This Row],[P.U. USD]]*Tabla1[[#This Row],[CANTIDADES DE REFERENCIA]]</f>
        <v>0</v>
      </c>
      <c r="K2093" s="36"/>
      <c r="L2093" s="36"/>
      <c r="M2093" s="36"/>
      <c r="N2093" s="37" t="s">
        <v>3790</v>
      </c>
      <c r="O2093" s="37" t="s">
        <v>3791</v>
      </c>
      <c r="P2093" s="39"/>
      <c r="Q2093" s="37" t="s">
        <v>4571</v>
      </c>
      <c r="R2093" s="37"/>
      <c r="S2093" s="37" t="s">
        <v>3793</v>
      </c>
      <c r="T2093" s="31"/>
    </row>
    <row r="2094" spans="1:20">
      <c r="A2094" s="31"/>
      <c r="B2094" s="32"/>
      <c r="C2094" s="33"/>
      <c r="D2094" s="32" t="s">
        <v>4572</v>
      </c>
      <c r="E2094" s="33" t="s">
        <v>135</v>
      </c>
      <c r="F2094" s="34">
        <v>1</v>
      </c>
      <c r="G2094" s="35">
        <v>0</v>
      </c>
      <c r="H2094" s="35">
        <v>0</v>
      </c>
      <c r="I2094" s="35">
        <f>Tabla1[[#This Row],[P.U. M.N.]]*Tabla1[[#This Row],[CANTIDADES DE REFERENCIA]]</f>
        <v>0</v>
      </c>
      <c r="J2094" s="35">
        <f>Tabla1[[#This Row],[P.U. USD]]*Tabla1[[#This Row],[CANTIDADES DE REFERENCIA]]</f>
        <v>0</v>
      </c>
      <c r="K2094" s="36"/>
      <c r="L2094" s="36"/>
      <c r="M2094" s="36"/>
      <c r="N2094" s="37" t="s">
        <v>3537</v>
      </c>
      <c r="O2094" s="37" t="s">
        <v>3538</v>
      </c>
      <c r="P2094" s="39"/>
      <c r="Q2094" s="37" t="s">
        <v>4573</v>
      </c>
      <c r="R2094" s="37"/>
      <c r="S2094" s="37" t="s">
        <v>4574</v>
      </c>
      <c r="T2094" s="31"/>
    </row>
    <row r="2095" spans="1:20">
      <c r="A2095" s="31"/>
      <c r="B2095" s="32"/>
      <c r="C2095" s="33"/>
      <c r="D2095" s="32" t="s">
        <v>4575</v>
      </c>
      <c r="E2095" s="33" t="s">
        <v>54</v>
      </c>
      <c r="F2095" s="34">
        <v>1</v>
      </c>
      <c r="G2095" s="35">
        <v>0</v>
      </c>
      <c r="H2095" s="35">
        <v>0</v>
      </c>
      <c r="I2095" s="35">
        <f>Tabla1[[#This Row],[P.U. M.N.]]*Tabla1[[#This Row],[CANTIDADES DE REFERENCIA]]</f>
        <v>0</v>
      </c>
      <c r="J2095" s="35">
        <f>Tabla1[[#This Row],[P.U. USD]]*Tabla1[[#This Row],[CANTIDADES DE REFERENCIA]]</f>
        <v>0</v>
      </c>
      <c r="K2095" s="36"/>
      <c r="L2095" s="36"/>
      <c r="M2095" s="36"/>
      <c r="N2095" s="37" t="s">
        <v>3537</v>
      </c>
      <c r="O2095" s="37" t="s">
        <v>3538</v>
      </c>
      <c r="P2095" s="39"/>
      <c r="Q2095" s="37" t="s">
        <v>4576</v>
      </c>
      <c r="R2095" s="37"/>
      <c r="S2095" s="37" t="s">
        <v>4574</v>
      </c>
      <c r="T2095" s="31"/>
    </row>
    <row r="2096" spans="1:20">
      <c r="A2096" s="31"/>
      <c r="B2096" s="32"/>
      <c r="C2096" s="33"/>
      <c r="D2096" s="32" t="s">
        <v>4577</v>
      </c>
      <c r="E2096" s="33" t="s">
        <v>54</v>
      </c>
      <c r="F2096" s="34">
        <v>1</v>
      </c>
      <c r="G2096" s="35">
        <v>0</v>
      </c>
      <c r="H2096" s="35">
        <v>0</v>
      </c>
      <c r="I2096" s="35">
        <f>Tabla1[[#This Row],[P.U. M.N.]]*Tabla1[[#This Row],[CANTIDADES DE REFERENCIA]]</f>
        <v>0</v>
      </c>
      <c r="J2096" s="35">
        <f>Tabla1[[#This Row],[P.U. USD]]*Tabla1[[#This Row],[CANTIDADES DE REFERENCIA]]</f>
        <v>0</v>
      </c>
      <c r="K2096" s="36"/>
      <c r="L2096" s="36"/>
      <c r="M2096" s="36"/>
      <c r="N2096" s="37" t="s">
        <v>3537</v>
      </c>
      <c r="O2096" s="37" t="s">
        <v>3538</v>
      </c>
      <c r="P2096" s="39"/>
      <c r="Q2096" s="37" t="s">
        <v>4578</v>
      </c>
      <c r="R2096" s="37"/>
      <c r="S2096" s="37" t="s">
        <v>4574</v>
      </c>
      <c r="T2096" s="31"/>
    </row>
    <row r="2097" spans="1:20">
      <c r="A2097" s="31"/>
      <c r="B2097" s="32"/>
      <c r="C2097" s="33"/>
      <c r="D2097" s="32" t="s">
        <v>4579</v>
      </c>
      <c r="E2097" s="33" t="s">
        <v>54</v>
      </c>
      <c r="F2097" s="34">
        <v>1</v>
      </c>
      <c r="G2097" s="35">
        <v>0</v>
      </c>
      <c r="H2097" s="35">
        <v>0</v>
      </c>
      <c r="I2097" s="35">
        <f>Tabla1[[#This Row],[P.U. M.N.]]*Tabla1[[#This Row],[CANTIDADES DE REFERENCIA]]</f>
        <v>0</v>
      </c>
      <c r="J2097" s="35">
        <f>Tabla1[[#This Row],[P.U. USD]]*Tabla1[[#This Row],[CANTIDADES DE REFERENCIA]]</f>
        <v>0</v>
      </c>
      <c r="K2097" s="36"/>
      <c r="L2097" s="36"/>
      <c r="M2097" s="36"/>
      <c r="N2097" s="37" t="s">
        <v>3537</v>
      </c>
      <c r="O2097" s="37" t="s">
        <v>3538</v>
      </c>
      <c r="P2097" s="39"/>
      <c r="Q2097" s="37" t="s">
        <v>4580</v>
      </c>
      <c r="R2097" s="37"/>
      <c r="S2097" s="37" t="s">
        <v>4574</v>
      </c>
      <c r="T2097" s="31"/>
    </row>
    <row r="2098" spans="1:20">
      <c r="A2098" s="31"/>
      <c r="B2098" s="32"/>
      <c r="C2098" s="33"/>
      <c r="D2098" s="32" t="s">
        <v>4581</v>
      </c>
      <c r="E2098" s="33" t="s">
        <v>54</v>
      </c>
      <c r="F2098" s="34">
        <v>1</v>
      </c>
      <c r="G2098" s="35">
        <v>0</v>
      </c>
      <c r="H2098" s="35">
        <v>0</v>
      </c>
      <c r="I2098" s="35">
        <f>Tabla1[[#This Row],[P.U. M.N.]]*Tabla1[[#This Row],[CANTIDADES DE REFERENCIA]]</f>
        <v>0</v>
      </c>
      <c r="J2098" s="35">
        <f>Tabla1[[#This Row],[P.U. USD]]*Tabla1[[#This Row],[CANTIDADES DE REFERENCIA]]</f>
        <v>0</v>
      </c>
      <c r="K2098" s="36"/>
      <c r="L2098" s="36"/>
      <c r="M2098" s="36"/>
      <c r="N2098" s="37" t="s">
        <v>3537</v>
      </c>
      <c r="O2098" s="37" t="s">
        <v>3538</v>
      </c>
      <c r="P2098" s="39"/>
      <c r="Q2098" s="37" t="s">
        <v>4582</v>
      </c>
      <c r="R2098" s="37"/>
      <c r="S2098" s="37" t="s">
        <v>4574</v>
      </c>
      <c r="T2098" s="31"/>
    </row>
    <row r="2099" spans="1:20">
      <c r="A2099" s="31"/>
      <c r="B2099" s="32"/>
      <c r="C2099" s="33"/>
      <c r="D2099" s="32" t="s">
        <v>4583</v>
      </c>
      <c r="E2099" s="33" t="s">
        <v>54</v>
      </c>
      <c r="F2099" s="34">
        <v>1</v>
      </c>
      <c r="G2099" s="35">
        <v>0</v>
      </c>
      <c r="H2099" s="35">
        <v>0</v>
      </c>
      <c r="I2099" s="35">
        <f>Tabla1[[#This Row],[P.U. M.N.]]*Tabla1[[#This Row],[CANTIDADES DE REFERENCIA]]</f>
        <v>0</v>
      </c>
      <c r="J2099" s="35">
        <f>Tabla1[[#This Row],[P.U. USD]]*Tabla1[[#This Row],[CANTIDADES DE REFERENCIA]]</f>
        <v>0</v>
      </c>
      <c r="K2099" s="36"/>
      <c r="L2099" s="36"/>
      <c r="M2099" s="36"/>
      <c r="N2099" s="37" t="s">
        <v>3537</v>
      </c>
      <c r="O2099" s="37" t="s">
        <v>3538</v>
      </c>
      <c r="P2099" s="39"/>
      <c r="Q2099" s="37" t="s">
        <v>4584</v>
      </c>
      <c r="R2099" s="37"/>
      <c r="S2099" s="37" t="s">
        <v>4574</v>
      </c>
      <c r="T2099" s="31"/>
    </row>
    <row r="2100" spans="1:20">
      <c r="A2100" s="31"/>
      <c r="B2100" s="32"/>
      <c r="C2100" s="33"/>
      <c r="D2100" s="32" t="s">
        <v>4585</v>
      </c>
      <c r="E2100" s="33" t="s">
        <v>54</v>
      </c>
      <c r="F2100" s="34">
        <v>1</v>
      </c>
      <c r="G2100" s="35">
        <v>0</v>
      </c>
      <c r="H2100" s="35">
        <v>0</v>
      </c>
      <c r="I2100" s="35">
        <f>Tabla1[[#This Row],[P.U. M.N.]]*Tabla1[[#This Row],[CANTIDADES DE REFERENCIA]]</f>
        <v>0</v>
      </c>
      <c r="J2100" s="35">
        <f>Tabla1[[#This Row],[P.U. USD]]*Tabla1[[#This Row],[CANTIDADES DE REFERENCIA]]</f>
        <v>0</v>
      </c>
      <c r="K2100" s="36"/>
      <c r="L2100" s="36"/>
      <c r="M2100" s="36"/>
      <c r="N2100" s="37" t="s">
        <v>3537</v>
      </c>
      <c r="O2100" s="37" t="s">
        <v>3538</v>
      </c>
      <c r="P2100" s="39"/>
      <c r="Q2100" s="37" t="s">
        <v>4586</v>
      </c>
      <c r="R2100" s="37"/>
      <c r="S2100" s="37" t="s">
        <v>4574</v>
      </c>
      <c r="T2100" s="31"/>
    </row>
    <row r="2101" spans="1:20">
      <c r="A2101" s="31"/>
      <c r="B2101" s="32"/>
      <c r="C2101" s="33"/>
      <c r="D2101" s="32" t="s">
        <v>4587</v>
      </c>
      <c r="E2101" s="33" t="s">
        <v>42</v>
      </c>
      <c r="F2101" s="34">
        <v>1</v>
      </c>
      <c r="G2101" s="35">
        <v>0</v>
      </c>
      <c r="H2101" s="35">
        <v>0</v>
      </c>
      <c r="I2101" s="35">
        <f>Tabla1[[#This Row],[P.U. M.N.]]*Tabla1[[#This Row],[CANTIDADES DE REFERENCIA]]</f>
        <v>0</v>
      </c>
      <c r="J2101" s="35">
        <f>Tabla1[[#This Row],[P.U. USD]]*Tabla1[[#This Row],[CANTIDADES DE REFERENCIA]]</f>
        <v>0</v>
      </c>
      <c r="K2101" s="36"/>
      <c r="L2101" s="36"/>
      <c r="M2101" s="36"/>
      <c r="N2101" s="37"/>
      <c r="O2101" s="37"/>
      <c r="P2101" s="39"/>
      <c r="Q2101" s="37" t="s">
        <v>4588</v>
      </c>
      <c r="R2101" s="37"/>
      <c r="S2101" s="37" t="s">
        <v>4589</v>
      </c>
      <c r="T2101" s="31"/>
    </row>
    <row r="2102" spans="1:20">
      <c r="A2102" s="31"/>
      <c r="B2102" s="32"/>
      <c r="C2102" s="33"/>
      <c r="D2102" s="32" t="s">
        <v>4590</v>
      </c>
      <c r="E2102" s="33" t="s">
        <v>42</v>
      </c>
      <c r="F2102" s="34">
        <v>1</v>
      </c>
      <c r="G2102" s="35">
        <v>0</v>
      </c>
      <c r="H2102" s="35">
        <v>0</v>
      </c>
      <c r="I2102" s="35">
        <f>Tabla1[[#This Row],[P.U. M.N.]]*Tabla1[[#This Row],[CANTIDADES DE REFERENCIA]]</f>
        <v>0</v>
      </c>
      <c r="J2102" s="35">
        <f>Tabla1[[#This Row],[P.U. USD]]*Tabla1[[#This Row],[CANTIDADES DE REFERENCIA]]</f>
        <v>0</v>
      </c>
      <c r="K2102" s="36"/>
      <c r="L2102" s="36"/>
      <c r="M2102" s="36"/>
      <c r="N2102" s="37"/>
      <c r="O2102" s="37"/>
      <c r="P2102" s="39"/>
      <c r="Q2102" s="37" t="s">
        <v>4591</v>
      </c>
      <c r="R2102" s="37"/>
      <c r="S2102" s="37" t="s">
        <v>4589</v>
      </c>
      <c r="T2102" s="31"/>
    </row>
    <row r="2103" spans="1:20">
      <c r="A2103" s="31"/>
      <c r="B2103" s="32"/>
      <c r="C2103" s="33"/>
      <c r="D2103" s="32" t="s">
        <v>4592</v>
      </c>
      <c r="E2103" s="33" t="s">
        <v>116</v>
      </c>
      <c r="F2103" s="34">
        <v>1</v>
      </c>
      <c r="G2103" s="35">
        <v>0</v>
      </c>
      <c r="H2103" s="35">
        <v>0</v>
      </c>
      <c r="I2103" s="35">
        <f>Tabla1[[#This Row],[P.U. M.N.]]*Tabla1[[#This Row],[CANTIDADES DE REFERENCIA]]</f>
        <v>0</v>
      </c>
      <c r="J2103" s="35">
        <f>Tabla1[[#This Row],[P.U. USD]]*Tabla1[[#This Row],[CANTIDADES DE REFERENCIA]]</f>
        <v>0</v>
      </c>
      <c r="K2103" s="36"/>
      <c r="L2103" s="36"/>
      <c r="M2103" s="36"/>
      <c r="N2103" s="37" t="s">
        <v>1031</v>
      </c>
      <c r="O2103" s="37" t="s">
        <v>1032</v>
      </c>
      <c r="P2103" s="39"/>
      <c r="Q2103" s="37" t="s">
        <v>4593</v>
      </c>
      <c r="R2103" s="37"/>
      <c r="S2103" s="37" t="s">
        <v>2902</v>
      </c>
      <c r="T2103" s="31"/>
    </row>
    <row r="2104" spans="1:20">
      <c r="A2104" s="31"/>
      <c r="B2104" s="32"/>
      <c r="C2104" s="33"/>
      <c r="D2104" s="32" t="s">
        <v>4594</v>
      </c>
      <c r="E2104" s="33" t="s">
        <v>116</v>
      </c>
      <c r="F2104" s="34">
        <v>1</v>
      </c>
      <c r="G2104" s="35">
        <v>0</v>
      </c>
      <c r="H2104" s="35">
        <v>0</v>
      </c>
      <c r="I2104" s="35">
        <f>Tabla1[[#This Row],[P.U. M.N.]]*Tabla1[[#This Row],[CANTIDADES DE REFERENCIA]]</f>
        <v>0</v>
      </c>
      <c r="J2104" s="35">
        <f>Tabla1[[#This Row],[P.U. USD]]*Tabla1[[#This Row],[CANTIDADES DE REFERENCIA]]</f>
        <v>0</v>
      </c>
      <c r="K2104" s="36"/>
      <c r="L2104" s="36"/>
      <c r="M2104" s="36"/>
      <c r="N2104" s="37" t="s">
        <v>1031</v>
      </c>
      <c r="O2104" s="37" t="s">
        <v>1032</v>
      </c>
      <c r="P2104" s="39"/>
      <c r="Q2104" s="37" t="s">
        <v>4595</v>
      </c>
      <c r="R2104" s="37"/>
      <c r="S2104" s="37" t="s">
        <v>2902</v>
      </c>
      <c r="T2104" s="31"/>
    </row>
    <row r="2105" spans="1:20">
      <c r="A2105" s="31"/>
      <c r="B2105" s="32"/>
      <c r="C2105" s="33"/>
      <c r="D2105" s="32" t="s">
        <v>4596</v>
      </c>
      <c r="E2105" s="33" t="s">
        <v>116</v>
      </c>
      <c r="F2105" s="34">
        <v>1</v>
      </c>
      <c r="G2105" s="35">
        <v>0</v>
      </c>
      <c r="H2105" s="35">
        <v>0</v>
      </c>
      <c r="I2105" s="35">
        <f>Tabla1[[#This Row],[P.U. M.N.]]*Tabla1[[#This Row],[CANTIDADES DE REFERENCIA]]</f>
        <v>0</v>
      </c>
      <c r="J2105" s="35">
        <f>Tabla1[[#This Row],[P.U. USD]]*Tabla1[[#This Row],[CANTIDADES DE REFERENCIA]]</f>
        <v>0</v>
      </c>
      <c r="K2105" s="36"/>
      <c r="L2105" s="36"/>
      <c r="M2105" s="36"/>
      <c r="N2105" s="37" t="s">
        <v>1031</v>
      </c>
      <c r="O2105" s="37" t="s">
        <v>1032</v>
      </c>
      <c r="P2105" s="39"/>
      <c r="Q2105" s="37" t="s">
        <v>4597</v>
      </c>
      <c r="R2105" s="37"/>
      <c r="S2105" s="37" t="s">
        <v>2902</v>
      </c>
      <c r="T2105" s="31"/>
    </row>
    <row r="2106" spans="1:20">
      <c r="A2106" s="31"/>
      <c r="B2106" s="32"/>
      <c r="C2106" s="33"/>
      <c r="D2106" s="32" t="s">
        <v>4598</v>
      </c>
      <c r="E2106" s="33" t="s">
        <v>116</v>
      </c>
      <c r="F2106" s="34">
        <v>1</v>
      </c>
      <c r="G2106" s="35">
        <v>0</v>
      </c>
      <c r="H2106" s="35">
        <v>0</v>
      </c>
      <c r="I2106" s="35">
        <f>Tabla1[[#This Row],[P.U. M.N.]]*Tabla1[[#This Row],[CANTIDADES DE REFERENCIA]]</f>
        <v>0</v>
      </c>
      <c r="J2106" s="35">
        <f>Tabla1[[#This Row],[P.U. USD]]*Tabla1[[#This Row],[CANTIDADES DE REFERENCIA]]</f>
        <v>0</v>
      </c>
      <c r="K2106" s="36"/>
      <c r="L2106" s="36"/>
      <c r="M2106" s="36"/>
      <c r="N2106" s="37" t="s">
        <v>1031</v>
      </c>
      <c r="O2106" s="37" t="s">
        <v>1032</v>
      </c>
      <c r="P2106" s="39"/>
      <c r="Q2106" s="37" t="s">
        <v>4599</v>
      </c>
      <c r="R2106" s="37" t="s">
        <v>58</v>
      </c>
      <c r="S2106" s="37" t="s">
        <v>2902</v>
      </c>
      <c r="T2106" s="31"/>
    </row>
    <row r="2107" spans="1:20">
      <c r="A2107" s="31"/>
      <c r="B2107" s="32"/>
      <c r="C2107" s="33"/>
      <c r="D2107" s="32" t="s">
        <v>4600</v>
      </c>
      <c r="E2107" s="33" t="s">
        <v>116</v>
      </c>
      <c r="F2107" s="34">
        <v>1</v>
      </c>
      <c r="G2107" s="35">
        <v>0</v>
      </c>
      <c r="H2107" s="35">
        <v>0</v>
      </c>
      <c r="I2107" s="35">
        <f>Tabla1[[#This Row],[P.U. M.N.]]*Tabla1[[#This Row],[CANTIDADES DE REFERENCIA]]</f>
        <v>0</v>
      </c>
      <c r="J2107" s="35">
        <f>Tabla1[[#This Row],[P.U. USD]]*Tabla1[[#This Row],[CANTIDADES DE REFERENCIA]]</f>
        <v>0</v>
      </c>
      <c r="K2107" s="36"/>
      <c r="L2107" s="36"/>
      <c r="M2107" s="36"/>
      <c r="N2107" s="37" t="s">
        <v>1031</v>
      </c>
      <c r="O2107" s="37" t="s">
        <v>1032</v>
      </c>
      <c r="P2107" s="39"/>
      <c r="Q2107" s="37" t="s">
        <v>4601</v>
      </c>
      <c r="R2107" s="37"/>
      <c r="S2107" s="37" t="s">
        <v>2902</v>
      </c>
      <c r="T2107" s="31"/>
    </row>
    <row r="2108" spans="1:20">
      <c r="A2108" s="31"/>
      <c r="B2108" s="32"/>
      <c r="C2108" s="33"/>
      <c r="D2108" s="32" t="s">
        <v>4602</v>
      </c>
      <c r="E2108" s="33" t="s">
        <v>116</v>
      </c>
      <c r="F2108" s="34">
        <v>1</v>
      </c>
      <c r="G2108" s="35">
        <v>0</v>
      </c>
      <c r="H2108" s="35">
        <v>0</v>
      </c>
      <c r="I2108" s="35">
        <f>Tabla1[[#This Row],[P.U. M.N.]]*Tabla1[[#This Row],[CANTIDADES DE REFERENCIA]]</f>
        <v>0</v>
      </c>
      <c r="J2108" s="35">
        <f>Tabla1[[#This Row],[P.U. USD]]*Tabla1[[#This Row],[CANTIDADES DE REFERENCIA]]</f>
        <v>0</v>
      </c>
      <c r="K2108" s="36"/>
      <c r="L2108" s="36"/>
      <c r="M2108" s="36"/>
      <c r="N2108" s="37" t="s">
        <v>1031</v>
      </c>
      <c r="O2108" s="37" t="s">
        <v>1032</v>
      </c>
      <c r="P2108" s="39"/>
      <c r="Q2108" s="37" t="s">
        <v>4603</v>
      </c>
      <c r="R2108" s="37"/>
      <c r="S2108" s="37" t="s">
        <v>2902</v>
      </c>
      <c r="T2108" s="31"/>
    </row>
    <row r="2109" spans="1:20">
      <c r="A2109" s="31"/>
      <c r="B2109" s="32"/>
      <c r="C2109" s="33"/>
      <c r="D2109" s="32" t="s">
        <v>4604</v>
      </c>
      <c r="E2109" s="33" t="s">
        <v>116</v>
      </c>
      <c r="F2109" s="34">
        <v>1</v>
      </c>
      <c r="G2109" s="35">
        <v>0</v>
      </c>
      <c r="H2109" s="35">
        <v>0</v>
      </c>
      <c r="I2109" s="35">
        <f>Tabla1[[#This Row],[P.U. M.N.]]*Tabla1[[#This Row],[CANTIDADES DE REFERENCIA]]</f>
        <v>0</v>
      </c>
      <c r="J2109" s="35">
        <f>Tabla1[[#This Row],[P.U. USD]]*Tabla1[[#This Row],[CANTIDADES DE REFERENCIA]]</f>
        <v>0</v>
      </c>
      <c r="K2109" s="36"/>
      <c r="L2109" s="36"/>
      <c r="M2109" s="36"/>
      <c r="N2109" s="37" t="s">
        <v>1031</v>
      </c>
      <c r="O2109" s="37" t="s">
        <v>1032</v>
      </c>
      <c r="P2109" s="39"/>
      <c r="Q2109" s="37" t="s">
        <v>4605</v>
      </c>
      <c r="R2109" s="37"/>
      <c r="S2109" s="37" t="s">
        <v>2902</v>
      </c>
      <c r="T2109" s="31"/>
    </row>
    <row r="2110" spans="1:20">
      <c r="A2110" s="31"/>
      <c r="B2110" s="32"/>
      <c r="C2110" s="33"/>
      <c r="D2110" s="32" t="s">
        <v>4606</v>
      </c>
      <c r="E2110" s="33" t="s">
        <v>116</v>
      </c>
      <c r="F2110" s="34">
        <v>1</v>
      </c>
      <c r="G2110" s="35">
        <v>0</v>
      </c>
      <c r="H2110" s="35">
        <v>0</v>
      </c>
      <c r="I2110" s="35">
        <f>Tabla1[[#This Row],[P.U. M.N.]]*Tabla1[[#This Row],[CANTIDADES DE REFERENCIA]]</f>
        <v>0</v>
      </c>
      <c r="J2110" s="35">
        <f>Tabla1[[#This Row],[P.U. USD]]*Tabla1[[#This Row],[CANTIDADES DE REFERENCIA]]</f>
        <v>0</v>
      </c>
      <c r="K2110" s="36"/>
      <c r="L2110" s="36"/>
      <c r="M2110" s="36"/>
      <c r="N2110" s="37" t="s">
        <v>1031</v>
      </c>
      <c r="O2110" s="37" t="s">
        <v>1032</v>
      </c>
      <c r="P2110" s="39"/>
      <c r="Q2110" s="37" t="s">
        <v>4607</v>
      </c>
      <c r="R2110" s="37"/>
      <c r="S2110" s="37" t="s">
        <v>2902</v>
      </c>
      <c r="T2110" s="31"/>
    </row>
    <row r="2111" spans="1:20">
      <c r="A2111" s="31"/>
      <c r="B2111" s="32"/>
      <c r="C2111" s="33"/>
      <c r="D2111" s="32" t="s">
        <v>4608</v>
      </c>
      <c r="E2111" s="33" t="s">
        <v>116</v>
      </c>
      <c r="F2111" s="34">
        <v>1</v>
      </c>
      <c r="G2111" s="35">
        <v>0</v>
      </c>
      <c r="H2111" s="35">
        <v>0</v>
      </c>
      <c r="I2111" s="35">
        <f>Tabla1[[#This Row],[P.U. M.N.]]*Tabla1[[#This Row],[CANTIDADES DE REFERENCIA]]</f>
        <v>0</v>
      </c>
      <c r="J2111" s="35">
        <f>Tabla1[[#This Row],[P.U. USD]]*Tabla1[[#This Row],[CANTIDADES DE REFERENCIA]]</f>
        <v>0</v>
      </c>
      <c r="K2111" s="36"/>
      <c r="L2111" s="36"/>
      <c r="M2111" s="36"/>
      <c r="N2111" s="37" t="s">
        <v>1031</v>
      </c>
      <c r="O2111" s="37" t="s">
        <v>1032</v>
      </c>
      <c r="P2111" s="39"/>
      <c r="Q2111" s="37" t="s">
        <v>4609</v>
      </c>
      <c r="R2111" s="37"/>
      <c r="S2111" s="37" t="s">
        <v>2902</v>
      </c>
      <c r="T2111" s="31"/>
    </row>
    <row r="2112" spans="1:20">
      <c r="A2112" s="31"/>
      <c r="B2112" s="32"/>
      <c r="C2112" s="33"/>
      <c r="D2112" s="32" t="s">
        <v>4610</v>
      </c>
      <c r="E2112" s="33" t="s">
        <v>116</v>
      </c>
      <c r="F2112" s="34">
        <v>1</v>
      </c>
      <c r="G2112" s="35">
        <v>0</v>
      </c>
      <c r="H2112" s="35">
        <v>0</v>
      </c>
      <c r="I2112" s="35">
        <f>Tabla1[[#This Row],[P.U. M.N.]]*Tabla1[[#This Row],[CANTIDADES DE REFERENCIA]]</f>
        <v>0</v>
      </c>
      <c r="J2112" s="35">
        <f>Tabla1[[#This Row],[P.U. USD]]*Tabla1[[#This Row],[CANTIDADES DE REFERENCIA]]</f>
        <v>0</v>
      </c>
      <c r="K2112" s="36"/>
      <c r="L2112" s="36"/>
      <c r="M2112" s="36"/>
      <c r="N2112" s="37" t="s">
        <v>1031</v>
      </c>
      <c r="O2112" s="37" t="s">
        <v>1032</v>
      </c>
      <c r="P2112" s="39"/>
      <c r="Q2112" s="37" t="s">
        <v>4611</v>
      </c>
      <c r="R2112" s="37"/>
      <c r="S2112" s="37" t="s">
        <v>2902</v>
      </c>
      <c r="T2112" s="31"/>
    </row>
    <row r="2113" spans="1:20">
      <c r="A2113" s="31"/>
      <c r="B2113" s="32"/>
      <c r="C2113" s="33"/>
      <c r="D2113" s="32" t="s">
        <v>4612</v>
      </c>
      <c r="E2113" s="33" t="s">
        <v>116</v>
      </c>
      <c r="F2113" s="34">
        <v>1</v>
      </c>
      <c r="G2113" s="35">
        <v>0</v>
      </c>
      <c r="H2113" s="35">
        <v>0</v>
      </c>
      <c r="I2113" s="35">
        <f>Tabla1[[#This Row],[P.U. M.N.]]*Tabla1[[#This Row],[CANTIDADES DE REFERENCIA]]</f>
        <v>0</v>
      </c>
      <c r="J2113" s="35">
        <f>Tabla1[[#This Row],[P.U. USD]]*Tabla1[[#This Row],[CANTIDADES DE REFERENCIA]]</f>
        <v>0</v>
      </c>
      <c r="K2113" s="36"/>
      <c r="L2113" s="36"/>
      <c r="M2113" s="36"/>
      <c r="N2113" s="37" t="s">
        <v>1031</v>
      </c>
      <c r="O2113" s="37" t="s">
        <v>1032</v>
      </c>
      <c r="P2113" s="39"/>
      <c r="Q2113" s="37" t="s">
        <v>4613</v>
      </c>
      <c r="R2113" s="37"/>
      <c r="S2113" s="37" t="s">
        <v>2902</v>
      </c>
      <c r="T2113" s="31"/>
    </row>
    <row r="2114" spans="1:20">
      <c r="A2114" s="31"/>
      <c r="B2114" s="32"/>
      <c r="C2114" s="33"/>
      <c r="D2114" s="32" t="s">
        <v>4614</v>
      </c>
      <c r="E2114" s="33" t="s">
        <v>116</v>
      </c>
      <c r="F2114" s="34">
        <v>1</v>
      </c>
      <c r="G2114" s="35">
        <v>0</v>
      </c>
      <c r="H2114" s="35">
        <v>0</v>
      </c>
      <c r="I2114" s="35">
        <f>Tabla1[[#This Row],[P.U. M.N.]]*Tabla1[[#This Row],[CANTIDADES DE REFERENCIA]]</f>
        <v>0</v>
      </c>
      <c r="J2114" s="35">
        <f>Tabla1[[#This Row],[P.U. USD]]*Tabla1[[#This Row],[CANTIDADES DE REFERENCIA]]</f>
        <v>0</v>
      </c>
      <c r="K2114" s="36"/>
      <c r="L2114" s="36"/>
      <c r="M2114" s="36"/>
      <c r="N2114" s="37" t="s">
        <v>1031</v>
      </c>
      <c r="O2114" s="37" t="s">
        <v>1032</v>
      </c>
      <c r="P2114" s="39"/>
      <c r="Q2114" s="37" t="s">
        <v>4615</v>
      </c>
      <c r="R2114" s="37"/>
      <c r="S2114" s="37" t="s">
        <v>2902</v>
      </c>
      <c r="T2114" s="31"/>
    </row>
    <row r="2115" spans="1:20">
      <c r="A2115" s="31"/>
      <c r="B2115" s="32"/>
      <c r="C2115" s="33"/>
      <c r="D2115" s="32" t="s">
        <v>4616</v>
      </c>
      <c r="E2115" s="33" t="s">
        <v>116</v>
      </c>
      <c r="F2115" s="34">
        <v>1</v>
      </c>
      <c r="G2115" s="35">
        <v>0</v>
      </c>
      <c r="H2115" s="35">
        <v>0</v>
      </c>
      <c r="I2115" s="35">
        <f>Tabla1[[#This Row],[P.U. M.N.]]*Tabla1[[#This Row],[CANTIDADES DE REFERENCIA]]</f>
        <v>0</v>
      </c>
      <c r="J2115" s="35">
        <f>Tabla1[[#This Row],[P.U. USD]]*Tabla1[[#This Row],[CANTIDADES DE REFERENCIA]]</f>
        <v>0</v>
      </c>
      <c r="K2115" s="36"/>
      <c r="L2115" s="36"/>
      <c r="M2115" s="36"/>
      <c r="N2115" s="37" t="s">
        <v>3790</v>
      </c>
      <c r="O2115" s="37" t="s">
        <v>3791</v>
      </c>
      <c r="P2115" s="39"/>
      <c r="Q2115" s="37" t="s">
        <v>4617</v>
      </c>
      <c r="R2115" s="37"/>
      <c r="S2115" s="37" t="s">
        <v>3793</v>
      </c>
      <c r="T2115" s="31"/>
    </row>
    <row r="2116" spans="1:20">
      <c r="A2116" s="31"/>
      <c r="B2116" s="32"/>
      <c r="C2116" s="33"/>
      <c r="D2116" s="32" t="s">
        <v>4618</v>
      </c>
      <c r="E2116" s="33" t="s">
        <v>116</v>
      </c>
      <c r="F2116" s="34">
        <v>1</v>
      </c>
      <c r="G2116" s="35">
        <v>0</v>
      </c>
      <c r="H2116" s="35">
        <v>0</v>
      </c>
      <c r="I2116" s="35">
        <f>Tabla1[[#This Row],[P.U. M.N.]]*Tabla1[[#This Row],[CANTIDADES DE REFERENCIA]]</f>
        <v>0</v>
      </c>
      <c r="J2116" s="35">
        <f>Tabla1[[#This Row],[P.U. USD]]*Tabla1[[#This Row],[CANTIDADES DE REFERENCIA]]</f>
        <v>0</v>
      </c>
      <c r="K2116" s="36"/>
      <c r="L2116" s="36"/>
      <c r="M2116" s="36"/>
      <c r="N2116" s="37" t="s">
        <v>3790</v>
      </c>
      <c r="O2116" s="37" t="s">
        <v>3791</v>
      </c>
      <c r="P2116" s="39"/>
      <c r="Q2116" s="37" t="s">
        <v>4619</v>
      </c>
      <c r="R2116" s="37"/>
      <c r="S2116" s="37" t="s">
        <v>3793</v>
      </c>
      <c r="T2116" s="31"/>
    </row>
    <row r="2117" spans="1:20">
      <c r="A2117" s="31"/>
      <c r="B2117" s="32"/>
      <c r="C2117" s="33"/>
      <c r="D2117" s="32" t="s">
        <v>4620</v>
      </c>
      <c r="E2117" s="33" t="s">
        <v>116</v>
      </c>
      <c r="F2117" s="34">
        <v>1</v>
      </c>
      <c r="G2117" s="35">
        <v>0</v>
      </c>
      <c r="H2117" s="35">
        <v>0</v>
      </c>
      <c r="I2117" s="35">
        <f>Tabla1[[#This Row],[P.U. M.N.]]*Tabla1[[#This Row],[CANTIDADES DE REFERENCIA]]</f>
        <v>0</v>
      </c>
      <c r="J2117" s="35">
        <f>Tabla1[[#This Row],[P.U. USD]]*Tabla1[[#This Row],[CANTIDADES DE REFERENCIA]]</f>
        <v>0</v>
      </c>
      <c r="K2117" s="36"/>
      <c r="L2117" s="36"/>
      <c r="M2117" s="36"/>
      <c r="N2117" s="37" t="s">
        <v>3790</v>
      </c>
      <c r="O2117" s="37" t="s">
        <v>3791</v>
      </c>
      <c r="P2117" s="39"/>
      <c r="Q2117" s="37" t="s">
        <v>4621</v>
      </c>
      <c r="R2117" s="37"/>
      <c r="S2117" s="37" t="s">
        <v>3793</v>
      </c>
      <c r="T2117" s="31"/>
    </row>
    <row r="2118" spans="1:20">
      <c r="A2118" s="31"/>
      <c r="B2118" s="32"/>
      <c r="C2118" s="33"/>
      <c r="D2118" s="32" t="s">
        <v>4622</v>
      </c>
      <c r="E2118" s="33" t="s">
        <v>116</v>
      </c>
      <c r="F2118" s="34">
        <v>1</v>
      </c>
      <c r="G2118" s="35">
        <v>0</v>
      </c>
      <c r="H2118" s="35">
        <v>0</v>
      </c>
      <c r="I2118" s="35">
        <f>Tabla1[[#This Row],[P.U. M.N.]]*Tabla1[[#This Row],[CANTIDADES DE REFERENCIA]]</f>
        <v>0</v>
      </c>
      <c r="J2118" s="35">
        <f>Tabla1[[#This Row],[P.U. USD]]*Tabla1[[#This Row],[CANTIDADES DE REFERENCIA]]</f>
        <v>0</v>
      </c>
      <c r="K2118" s="36"/>
      <c r="L2118" s="36"/>
      <c r="M2118" s="36"/>
      <c r="N2118" s="37" t="s">
        <v>3790</v>
      </c>
      <c r="O2118" s="37" t="s">
        <v>3791</v>
      </c>
      <c r="P2118" s="39"/>
      <c r="Q2118" s="37" t="s">
        <v>4623</v>
      </c>
      <c r="R2118" s="37"/>
      <c r="S2118" s="37" t="s">
        <v>3793</v>
      </c>
      <c r="T2118" s="31"/>
    </row>
    <row r="2119" spans="1:20">
      <c r="A2119" s="31"/>
      <c r="B2119" s="32"/>
      <c r="C2119" s="33"/>
      <c r="D2119" s="32" t="s">
        <v>4624</v>
      </c>
      <c r="E2119" s="33" t="s">
        <v>116</v>
      </c>
      <c r="F2119" s="34">
        <v>1</v>
      </c>
      <c r="G2119" s="35">
        <v>0</v>
      </c>
      <c r="H2119" s="35">
        <v>0</v>
      </c>
      <c r="I2119" s="35">
        <f>Tabla1[[#This Row],[P.U. M.N.]]*Tabla1[[#This Row],[CANTIDADES DE REFERENCIA]]</f>
        <v>0</v>
      </c>
      <c r="J2119" s="35">
        <f>Tabla1[[#This Row],[P.U. USD]]*Tabla1[[#This Row],[CANTIDADES DE REFERENCIA]]</f>
        <v>0</v>
      </c>
      <c r="K2119" s="36"/>
      <c r="L2119" s="36"/>
      <c r="M2119" s="36"/>
      <c r="N2119" s="37" t="s">
        <v>3790</v>
      </c>
      <c r="O2119" s="37" t="s">
        <v>3791</v>
      </c>
      <c r="P2119" s="39"/>
      <c r="Q2119" s="37" t="s">
        <v>4625</v>
      </c>
      <c r="R2119" s="37"/>
      <c r="S2119" s="37" t="s">
        <v>3793</v>
      </c>
      <c r="T2119" s="31"/>
    </row>
    <row r="2120" spans="1:20">
      <c r="A2120" s="31"/>
      <c r="B2120" s="32"/>
      <c r="C2120" s="33"/>
      <c r="D2120" s="32" t="s">
        <v>4626</v>
      </c>
      <c r="E2120" s="33" t="s">
        <v>116</v>
      </c>
      <c r="F2120" s="34">
        <v>1</v>
      </c>
      <c r="G2120" s="35">
        <v>0</v>
      </c>
      <c r="H2120" s="35">
        <v>0</v>
      </c>
      <c r="I2120" s="35">
        <f>Tabla1[[#This Row],[P.U. M.N.]]*Tabla1[[#This Row],[CANTIDADES DE REFERENCIA]]</f>
        <v>0</v>
      </c>
      <c r="J2120" s="35">
        <f>Tabla1[[#This Row],[P.U. USD]]*Tabla1[[#This Row],[CANTIDADES DE REFERENCIA]]</f>
        <v>0</v>
      </c>
      <c r="K2120" s="36"/>
      <c r="L2120" s="36"/>
      <c r="M2120" s="36"/>
      <c r="N2120" s="37" t="s">
        <v>3790</v>
      </c>
      <c r="O2120" s="37" t="s">
        <v>3791</v>
      </c>
      <c r="P2120" s="39"/>
      <c r="Q2120" s="37" t="s">
        <v>4627</v>
      </c>
      <c r="R2120" s="37"/>
      <c r="S2120" s="37" t="s">
        <v>3793</v>
      </c>
      <c r="T2120" s="31"/>
    </row>
    <row r="2121" spans="1:20">
      <c r="A2121" s="31"/>
      <c r="B2121" s="32"/>
      <c r="C2121" s="33"/>
      <c r="D2121" s="32" t="s">
        <v>4628</v>
      </c>
      <c r="E2121" s="33" t="s">
        <v>116</v>
      </c>
      <c r="F2121" s="34">
        <v>1</v>
      </c>
      <c r="G2121" s="35">
        <v>0</v>
      </c>
      <c r="H2121" s="35">
        <v>0</v>
      </c>
      <c r="I2121" s="35">
        <f>Tabla1[[#This Row],[P.U. M.N.]]*Tabla1[[#This Row],[CANTIDADES DE REFERENCIA]]</f>
        <v>0</v>
      </c>
      <c r="J2121" s="35">
        <f>Tabla1[[#This Row],[P.U. USD]]*Tabla1[[#This Row],[CANTIDADES DE REFERENCIA]]</f>
        <v>0</v>
      </c>
      <c r="K2121" s="36"/>
      <c r="L2121" s="36"/>
      <c r="M2121" s="36"/>
      <c r="N2121" s="37" t="s">
        <v>3790</v>
      </c>
      <c r="O2121" s="37" t="s">
        <v>3791</v>
      </c>
      <c r="P2121" s="39"/>
      <c r="Q2121" s="37" t="s">
        <v>4629</v>
      </c>
      <c r="R2121" s="37"/>
      <c r="S2121" s="37" t="s">
        <v>3793</v>
      </c>
      <c r="T2121" s="31"/>
    </row>
    <row r="2122" spans="1:20">
      <c r="A2122" s="31"/>
      <c r="B2122" s="32"/>
      <c r="C2122" s="33"/>
      <c r="D2122" s="32" t="s">
        <v>4630</v>
      </c>
      <c r="E2122" s="33" t="s">
        <v>116</v>
      </c>
      <c r="F2122" s="34">
        <v>1</v>
      </c>
      <c r="G2122" s="35">
        <v>0</v>
      </c>
      <c r="H2122" s="35">
        <v>0</v>
      </c>
      <c r="I2122" s="35">
        <f>Tabla1[[#This Row],[P.U. M.N.]]*Tabla1[[#This Row],[CANTIDADES DE REFERENCIA]]</f>
        <v>0</v>
      </c>
      <c r="J2122" s="35">
        <f>Tabla1[[#This Row],[P.U. USD]]*Tabla1[[#This Row],[CANTIDADES DE REFERENCIA]]</f>
        <v>0</v>
      </c>
      <c r="K2122" s="36"/>
      <c r="L2122" s="36"/>
      <c r="M2122" s="36"/>
      <c r="N2122" s="37" t="s">
        <v>3790</v>
      </c>
      <c r="O2122" s="37" t="s">
        <v>3791</v>
      </c>
      <c r="P2122" s="39"/>
      <c r="Q2122" s="37" t="s">
        <v>4631</v>
      </c>
      <c r="R2122" s="37"/>
      <c r="S2122" s="37" t="s">
        <v>3793</v>
      </c>
      <c r="T2122" s="31"/>
    </row>
    <row r="2123" spans="1:20">
      <c r="A2123" s="31"/>
      <c r="B2123" s="32"/>
      <c r="C2123" s="33"/>
      <c r="D2123" s="32" t="s">
        <v>4632</v>
      </c>
      <c r="E2123" s="33" t="s">
        <v>116</v>
      </c>
      <c r="F2123" s="34">
        <v>1</v>
      </c>
      <c r="G2123" s="35">
        <v>0</v>
      </c>
      <c r="H2123" s="35">
        <v>0</v>
      </c>
      <c r="I2123" s="35">
        <f>Tabla1[[#This Row],[P.U. M.N.]]*Tabla1[[#This Row],[CANTIDADES DE REFERENCIA]]</f>
        <v>0</v>
      </c>
      <c r="J2123" s="35">
        <f>Tabla1[[#This Row],[P.U. USD]]*Tabla1[[#This Row],[CANTIDADES DE REFERENCIA]]</f>
        <v>0</v>
      </c>
      <c r="K2123" s="36"/>
      <c r="L2123" s="36"/>
      <c r="M2123" s="36"/>
      <c r="N2123" s="37" t="s">
        <v>3790</v>
      </c>
      <c r="O2123" s="37" t="s">
        <v>3791</v>
      </c>
      <c r="P2123" s="39"/>
      <c r="Q2123" s="37" t="s">
        <v>4633</v>
      </c>
      <c r="R2123" s="37"/>
      <c r="S2123" s="37" t="s">
        <v>3793</v>
      </c>
      <c r="T2123" s="31"/>
    </row>
    <row r="2124" spans="1:20">
      <c r="A2124" s="31"/>
      <c r="B2124" s="32"/>
      <c r="C2124" s="33"/>
      <c r="D2124" s="32" t="s">
        <v>4634</v>
      </c>
      <c r="E2124" s="33" t="s">
        <v>116</v>
      </c>
      <c r="F2124" s="34">
        <v>1</v>
      </c>
      <c r="G2124" s="35">
        <v>0</v>
      </c>
      <c r="H2124" s="35">
        <v>0</v>
      </c>
      <c r="I2124" s="35">
        <f>Tabla1[[#This Row],[P.U. M.N.]]*Tabla1[[#This Row],[CANTIDADES DE REFERENCIA]]</f>
        <v>0</v>
      </c>
      <c r="J2124" s="35">
        <f>Tabla1[[#This Row],[P.U. USD]]*Tabla1[[#This Row],[CANTIDADES DE REFERENCIA]]</f>
        <v>0</v>
      </c>
      <c r="K2124" s="36"/>
      <c r="L2124" s="36"/>
      <c r="M2124" s="36"/>
      <c r="N2124" s="37" t="s">
        <v>3790</v>
      </c>
      <c r="O2124" s="37" t="s">
        <v>3791</v>
      </c>
      <c r="P2124" s="39"/>
      <c r="Q2124" s="37" t="s">
        <v>4635</v>
      </c>
      <c r="R2124" s="37"/>
      <c r="S2124" s="37" t="s">
        <v>3793</v>
      </c>
      <c r="T2124" s="31"/>
    </row>
    <row r="2125" spans="1:20">
      <c r="A2125" s="31"/>
      <c r="B2125" s="32"/>
      <c r="C2125" s="33"/>
      <c r="D2125" s="32" t="s">
        <v>4636</v>
      </c>
      <c r="E2125" s="33" t="s">
        <v>116</v>
      </c>
      <c r="F2125" s="34">
        <v>1</v>
      </c>
      <c r="G2125" s="35">
        <v>0</v>
      </c>
      <c r="H2125" s="35">
        <v>0</v>
      </c>
      <c r="I2125" s="35">
        <f>Tabla1[[#This Row],[P.U. M.N.]]*Tabla1[[#This Row],[CANTIDADES DE REFERENCIA]]</f>
        <v>0</v>
      </c>
      <c r="J2125" s="35">
        <f>Tabla1[[#This Row],[P.U. USD]]*Tabla1[[#This Row],[CANTIDADES DE REFERENCIA]]</f>
        <v>0</v>
      </c>
      <c r="K2125" s="36"/>
      <c r="L2125" s="36"/>
      <c r="M2125" s="36"/>
      <c r="N2125" s="37" t="s">
        <v>3790</v>
      </c>
      <c r="O2125" s="37" t="s">
        <v>3791</v>
      </c>
      <c r="P2125" s="39"/>
      <c r="Q2125" s="37" t="s">
        <v>4637</v>
      </c>
      <c r="R2125" s="37"/>
      <c r="S2125" s="37" t="s">
        <v>3793</v>
      </c>
      <c r="T2125" s="31"/>
    </row>
    <row r="2126" spans="1:20">
      <c r="A2126" s="31"/>
      <c r="B2126" s="32"/>
      <c r="C2126" s="33"/>
      <c r="D2126" s="32" t="s">
        <v>4638</v>
      </c>
      <c r="E2126" s="33" t="s">
        <v>116</v>
      </c>
      <c r="F2126" s="34">
        <v>1</v>
      </c>
      <c r="G2126" s="35">
        <v>0</v>
      </c>
      <c r="H2126" s="35">
        <v>0</v>
      </c>
      <c r="I2126" s="35">
        <f>Tabla1[[#This Row],[P.U. M.N.]]*Tabla1[[#This Row],[CANTIDADES DE REFERENCIA]]</f>
        <v>0</v>
      </c>
      <c r="J2126" s="35">
        <f>Tabla1[[#This Row],[P.U. USD]]*Tabla1[[#This Row],[CANTIDADES DE REFERENCIA]]</f>
        <v>0</v>
      </c>
      <c r="K2126" s="36"/>
      <c r="L2126" s="36"/>
      <c r="M2126" s="36"/>
      <c r="N2126" s="37" t="s">
        <v>3790</v>
      </c>
      <c r="O2126" s="37" t="s">
        <v>3791</v>
      </c>
      <c r="P2126" s="39"/>
      <c r="Q2126" s="37" t="s">
        <v>4639</v>
      </c>
      <c r="R2126" s="37" t="s">
        <v>58</v>
      </c>
      <c r="S2126" s="37" t="s">
        <v>3793</v>
      </c>
      <c r="T2126" s="31"/>
    </row>
    <row r="2127" spans="1:20">
      <c r="A2127" s="31"/>
      <c r="B2127" s="32"/>
      <c r="C2127" s="33"/>
      <c r="D2127" s="32" t="s">
        <v>4640</v>
      </c>
      <c r="E2127" s="33" t="s">
        <v>116</v>
      </c>
      <c r="F2127" s="34">
        <v>1</v>
      </c>
      <c r="G2127" s="35">
        <v>0</v>
      </c>
      <c r="H2127" s="35">
        <v>0</v>
      </c>
      <c r="I2127" s="35">
        <f>Tabla1[[#This Row],[P.U. M.N.]]*Tabla1[[#This Row],[CANTIDADES DE REFERENCIA]]</f>
        <v>0</v>
      </c>
      <c r="J2127" s="35">
        <f>Tabla1[[#This Row],[P.U. USD]]*Tabla1[[#This Row],[CANTIDADES DE REFERENCIA]]</f>
        <v>0</v>
      </c>
      <c r="K2127" s="36"/>
      <c r="L2127" s="36"/>
      <c r="M2127" s="36"/>
      <c r="N2127" s="37" t="s">
        <v>3790</v>
      </c>
      <c r="O2127" s="37" t="s">
        <v>3791</v>
      </c>
      <c r="P2127" s="39"/>
      <c r="Q2127" s="37" t="s">
        <v>4641</v>
      </c>
      <c r="R2127" s="37"/>
      <c r="S2127" s="37" t="s">
        <v>3793</v>
      </c>
      <c r="T2127" s="31"/>
    </row>
    <row r="2128" spans="1:20">
      <c r="A2128" s="31"/>
      <c r="B2128" s="32"/>
      <c r="C2128" s="33"/>
      <c r="D2128" s="32" t="s">
        <v>4642</v>
      </c>
      <c r="E2128" s="33" t="s">
        <v>116</v>
      </c>
      <c r="F2128" s="34">
        <v>1</v>
      </c>
      <c r="G2128" s="35">
        <v>0</v>
      </c>
      <c r="H2128" s="35">
        <v>0</v>
      </c>
      <c r="I2128" s="35">
        <f>Tabla1[[#This Row],[P.U. M.N.]]*Tabla1[[#This Row],[CANTIDADES DE REFERENCIA]]</f>
        <v>0</v>
      </c>
      <c r="J2128" s="35">
        <f>Tabla1[[#This Row],[P.U. USD]]*Tabla1[[#This Row],[CANTIDADES DE REFERENCIA]]</f>
        <v>0</v>
      </c>
      <c r="K2128" s="36"/>
      <c r="L2128" s="36"/>
      <c r="M2128" s="36"/>
      <c r="N2128" s="37" t="s">
        <v>3790</v>
      </c>
      <c r="O2128" s="37" t="s">
        <v>3791</v>
      </c>
      <c r="P2128" s="39"/>
      <c r="Q2128" s="37" t="s">
        <v>4643</v>
      </c>
      <c r="R2128" s="37"/>
      <c r="S2128" s="37" t="s">
        <v>3793</v>
      </c>
      <c r="T2128" s="31"/>
    </row>
    <row r="2129" spans="1:20">
      <c r="A2129" s="31"/>
      <c r="B2129" s="32"/>
      <c r="C2129" s="33"/>
      <c r="D2129" s="32" t="s">
        <v>4644</v>
      </c>
      <c r="E2129" s="33" t="s">
        <v>116</v>
      </c>
      <c r="F2129" s="34">
        <v>1</v>
      </c>
      <c r="G2129" s="35">
        <v>0</v>
      </c>
      <c r="H2129" s="35">
        <v>0</v>
      </c>
      <c r="I2129" s="35">
        <f>Tabla1[[#This Row],[P.U. M.N.]]*Tabla1[[#This Row],[CANTIDADES DE REFERENCIA]]</f>
        <v>0</v>
      </c>
      <c r="J2129" s="35">
        <f>Tabla1[[#This Row],[P.U. USD]]*Tabla1[[#This Row],[CANTIDADES DE REFERENCIA]]</f>
        <v>0</v>
      </c>
      <c r="K2129" s="36"/>
      <c r="L2129" s="36"/>
      <c r="M2129" s="36"/>
      <c r="N2129" s="37" t="s">
        <v>3790</v>
      </c>
      <c r="O2129" s="37" t="s">
        <v>3791</v>
      </c>
      <c r="P2129" s="39"/>
      <c r="Q2129" s="37" t="s">
        <v>4645</v>
      </c>
      <c r="R2129" s="37"/>
      <c r="S2129" s="37" t="s">
        <v>3793</v>
      </c>
      <c r="T2129" s="31"/>
    </row>
    <row r="2130" spans="1:20">
      <c r="A2130" s="31"/>
      <c r="B2130" s="32"/>
      <c r="C2130" s="33"/>
      <c r="D2130" s="32" t="s">
        <v>4646</v>
      </c>
      <c r="E2130" s="33" t="s">
        <v>116</v>
      </c>
      <c r="F2130" s="34">
        <v>1</v>
      </c>
      <c r="G2130" s="35">
        <v>0</v>
      </c>
      <c r="H2130" s="35">
        <v>0</v>
      </c>
      <c r="I2130" s="35">
        <f>Tabla1[[#This Row],[P.U. M.N.]]*Tabla1[[#This Row],[CANTIDADES DE REFERENCIA]]</f>
        <v>0</v>
      </c>
      <c r="J2130" s="35">
        <f>Tabla1[[#This Row],[P.U. USD]]*Tabla1[[#This Row],[CANTIDADES DE REFERENCIA]]</f>
        <v>0</v>
      </c>
      <c r="K2130" s="36"/>
      <c r="L2130" s="36"/>
      <c r="M2130" s="36"/>
      <c r="N2130" s="37" t="s">
        <v>3790</v>
      </c>
      <c r="O2130" s="37" t="s">
        <v>3791</v>
      </c>
      <c r="P2130" s="39"/>
      <c r="Q2130" s="37" t="s">
        <v>4647</v>
      </c>
      <c r="R2130" s="37"/>
      <c r="S2130" s="37" t="s">
        <v>3793</v>
      </c>
      <c r="T2130" s="31"/>
    </row>
    <row r="2131" spans="1:20">
      <c r="A2131" s="31"/>
      <c r="B2131" s="32"/>
      <c r="C2131" s="33"/>
      <c r="D2131" s="32" t="s">
        <v>4648</v>
      </c>
      <c r="E2131" s="33" t="s">
        <v>116</v>
      </c>
      <c r="F2131" s="34">
        <v>1</v>
      </c>
      <c r="G2131" s="35">
        <v>0</v>
      </c>
      <c r="H2131" s="35">
        <v>0</v>
      </c>
      <c r="I2131" s="35">
        <f>Tabla1[[#This Row],[P.U. M.N.]]*Tabla1[[#This Row],[CANTIDADES DE REFERENCIA]]</f>
        <v>0</v>
      </c>
      <c r="J2131" s="35">
        <f>Tabla1[[#This Row],[P.U. USD]]*Tabla1[[#This Row],[CANTIDADES DE REFERENCIA]]</f>
        <v>0</v>
      </c>
      <c r="K2131" s="36"/>
      <c r="L2131" s="36"/>
      <c r="M2131" s="36"/>
      <c r="N2131" s="37" t="s">
        <v>3790</v>
      </c>
      <c r="O2131" s="37" t="s">
        <v>3791</v>
      </c>
      <c r="P2131" s="39"/>
      <c r="Q2131" s="37" t="s">
        <v>4649</v>
      </c>
      <c r="R2131" s="37"/>
      <c r="S2131" s="37" t="s">
        <v>3793</v>
      </c>
      <c r="T2131" s="31"/>
    </row>
    <row r="2132" spans="1:20">
      <c r="A2132" s="31"/>
      <c r="B2132" s="32"/>
      <c r="C2132" s="33"/>
      <c r="D2132" s="32" t="s">
        <v>4650</v>
      </c>
      <c r="E2132" s="33" t="s">
        <v>116</v>
      </c>
      <c r="F2132" s="34">
        <v>1</v>
      </c>
      <c r="G2132" s="35">
        <v>0</v>
      </c>
      <c r="H2132" s="35">
        <v>0</v>
      </c>
      <c r="I2132" s="35">
        <f>Tabla1[[#This Row],[P.U. M.N.]]*Tabla1[[#This Row],[CANTIDADES DE REFERENCIA]]</f>
        <v>0</v>
      </c>
      <c r="J2132" s="35">
        <f>Tabla1[[#This Row],[P.U. USD]]*Tabla1[[#This Row],[CANTIDADES DE REFERENCIA]]</f>
        <v>0</v>
      </c>
      <c r="K2132" s="36"/>
      <c r="L2132" s="36"/>
      <c r="M2132" s="36"/>
      <c r="N2132" s="37" t="s">
        <v>3790</v>
      </c>
      <c r="O2132" s="37" t="s">
        <v>3791</v>
      </c>
      <c r="P2132" s="39"/>
      <c r="Q2132" s="37" t="s">
        <v>4651</v>
      </c>
      <c r="R2132" s="37"/>
      <c r="S2132" s="37" t="s">
        <v>3793</v>
      </c>
      <c r="T2132" s="31"/>
    </row>
    <row r="2133" spans="1:20">
      <c r="A2133" s="31"/>
      <c r="B2133" s="32"/>
      <c r="C2133" s="33"/>
      <c r="D2133" s="32" t="s">
        <v>4652</v>
      </c>
      <c r="E2133" s="33" t="s">
        <v>116</v>
      </c>
      <c r="F2133" s="34">
        <v>1</v>
      </c>
      <c r="G2133" s="35">
        <v>0</v>
      </c>
      <c r="H2133" s="35">
        <v>0</v>
      </c>
      <c r="I2133" s="35">
        <f>Tabla1[[#This Row],[P.U. M.N.]]*Tabla1[[#This Row],[CANTIDADES DE REFERENCIA]]</f>
        <v>0</v>
      </c>
      <c r="J2133" s="35">
        <f>Tabla1[[#This Row],[P.U. USD]]*Tabla1[[#This Row],[CANTIDADES DE REFERENCIA]]</f>
        <v>0</v>
      </c>
      <c r="K2133" s="36"/>
      <c r="L2133" s="36"/>
      <c r="M2133" s="36"/>
      <c r="N2133" s="37" t="s">
        <v>3790</v>
      </c>
      <c r="O2133" s="37" t="s">
        <v>3791</v>
      </c>
      <c r="P2133" s="39"/>
      <c r="Q2133" s="37" t="s">
        <v>4653</v>
      </c>
      <c r="R2133" s="37"/>
      <c r="S2133" s="37" t="s">
        <v>3793</v>
      </c>
      <c r="T2133" s="31"/>
    </row>
    <row r="2134" spans="1:20">
      <c r="A2134" s="31"/>
      <c r="B2134" s="32"/>
      <c r="C2134" s="33"/>
      <c r="D2134" s="32" t="s">
        <v>4654</v>
      </c>
      <c r="E2134" s="33" t="s">
        <v>116</v>
      </c>
      <c r="F2134" s="34">
        <v>1</v>
      </c>
      <c r="G2134" s="35">
        <v>0</v>
      </c>
      <c r="H2134" s="35">
        <v>0</v>
      </c>
      <c r="I2134" s="35">
        <f>Tabla1[[#This Row],[P.U. M.N.]]*Tabla1[[#This Row],[CANTIDADES DE REFERENCIA]]</f>
        <v>0</v>
      </c>
      <c r="J2134" s="35">
        <f>Tabla1[[#This Row],[P.U. USD]]*Tabla1[[#This Row],[CANTIDADES DE REFERENCIA]]</f>
        <v>0</v>
      </c>
      <c r="K2134" s="36"/>
      <c r="L2134" s="36"/>
      <c r="M2134" s="36"/>
      <c r="N2134" s="37" t="s">
        <v>3790</v>
      </c>
      <c r="O2134" s="37" t="s">
        <v>3791</v>
      </c>
      <c r="P2134" s="39"/>
      <c r="Q2134" s="37" t="s">
        <v>4655</v>
      </c>
      <c r="R2134" s="37"/>
      <c r="S2134" s="37" t="s">
        <v>3793</v>
      </c>
      <c r="T2134" s="31"/>
    </row>
    <row r="2135" spans="1:20">
      <c r="A2135" s="31"/>
      <c r="B2135" s="32"/>
      <c r="C2135" s="33"/>
      <c r="D2135" s="32" t="s">
        <v>4656</v>
      </c>
      <c r="E2135" s="33" t="s">
        <v>61</v>
      </c>
      <c r="F2135" s="34">
        <v>1</v>
      </c>
      <c r="G2135" s="35">
        <v>0</v>
      </c>
      <c r="H2135" s="35">
        <v>0</v>
      </c>
      <c r="I2135" s="35">
        <f>Tabla1[[#This Row],[P.U. M.N.]]*Tabla1[[#This Row],[CANTIDADES DE REFERENCIA]]</f>
        <v>0</v>
      </c>
      <c r="J2135" s="35">
        <f>Tabla1[[#This Row],[P.U. USD]]*Tabla1[[#This Row],[CANTIDADES DE REFERENCIA]]</f>
        <v>0</v>
      </c>
      <c r="K2135" s="36"/>
      <c r="L2135" s="36"/>
      <c r="M2135" s="36"/>
      <c r="N2135" s="37" t="s">
        <v>3790</v>
      </c>
      <c r="O2135" s="37" t="s">
        <v>3791</v>
      </c>
      <c r="P2135" s="39"/>
      <c r="Q2135" s="37" t="s">
        <v>4657</v>
      </c>
      <c r="R2135" s="37"/>
      <c r="S2135" s="37" t="s">
        <v>4658</v>
      </c>
      <c r="T2135" s="31"/>
    </row>
    <row r="2136" spans="1:20">
      <c r="A2136" s="31"/>
      <c r="B2136" s="32"/>
      <c r="C2136" s="33"/>
      <c r="D2136" s="32" t="s">
        <v>4659</v>
      </c>
      <c r="E2136" s="33" t="s">
        <v>61</v>
      </c>
      <c r="F2136" s="34">
        <v>1</v>
      </c>
      <c r="G2136" s="35">
        <v>0</v>
      </c>
      <c r="H2136" s="35">
        <v>0</v>
      </c>
      <c r="I2136" s="35">
        <f>Tabla1[[#This Row],[P.U. M.N.]]*Tabla1[[#This Row],[CANTIDADES DE REFERENCIA]]</f>
        <v>0</v>
      </c>
      <c r="J2136" s="35">
        <f>Tabla1[[#This Row],[P.U. USD]]*Tabla1[[#This Row],[CANTIDADES DE REFERENCIA]]</f>
        <v>0</v>
      </c>
      <c r="K2136" s="36"/>
      <c r="L2136" s="36"/>
      <c r="M2136" s="36"/>
      <c r="N2136" s="37" t="s">
        <v>3790</v>
      </c>
      <c r="O2136" s="37" t="s">
        <v>3791</v>
      </c>
      <c r="P2136" s="39"/>
      <c r="Q2136" s="37" t="s">
        <v>4660</v>
      </c>
      <c r="R2136" s="37"/>
      <c r="S2136" s="37" t="s">
        <v>4658</v>
      </c>
      <c r="T2136" s="31"/>
    </row>
    <row r="2137" spans="1:20">
      <c r="A2137" s="31"/>
      <c r="B2137" s="32"/>
      <c r="C2137" s="33"/>
      <c r="D2137" s="32" t="s">
        <v>4661</v>
      </c>
      <c r="E2137" s="33" t="s">
        <v>116</v>
      </c>
      <c r="F2137" s="34">
        <v>1</v>
      </c>
      <c r="G2137" s="35">
        <v>0</v>
      </c>
      <c r="H2137" s="35">
        <v>0</v>
      </c>
      <c r="I2137" s="35">
        <f>Tabla1[[#This Row],[P.U. M.N.]]*Tabla1[[#This Row],[CANTIDADES DE REFERENCIA]]</f>
        <v>0</v>
      </c>
      <c r="J2137" s="35">
        <f>Tabla1[[#This Row],[P.U. USD]]*Tabla1[[#This Row],[CANTIDADES DE REFERENCIA]]</f>
        <v>0</v>
      </c>
      <c r="K2137" s="36"/>
      <c r="L2137" s="36"/>
      <c r="M2137" s="36"/>
      <c r="N2137" s="37" t="s">
        <v>3790</v>
      </c>
      <c r="O2137" s="37" t="s">
        <v>3791</v>
      </c>
      <c r="P2137" s="39"/>
      <c r="Q2137" s="37" t="s">
        <v>4662</v>
      </c>
      <c r="R2137" s="37"/>
      <c r="S2137" s="37" t="s">
        <v>3793</v>
      </c>
      <c r="T2137" s="31"/>
    </row>
    <row r="2138" spans="1:20">
      <c r="A2138" s="31"/>
      <c r="B2138" s="32"/>
      <c r="C2138" s="33"/>
      <c r="D2138" s="32" t="s">
        <v>4663</v>
      </c>
      <c r="E2138" s="33" t="s">
        <v>1058</v>
      </c>
      <c r="F2138" s="34">
        <v>1</v>
      </c>
      <c r="G2138" s="35">
        <v>0</v>
      </c>
      <c r="H2138" s="35">
        <v>0</v>
      </c>
      <c r="I2138" s="35">
        <f>Tabla1[[#This Row],[P.U. M.N.]]*Tabla1[[#This Row],[CANTIDADES DE REFERENCIA]]</f>
        <v>0</v>
      </c>
      <c r="J2138" s="35">
        <f>Tabla1[[#This Row],[P.U. USD]]*Tabla1[[#This Row],[CANTIDADES DE REFERENCIA]]</f>
        <v>0</v>
      </c>
      <c r="K2138" s="36"/>
      <c r="L2138" s="36"/>
      <c r="M2138" s="36"/>
      <c r="N2138" s="37" t="s">
        <v>3790</v>
      </c>
      <c r="O2138" s="37" t="s">
        <v>3791</v>
      </c>
      <c r="P2138" s="39"/>
      <c r="Q2138" s="37" t="s">
        <v>4664</v>
      </c>
      <c r="R2138" s="37"/>
      <c r="S2138" s="37" t="s">
        <v>3793</v>
      </c>
      <c r="T2138" s="31"/>
    </row>
    <row r="2139" spans="1:20">
      <c r="A2139" s="31"/>
      <c r="B2139" s="32"/>
      <c r="C2139" s="33"/>
      <c r="D2139" s="32" t="s">
        <v>4665</v>
      </c>
      <c r="E2139" s="33" t="s">
        <v>1058</v>
      </c>
      <c r="F2139" s="34">
        <v>1</v>
      </c>
      <c r="G2139" s="35">
        <v>0</v>
      </c>
      <c r="H2139" s="35">
        <v>0</v>
      </c>
      <c r="I2139" s="35">
        <f>Tabla1[[#This Row],[P.U. M.N.]]*Tabla1[[#This Row],[CANTIDADES DE REFERENCIA]]</f>
        <v>0</v>
      </c>
      <c r="J2139" s="35">
        <f>Tabla1[[#This Row],[P.U. USD]]*Tabla1[[#This Row],[CANTIDADES DE REFERENCIA]]</f>
        <v>0</v>
      </c>
      <c r="K2139" s="36"/>
      <c r="L2139" s="36"/>
      <c r="M2139" s="36"/>
      <c r="N2139" s="37" t="s">
        <v>3790</v>
      </c>
      <c r="O2139" s="37" t="s">
        <v>3791</v>
      </c>
      <c r="P2139" s="39"/>
      <c r="Q2139" s="37" t="s">
        <v>4666</v>
      </c>
      <c r="R2139" s="37"/>
      <c r="S2139" s="37" t="s">
        <v>3793</v>
      </c>
      <c r="T2139" s="31"/>
    </row>
    <row r="2140" spans="1:20">
      <c r="A2140" s="31"/>
      <c r="B2140" s="32"/>
      <c r="C2140" s="33"/>
      <c r="D2140" s="32" t="s">
        <v>4667</v>
      </c>
      <c r="E2140" s="33" t="s">
        <v>1058</v>
      </c>
      <c r="F2140" s="34">
        <v>1</v>
      </c>
      <c r="G2140" s="35">
        <v>0</v>
      </c>
      <c r="H2140" s="35">
        <v>0</v>
      </c>
      <c r="I2140" s="35">
        <f>Tabla1[[#This Row],[P.U. M.N.]]*Tabla1[[#This Row],[CANTIDADES DE REFERENCIA]]</f>
        <v>0</v>
      </c>
      <c r="J2140" s="35">
        <f>Tabla1[[#This Row],[P.U. USD]]*Tabla1[[#This Row],[CANTIDADES DE REFERENCIA]]</f>
        <v>0</v>
      </c>
      <c r="K2140" s="36"/>
      <c r="L2140" s="36"/>
      <c r="M2140" s="36"/>
      <c r="N2140" s="37" t="s">
        <v>3790</v>
      </c>
      <c r="O2140" s="37" t="s">
        <v>3791</v>
      </c>
      <c r="P2140" s="39"/>
      <c r="Q2140" s="37" t="s">
        <v>4668</v>
      </c>
      <c r="R2140" s="37"/>
      <c r="S2140" s="37" t="s">
        <v>3793</v>
      </c>
      <c r="T2140" s="31"/>
    </row>
    <row r="2141" spans="1:20">
      <c r="A2141" s="31"/>
      <c r="B2141" s="32"/>
      <c r="C2141" s="33"/>
      <c r="D2141" s="32" t="s">
        <v>4669</v>
      </c>
      <c r="E2141" s="33" t="s">
        <v>54</v>
      </c>
      <c r="F2141" s="34">
        <v>1</v>
      </c>
      <c r="G2141" s="35">
        <v>0</v>
      </c>
      <c r="H2141" s="35">
        <v>0</v>
      </c>
      <c r="I2141" s="35">
        <f>Tabla1[[#This Row],[P.U. M.N.]]*Tabla1[[#This Row],[CANTIDADES DE REFERENCIA]]</f>
        <v>0</v>
      </c>
      <c r="J2141" s="35">
        <f>Tabla1[[#This Row],[P.U. USD]]*Tabla1[[#This Row],[CANTIDADES DE REFERENCIA]]</f>
        <v>0</v>
      </c>
      <c r="K2141" s="36"/>
      <c r="L2141" s="36"/>
      <c r="M2141" s="36"/>
      <c r="N2141" s="37" t="s">
        <v>3790</v>
      </c>
      <c r="O2141" s="37" t="s">
        <v>3791</v>
      </c>
      <c r="P2141" s="39"/>
      <c r="Q2141" s="37" t="s">
        <v>4670</v>
      </c>
      <c r="R2141" s="37"/>
      <c r="S2141" s="37" t="s">
        <v>3793</v>
      </c>
      <c r="T2141" s="31"/>
    </row>
    <row r="2142" spans="1:20">
      <c r="A2142" s="31"/>
      <c r="B2142" s="32"/>
      <c r="C2142" s="33"/>
      <c r="D2142" s="32" t="s">
        <v>4671</v>
      </c>
      <c r="E2142" s="33" t="s">
        <v>54</v>
      </c>
      <c r="F2142" s="34">
        <v>1</v>
      </c>
      <c r="G2142" s="35">
        <v>0</v>
      </c>
      <c r="H2142" s="35">
        <v>0</v>
      </c>
      <c r="I2142" s="35">
        <f>Tabla1[[#This Row],[P.U. M.N.]]*Tabla1[[#This Row],[CANTIDADES DE REFERENCIA]]</f>
        <v>0</v>
      </c>
      <c r="J2142" s="35">
        <f>Tabla1[[#This Row],[P.U. USD]]*Tabla1[[#This Row],[CANTIDADES DE REFERENCIA]]</f>
        <v>0</v>
      </c>
      <c r="K2142" s="36"/>
      <c r="L2142" s="36"/>
      <c r="M2142" s="36"/>
      <c r="N2142" s="37" t="s">
        <v>3790</v>
      </c>
      <c r="O2142" s="37" t="s">
        <v>3791</v>
      </c>
      <c r="P2142" s="39"/>
      <c r="Q2142" s="37" t="s">
        <v>4672</v>
      </c>
      <c r="R2142" s="37"/>
      <c r="S2142" s="37" t="s">
        <v>3793</v>
      </c>
      <c r="T2142" s="31"/>
    </row>
    <row r="2143" spans="1:20">
      <c r="A2143" s="31"/>
      <c r="B2143" s="32"/>
      <c r="C2143" s="33"/>
      <c r="D2143" s="32" t="s">
        <v>4673</v>
      </c>
      <c r="E2143" s="33" t="s">
        <v>54</v>
      </c>
      <c r="F2143" s="34">
        <v>1</v>
      </c>
      <c r="G2143" s="35">
        <v>0</v>
      </c>
      <c r="H2143" s="35">
        <v>0</v>
      </c>
      <c r="I2143" s="35">
        <f>Tabla1[[#This Row],[P.U. M.N.]]*Tabla1[[#This Row],[CANTIDADES DE REFERENCIA]]</f>
        <v>0</v>
      </c>
      <c r="J2143" s="35">
        <f>Tabla1[[#This Row],[P.U. USD]]*Tabla1[[#This Row],[CANTIDADES DE REFERENCIA]]</f>
        <v>0</v>
      </c>
      <c r="K2143" s="36"/>
      <c r="L2143" s="36"/>
      <c r="M2143" s="36"/>
      <c r="N2143" s="37" t="s">
        <v>3790</v>
      </c>
      <c r="O2143" s="37" t="s">
        <v>3791</v>
      </c>
      <c r="P2143" s="39"/>
      <c r="Q2143" s="37" t="s">
        <v>4674</v>
      </c>
      <c r="R2143" s="37"/>
      <c r="S2143" s="37" t="s">
        <v>3793</v>
      </c>
      <c r="T2143" s="31"/>
    </row>
    <row r="2144" spans="1:20">
      <c r="A2144" s="31"/>
      <c r="B2144" s="32"/>
      <c r="C2144" s="33"/>
      <c r="D2144" s="32" t="s">
        <v>4675</v>
      </c>
      <c r="E2144" s="33" t="s">
        <v>116</v>
      </c>
      <c r="F2144" s="34">
        <v>1</v>
      </c>
      <c r="G2144" s="35">
        <v>0</v>
      </c>
      <c r="H2144" s="35">
        <v>0</v>
      </c>
      <c r="I2144" s="35">
        <f>Tabla1[[#This Row],[P.U. M.N.]]*Tabla1[[#This Row],[CANTIDADES DE REFERENCIA]]</f>
        <v>0</v>
      </c>
      <c r="J2144" s="35">
        <f>Tabla1[[#This Row],[P.U. USD]]*Tabla1[[#This Row],[CANTIDADES DE REFERENCIA]]</f>
        <v>0</v>
      </c>
      <c r="K2144" s="36"/>
      <c r="L2144" s="36"/>
      <c r="M2144" s="36"/>
      <c r="N2144" s="37" t="s">
        <v>3790</v>
      </c>
      <c r="O2144" s="37" t="s">
        <v>3791</v>
      </c>
      <c r="P2144" s="39"/>
      <c r="Q2144" s="37" t="s">
        <v>4676</v>
      </c>
      <c r="R2144" s="37"/>
      <c r="S2144" s="37" t="s">
        <v>3793</v>
      </c>
      <c r="T2144" s="31"/>
    </row>
    <row r="2145" spans="1:20">
      <c r="A2145" s="31"/>
      <c r="B2145" s="32"/>
      <c r="C2145" s="33"/>
      <c r="D2145" s="32" t="s">
        <v>4677</v>
      </c>
      <c r="E2145" s="33" t="s">
        <v>116</v>
      </c>
      <c r="F2145" s="34">
        <v>1</v>
      </c>
      <c r="G2145" s="35">
        <v>0</v>
      </c>
      <c r="H2145" s="35">
        <v>0</v>
      </c>
      <c r="I2145" s="35">
        <f>Tabla1[[#This Row],[P.U. M.N.]]*Tabla1[[#This Row],[CANTIDADES DE REFERENCIA]]</f>
        <v>0</v>
      </c>
      <c r="J2145" s="35">
        <f>Tabla1[[#This Row],[P.U. USD]]*Tabla1[[#This Row],[CANTIDADES DE REFERENCIA]]</f>
        <v>0</v>
      </c>
      <c r="K2145" s="36"/>
      <c r="L2145" s="36"/>
      <c r="M2145" s="36"/>
      <c r="N2145" s="37" t="s">
        <v>3790</v>
      </c>
      <c r="O2145" s="37" t="s">
        <v>3791</v>
      </c>
      <c r="P2145" s="39"/>
      <c r="Q2145" s="37" t="s">
        <v>4678</v>
      </c>
      <c r="R2145" s="37"/>
      <c r="S2145" s="37" t="s">
        <v>3793</v>
      </c>
      <c r="T2145" s="31"/>
    </row>
    <row r="2146" spans="1:20">
      <c r="A2146" s="31"/>
      <c r="B2146" s="32"/>
      <c r="C2146" s="33"/>
      <c r="D2146" s="32" t="s">
        <v>4679</v>
      </c>
      <c r="E2146" s="33" t="s">
        <v>116</v>
      </c>
      <c r="F2146" s="34">
        <v>1</v>
      </c>
      <c r="G2146" s="35">
        <v>0</v>
      </c>
      <c r="H2146" s="35">
        <v>0</v>
      </c>
      <c r="I2146" s="35">
        <f>Tabla1[[#This Row],[P.U. M.N.]]*Tabla1[[#This Row],[CANTIDADES DE REFERENCIA]]</f>
        <v>0</v>
      </c>
      <c r="J2146" s="35">
        <f>Tabla1[[#This Row],[P.U. USD]]*Tabla1[[#This Row],[CANTIDADES DE REFERENCIA]]</f>
        <v>0</v>
      </c>
      <c r="K2146" s="36"/>
      <c r="L2146" s="36"/>
      <c r="M2146" s="36"/>
      <c r="N2146" s="37" t="s">
        <v>3790</v>
      </c>
      <c r="O2146" s="37" t="s">
        <v>3791</v>
      </c>
      <c r="P2146" s="39"/>
      <c r="Q2146" s="37" t="s">
        <v>4680</v>
      </c>
      <c r="R2146" s="37"/>
      <c r="S2146" s="37" t="s">
        <v>3793</v>
      </c>
      <c r="T2146" s="31"/>
    </row>
    <row r="2147" spans="1:20">
      <c r="A2147" s="31"/>
      <c r="B2147" s="32"/>
      <c r="C2147" s="33"/>
      <c r="D2147" s="32" t="s">
        <v>4681</v>
      </c>
      <c r="E2147" s="33" t="s">
        <v>116</v>
      </c>
      <c r="F2147" s="34">
        <v>1</v>
      </c>
      <c r="G2147" s="35">
        <v>0</v>
      </c>
      <c r="H2147" s="35">
        <v>0</v>
      </c>
      <c r="I2147" s="35">
        <f>Tabla1[[#This Row],[P.U. M.N.]]*Tabla1[[#This Row],[CANTIDADES DE REFERENCIA]]</f>
        <v>0</v>
      </c>
      <c r="J2147" s="35">
        <f>Tabla1[[#This Row],[P.U. USD]]*Tabla1[[#This Row],[CANTIDADES DE REFERENCIA]]</f>
        <v>0</v>
      </c>
      <c r="K2147" s="36"/>
      <c r="L2147" s="36"/>
      <c r="M2147" s="36"/>
      <c r="N2147" s="37" t="s">
        <v>3790</v>
      </c>
      <c r="O2147" s="37" t="s">
        <v>3791</v>
      </c>
      <c r="P2147" s="39"/>
      <c r="Q2147" s="37" t="s">
        <v>4682</v>
      </c>
      <c r="R2147" s="37"/>
      <c r="S2147" s="37" t="s">
        <v>3793</v>
      </c>
      <c r="T2147" s="31"/>
    </row>
    <row r="2148" spans="1:20">
      <c r="A2148" s="31"/>
      <c r="B2148" s="32"/>
      <c r="C2148" s="33"/>
      <c r="D2148" s="32" t="s">
        <v>4683</v>
      </c>
      <c r="E2148" s="33" t="s">
        <v>135</v>
      </c>
      <c r="F2148" s="34">
        <v>1</v>
      </c>
      <c r="G2148" s="35">
        <v>0</v>
      </c>
      <c r="H2148" s="35">
        <v>0</v>
      </c>
      <c r="I2148" s="35">
        <f>Tabla1[[#This Row],[P.U. M.N.]]*Tabla1[[#This Row],[CANTIDADES DE REFERENCIA]]</f>
        <v>0</v>
      </c>
      <c r="J2148" s="35">
        <f>Tabla1[[#This Row],[P.U. USD]]*Tabla1[[#This Row],[CANTIDADES DE REFERENCIA]]</f>
        <v>0</v>
      </c>
      <c r="K2148" s="36"/>
      <c r="L2148" s="36"/>
      <c r="M2148" s="36"/>
      <c r="N2148" s="37" t="s">
        <v>3790</v>
      </c>
      <c r="O2148" s="37" t="s">
        <v>3791</v>
      </c>
      <c r="P2148" s="39"/>
      <c r="Q2148" s="37" t="s">
        <v>4684</v>
      </c>
      <c r="R2148" s="37"/>
      <c r="S2148" s="37" t="s">
        <v>3793</v>
      </c>
      <c r="T2148" s="31"/>
    </row>
    <row r="2149" spans="1:20">
      <c r="A2149" s="31"/>
      <c r="B2149" s="32"/>
      <c r="C2149" s="33"/>
      <c r="D2149" s="32" t="s">
        <v>4685</v>
      </c>
      <c r="E2149" s="33" t="s">
        <v>42</v>
      </c>
      <c r="F2149" s="34">
        <v>1</v>
      </c>
      <c r="G2149" s="35">
        <v>0</v>
      </c>
      <c r="H2149" s="35">
        <v>0</v>
      </c>
      <c r="I2149" s="35">
        <f>Tabla1[[#This Row],[P.U. M.N.]]*Tabla1[[#This Row],[CANTIDADES DE REFERENCIA]]</f>
        <v>0</v>
      </c>
      <c r="J2149" s="35">
        <f>Tabla1[[#This Row],[P.U. USD]]*Tabla1[[#This Row],[CANTIDADES DE REFERENCIA]]</f>
        <v>0</v>
      </c>
      <c r="K2149" s="36"/>
      <c r="L2149" s="36"/>
      <c r="M2149" s="36"/>
      <c r="N2149" s="37"/>
      <c r="O2149" s="37"/>
      <c r="P2149" s="39"/>
      <c r="Q2149" s="37" t="s">
        <v>4686</v>
      </c>
      <c r="R2149" s="37"/>
      <c r="S2149" s="37" t="s">
        <v>4687</v>
      </c>
      <c r="T2149" s="31"/>
    </row>
    <row r="2150" spans="1:20">
      <c r="A2150" s="31"/>
      <c r="B2150" s="32"/>
      <c r="C2150" s="33"/>
      <c r="D2150" s="32" t="s">
        <v>4688</v>
      </c>
      <c r="E2150" s="33" t="s">
        <v>42</v>
      </c>
      <c r="F2150" s="34">
        <v>1</v>
      </c>
      <c r="G2150" s="35">
        <v>0</v>
      </c>
      <c r="H2150" s="35">
        <v>0</v>
      </c>
      <c r="I2150" s="35">
        <f>Tabla1[[#This Row],[P.U. M.N.]]*Tabla1[[#This Row],[CANTIDADES DE REFERENCIA]]</f>
        <v>0</v>
      </c>
      <c r="J2150" s="35">
        <f>Tabla1[[#This Row],[P.U. USD]]*Tabla1[[#This Row],[CANTIDADES DE REFERENCIA]]</f>
        <v>0</v>
      </c>
      <c r="K2150" s="36"/>
      <c r="L2150" s="36"/>
      <c r="M2150" s="36"/>
      <c r="N2150" s="37"/>
      <c r="O2150" s="37"/>
      <c r="P2150" s="39"/>
      <c r="Q2150" s="37" t="s">
        <v>4689</v>
      </c>
      <c r="R2150" s="37"/>
      <c r="S2150" s="37" t="s">
        <v>4687</v>
      </c>
      <c r="T2150" s="31"/>
    </row>
    <row r="2151" spans="1:20">
      <c r="A2151" s="31"/>
      <c r="B2151" s="32"/>
      <c r="C2151" s="33"/>
      <c r="D2151" s="32" t="s">
        <v>4690</v>
      </c>
      <c r="E2151" s="33" t="s">
        <v>42</v>
      </c>
      <c r="F2151" s="34">
        <v>1</v>
      </c>
      <c r="G2151" s="35">
        <v>0</v>
      </c>
      <c r="H2151" s="35">
        <v>0</v>
      </c>
      <c r="I2151" s="35">
        <f>Tabla1[[#This Row],[P.U. M.N.]]*Tabla1[[#This Row],[CANTIDADES DE REFERENCIA]]</f>
        <v>0</v>
      </c>
      <c r="J2151" s="35">
        <f>Tabla1[[#This Row],[P.U. USD]]*Tabla1[[#This Row],[CANTIDADES DE REFERENCIA]]</f>
        <v>0</v>
      </c>
      <c r="K2151" s="36"/>
      <c r="L2151" s="36"/>
      <c r="M2151" s="36"/>
      <c r="N2151" s="37"/>
      <c r="O2151" s="37"/>
      <c r="P2151" s="39"/>
      <c r="Q2151" s="37" t="s">
        <v>4691</v>
      </c>
      <c r="R2151" s="37"/>
      <c r="S2151" s="37" t="s">
        <v>4687</v>
      </c>
      <c r="T2151" s="31"/>
    </row>
    <row r="2152" spans="1:20">
      <c r="A2152" s="31"/>
      <c r="B2152" s="32"/>
      <c r="C2152" s="33"/>
      <c r="D2152" s="32" t="s">
        <v>4692</v>
      </c>
      <c r="E2152" s="33" t="s">
        <v>42</v>
      </c>
      <c r="F2152" s="34">
        <v>1</v>
      </c>
      <c r="G2152" s="35">
        <v>0</v>
      </c>
      <c r="H2152" s="35">
        <v>0</v>
      </c>
      <c r="I2152" s="35">
        <f>Tabla1[[#This Row],[P.U. M.N.]]*Tabla1[[#This Row],[CANTIDADES DE REFERENCIA]]</f>
        <v>0</v>
      </c>
      <c r="J2152" s="35">
        <f>Tabla1[[#This Row],[P.U. USD]]*Tabla1[[#This Row],[CANTIDADES DE REFERENCIA]]</f>
        <v>0</v>
      </c>
      <c r="K2152" s="36"/>
      <c r="L2152" s="36"/>
      <c r="M2152" s="36"/>
      <c r="N2152" s="37"/>
      <c r="O2152" s="37"/>
      <c r="P2152" s="39"/>
      <c r="Q2152" s="37" t="s">
        <v>4693</v>
      </c>
      <c r="R2152" s="37"/>
      <c r="S2152" s="37" t="s">
        <v>4687</v>
      </c>
      <c r="T2152" s="31"/>
    </row>
    <row r="2153" spans="1:20">
      <c r="A2153" s="31"/>
      <c r="B2153" s="32"/>
      <c r="C2153" s="33"/>
      <c r="D2153" s="32" t="s">
        <v>4694</v>
      </c>
      <c r="E2153" s="33" t="s">
        <v>42</v>
      </c>
      <c r="F2153" s="34">
        <v>1</v>
      </c>
      <c r="G2153" s="35">
        <v>0</v>
      </c>
      <c r="H2153" s="35">
        <v>0</v>
      </c>
      <c r="I2153" s="35">
        <f>Tabla1[[#This Row],[P.U. M.N.]]*Tabla1[[#This Row],[CANTIDADES DE REFERENCIA]]</f>
        <v>0</v>
      </c>
      <c r="J2153" s="35">
        <f>Tabla1[[#This Row],[P.U. USD]]*Tabla1[[#This Row],[CANTIDADES DE REFERENCIA]]</f>
        <v>0</v>
      </c>
      <c r="K2153" s="36"/>
      <c r="L2153" s="36"/>
      <c r="M2153" s="36"/>
      <c r="N2153" s="37"/>
      <c r="O2153" s="37"/>
      <c r="P2153" s="39"/>
      <c r="Q2153" s="37" t="s">
        <v>4695</v>
      </c>
      <c r="R2153" s="37"/>
      <c r="S2153" s="37" t="s">
        <v>4687</v>
      </c>
      <c r="T2153" s="31"/>
    </row>
    <row r="2154" spans="1:20">
      <c r="A2154" s="31"/>
      <c r="B2154" s="32"/>
      <c r="C2154" s="33"/>
      <c r="D2154" s="32" t="s">
        <v>4696</v>
      </c>
      <c r="E2154" s="33" t="s">
        <v>42</v>
      </c>
      <c r="F2154" s="34">
        <v>1</v>
      </c>
      <c r="G2154" s="35">
        <v>0</v>
      </c>
      <c r="H2154" s="35">
        <v>0</v>
      </c>
      <c r="I2154" s="35">
        <f>Tabla1[[#This Row],[P.U. M.N.]]*Tabla1[[#This Row],[CANTIDADES DE REFERENCIA]]</f>
        <v>0</v>
      </c>
      <c r="J2154" s="35">
        <f>Tabla1[[#This Row],[P.U. USD]]*Tabla1[[#This Row],[CANTIDADES DE REFERENCIA]]</f>
        <v>0</v>
      </c>
      <c r="K2154" s="36"/>
      <c r="L2154" s="36"/>
      <c r="M2154" s="36"/>
      <c r="N2154" s="37"/>
      <c r="O2154" s="37"/>
      <c r="P2154" s="39"/>
      <c r="Q2154" s="37" t="s">
        <v>4697</v>
      </c>
      <c r="R2154" s="37"/>
      <c r="S2154" s="37" t="s">
        <v>4687</v>
      </c>
      <c r="T2154" s="31"/>
    </row>
    <row r="2155" spans="1:20">
      <c r="A2155" s="31"/>
      <c r="B2155" s="32"/>
      <c r="C2155" s="33"/>
      <c r="D2155" s="32" t="s">
        <v>4698</v>
      </c>
      <c r="E2155" s="33" t="s">
        <v>23</v>
      </c>
      <c r="F2155" s="34">
        <v>1</v>
      </c>
      <c r="G2155" s="35">
        <v>0</v>
      </c>
      <c r="H2155" s="35">
        <v>0</v>
      </c>
      <c r="I2155" s="35">
        <f>Tabla1[[#This Row],[P.U. M.N.]]*Tabla1[[#This Row],[CANTIDADES DE REFERENCIA]]</f>
        <v>0</v>
      </c>
      <c r="J2155" s="35">
        <f>Tabla1[[#This Row],[P.U. USD]]*Tabla1[[#This Row],[CANTIDADES DE REFERENCIA]]</f>
        <v>0</v>
      </c>
      <c r="K2155" s="36"/>
      <c r="L2155" s="36"/>
      <c r="M2155" s="36"/>
      <c r="N2155" s="37"/>
      <c r="O2155" s="37"/>
      <c r="P2155" s="39"/>
      <c r="Q2155" s="37" t="s">
        <v>4699</v>
      </c>
      <c r="R2155" s="37"/>
      <c r="S2155" s="37" t="s">
        <v>4687</v>
      </c>
      <c r="T2155" s="31"/>
    </row>
    <row r="2156" spans="1:20">
      <c r="A2156" s="31"/>
      <c r="B2156" s="32"/>
      <c r="C2156" s="33"/>
      <c r="D2156" s="32" t="s">
        <v>4700</v>
      </c>
      <c r="E2156" s="33" t="s">
        <v>4701</v>
      </c>
      <c r="F2156" s="34">
        <v>1</v>
      </c>
      <c r="G2156" s="35">
        <v>0</v>
      </c>
      <c r="H2156" s="35">
        <v>0</v>
      </c>
      <c r="I2156" s="35">
        <f>Tabla1[[#This Row],[P.U. M.N.]]*Tabla1[[#This Row],[CANTIDADES DE REFERENCIA]]</f>
        <v>0</v>
      </c>
      <c r="J2156" s="35">
        <f>Tabla1[[#This Row],[P.U. USD]]*Tabla1[[#This Row],[CANTIDADES DE REFERENCIA]]</f>
        <v>0</v>
      </c>
      <c r="K2156" s="36"/>
      <c r="L2156" s="36"/>
      <c r="M2156" s="36"/>
      <c r="N2156" s="37"/>
      <c r="O2156" s="37"/>
      <c r="P2156" s="39"/>
      <c r="Q2156" s="37" t="s">
        <v>4702</v>
      </c>
      <c r="R2156" s="37"/>
      <c r="S2156" s="37" t="s">
        <v>4687</v>
      </c>
      <c r="T2156" s="31"/>
    </row>
    <row r="2157" spans="1:20">
      <c r="A2157" s="31"/>
      <c r="B2157" s="32"/>
      <c r="C2157" s="33"/>
      <c r="D2157" s="32" t="s">
        <v>4703</v>
      </c>
      <c r="E2157" s="33" t="s">
        <v>4701</v>
      </c>
      <c r="F2157" s="34">
        <v>1</v>
      </c>
      <c r="G2157" s="35">
        <v>0</v>
      </c>
      <c r="H2157" s="35">
        <v>0</v>
      </c>
      <c r="I2157" s="35">
        <f>Tabla1[[#This Row],[P.U. M.N.]]*Tabla1[[#This Row],[CANTIDADES DE REFERENCIA]]</f>
        <v>0</v>
      </c>
      <c r="J2157" s="35">
        <f>Tabla1[[#This Row],[P.U. USD]]*Tabla1[[#This Row],[CANTIDADES DE REFERENCIA]]</f>
        <v>0</v>
      </c>
      <c r="K2157" s="36"/>
      <c r="L2157" s="36"/>
      <c r="M2157" s="36"/>
      <c r="N2157" s="37"/>
      <c r="O2157" s="37"/>
      <c r="P2157" s="39"/>
      <c r="Q2157" s="37" t="s">
        <v>4704</v>
      </c>
      <c r="R2157" s="37"/>
      <c r="S2157" s="37" t="s">
        <v>4687</v>
      </c>
      <c r="T2157" s="31"/>
    </row>
    <row r="2158" spans="1:20">
      <c r="A2158" s="31"/>
      <c r="B2158" s="32"/>
      <c r="C2158" s="33"/>
      <c r="D2158" s="32" t="s">
        <v>4705</v>
      </c>
      <c r="E2158" s="33" t="s">
        <v>4701</v>
      </c>
      <c r="F2158" s="34">
        <v>1</v>
      </c>
      <c r="G2158" s="35">
        <v>0</v>
      </c>
      <c r="H2158" s="35">
        <v>0</v>
      </c>
      <c r="I2158" s="35">
        <f>Tabla1[[#This Row],[P.U. M.N.]]*Tabla1[[#This Row],[CANTIDADES DE REFERENCIA]]</f>
        <v>0</v>
      </c>
      <c r="J2158" s="35">
        <f>Tabla1[[#This Row],[P.U. USD]]*Tabla1[[#This Row],[CANTIDADES DE REFERENCIA]]</f>
        <v>0</v>
      </c>
      <c r="K2158" s="36"/>
      <c r="L2158" s="36"/>
      <c r="M2158" s="36"/>
      <c r="N2158" s="37"/>
      <c r="O2158" s="37"/>
      <c r="P2158" s="39"/>
      <c r="Q2158" s="37" t="s">
        <v>4706</v>
      </c>
      <c r="R2158" s="37"/>
      <c r="S2158" s="37" t="s">
        <v>4687</v>
      </c>
      <c r="T2158" s="31"/>
    </row>
    <row r="2159" spans="1:20">
      <c r="A2159" s="31"/>
      <c r="B2159" s="32"/>
      <c r="C2159" s="33"/>
      <c r="D2159" s="32" t="s">
        <v>4707</v>
      </c>
      <c r="E2159" s="33" t="s">
        <v>4701</v>
      </c>
      <c r="F2159" s="34">
        <v>1</v>
      </c>
      <c r="G2159" s="35">
        <v>0</v>
      </c>
      <c r="H2159" s="35">
        <v>0</v>
      </c>
      <c r="I2159" s="35">
        <f>Tabla1[[#This Row],[P.U. M.N.]]*Tabla1[[#This Row],[CANTIDADES DE REFERENCIA]]</f>
        <v>0</v>
      </c>
      <c r="J2159" s="35">
        <f>Tabla1[[#This Row],[P.U. USD]]*Tabla1[[#This Row],[CANTIDADES DE REFERENCIA]]</f>
        <v>0</v>
      </c>
      <c r="K2159" s="36"/>
      <c r="L2159" s="36"/>
      <c r="M2159" s="36"/>
      <c r="N2159" s="37"/>
      <c r="O2159" s="37"/>
      <c r="P2159" s="39"/>
      <c r="Q2159" s="37" t="s">
        <v>4708</v>
      </c>
      <c r="R2159" s="37"/>
      <c r="S2159" s="37" t="s">
        <v>4687</v>
      </c>
      <c r="T2159" s="31"/>
    </row>
    <row r="2160" spans="1:20">
      <c r="A2160" s="31"/>
      <c r="B2160" s="32"/>
      <c r="C2160" s="33"/>
      <c r="D2160" s="32" t="s">
        <v>4709</v>
      </c>
      <c r="E2160" s="33" t="s">
        <v>4701</v>
      </c>
      <c r="F2160" s="34">
        <v>1</v>
      </c>
      <c r="G2160" s="35">
        <v>0</v>
      </c>
      <c r="H2160" s="35">
        <v>0</v>
      </c>
      <c r="I2160" s="35">
        <f>Tabla1[[#This Row],[P.U. M.N.]]*Tabla1[[#This Row],[CANTIDADES DE REFERENCIA]]</f>
        <v>0</v>
      </c>
      <c r="J2160" s="35">
        <f>Tabla1[[#This Row],[P.U. USD]]*Tabla1[[#This Row],[CANTIDADES DE REFERENCIA]]</f>
        <v>0</v>
      </c>
      <c r="K2160" s="36"/>
      <c r="L2160" s="36"/>
      <c r="M2160" s="36"/>
      <c r="N2160" s="37"/>
      <c r="O2160" s="37"/>
      <c r="P2160" s="39"/>
      <c r="Q2160" s="37" t="s">
        <v>4710</v>
      </c>
      <c r="R2160" s="37"/>
      <c r="S2160" s="37" t="s">
        <v>4687</v>
      </c>
      <c r="T2160" s="31"/>
    </row>
    <row r="2161" spans="1:20">
      <c r="A2161" s="31"/>
      <c r="B2161" s="32"/>
      <c r="C2161" s="33"/>
      <c r="D2161" s="32" t="s">
        <v>4711</v>
      </c>
      <c r="E2161" s="33" t="s">
        <v>4701</v>
      </c>
      <c r="F2161" s="34">
        <v>1</v>
      </c>
      <c r="G2161" s="35">
        <v>0</v>
      </c>
      <c r="H2161" s="35">
        <v>0</v>
      </c>
      <c r="I2161" s="35">
        <f>Tabla1[[#This Row],[P.U. M.N.]]*Tabla1[[#This Row],[CANTIDADES DE REFERENCIA]]</f>
        <v>0</v>
      </c>
      <c r="J2161" s="35">
        <f>Tabla1[[#This Row],[P.U. USD]]*Tabla1[[#This Row],[CANTIDADES DE REFERENCIA]]</f>
        <v>0</v>
      </c>
      <c r="K2161" s="36"/>
      <c r="L2161" s="36"/>
      <c r="M2161" s="36"/>
      <c r="N2161" s="37"/>
      <c r="O2161" s="37"/>
      <c r="P2161" s="39"/>
      <c r="Q2161" s="37" t="s">
        <v>4712</v>
      </c>
      <c r="R2161" s="37"/>
      <c r="S2161" s="37" t="s">
        <v>4687</v>
      </c>
      <c r="T2161" s="31"/>
    </row>
    <row r="2162" spans="1:20">
      <c r="A2162" s="31"/>
      <c r="B2162" s="32"/>
      <c r="C2162" s="33"/>
      <c r="D2162" s="32" t="s">
        <v>4713</v>
      </c>
      <c r="E2162" s="33" t="s">
        <v>4701</v>
      </c>
      <c r="F2162" s="34">
        <v>1</v>
      </c>
      <c r="G2162" s="35">
        <v>0</v>
      </c>
      <c r="H2162" s="35">
        <v>0</v>
      </c>
      <c r="I2162" s="35">
        <f>Tabla1[[#This Row],[P.U. M.N.]]*Tabla1[[#This Row],[CANTIDADES DE REFERENCIA]]</f>
        <v>0</v>
      </c>
      <c r="J2162" s="35">
        <f>Tabla1[[#This Row],[P.U. USD]]*Tabla1[[#This Row],[CANTIDADES DE REFERENCIA]]</f>
        <v>0</v>
      </c>
      <c r="K2162" s="36"/>
      <c r="L2162" s="36"/>
      <c r="M2162" s="36"/>
      <c r="N2162" s="37"/>
      <c r="O2162" s="37"/>
      <c r="P2162" s="39"/>
      <c r="Q2162" s="37" t="s">
        <v>4714</v>
      </c>
      <c r="R2162" s="37"/>
      <c r="S2162" s="37" t="s">
        <v>4687</v>
      </c>
      <c r="T2162" s="31"/>
    </row>
    <row r="2163" spans="1:20">
      <c r="A2163" s="31"/>
      <c r="B2163" s="32"/>
      <c r="C2163" s="33"/>
      <c r="D2163" s="32" t="s">
        <v>4715</v>
      </c>
      <c r="E2163" s="33" t="s">
        <v>4701</v>
      </c>
      <c r="F2163" s="34">
        <v>1</v>
      </c>
      <c r="G2163" s="35">
        <v>0</v>
      </c>
      <c r="H2163" s="35">
        <v>0</v>
      </c>
      <c r="I2163" s="35">
        <f>Tabla1[[#This Row],[P.U. M.N.]]*Tabla1[[#This Row],[CANTIDADES DE REFERENCIA]]</f>
        <v>0</v>
      </c>
      <c r="J2163" s="35">
        <f>Tabla1[[#This Row],[P.U. USD]]*Tabla1[[#This Row],[CANTIDADES DE REFERENCIA]]</f>
        <v>0</v>
      </c>
      <c r="K2163" s="36"/>
      <c r="L2163" s="36"/>
      <c r="M2163" s="36"/>
      <c r="N2163" s="37"/>
      <c r="O2163" s="37"/>
      <c r="P2163" s="39"/>
      <c r="Q2163" s="37" t="s">
        <v>4716</v>
      </c>
      <c r="R2163" s="37"/>
      <c r="S2163" s="37" t="s">
        <v>4687</v>
      </c>
      <c r="T2163" s="31"/>
    </row>
    <row r="2164" spans="1:20">
      <c r="A2164" s="31"/>
      <c r="B2164" s="32"/>
      <c r="C2164" s="33"/>
      <c r="D2164" s="32" t="s">
        <v>4717</v>
      </c>
      <c r="E2164" s="33" t="s">
        <v>4701</v>
      </c>
      <c r="F2164" s="34">
        <v>1</v>
      </c>
      <c r="G2164" s="35">
        <v>0</v>
      </c>
      <c r="H2164" s="35">
        <v>0</v>
      </c>
      <c r="I2164" s="35">
        <f>Tabla1[[#This Row],[P.U. M.N.]]*Tabla1[[#This Row],[CANTIDADES DE REFERENCIA]]</f>
        <v>0</v>
      </c>
      <c r="J2164" s="35">
        <f>Tabla1[[#This Row],[P.U. USD]]*Tabla1[[#This Row],[CANTIDADES DE REFERENCIA]]</f>
        <v>0</v>
      </c>
      <c r="K2164" s="36"/>
      <c r="L2164" s="36"/>
      <c r="M2164" s="36"/>
      <c r="N2164" s="37"/>
      <c r="O2164" s="37"/>
      <c r="P2164" s="39"/>
      <c r="Q2164" s="37" t="s">
        <v>4718</v>
      </c>
      <c r="R2164" s="37"/>
      <c r="S2164" s="37" t="s">
        <v>4687</v>
      </c>
      <c r="T2164" s="31"/>
    </row>
    <row r="2165" spans="1:20">
      <c r="A2165" s="31"/>
      <c r="B2165" s="32"/>
      <c r="C2165" s="33"/>
      <c r="D2165" s="32" t="s">
        <v>4719</v>
      </c>
      <c r="E2165" s="33" t="s">
        <v>4701</v>
      </c>
      <c r="F2165" s="34">
        <v>1</v>
      </c>
      <c r="G2165" s="35">
        <v>0</v>
      </c>
      <c r="H2165" s="35">
        <v>0</v>
      </c>
      <c r="I2165" s="35">
        <f>Tabla1[[#This Row],[P.U. M.N.]]*Tabla1[[#This Row],[CANTIDADES DE REFERENCIA]]</f>
        <v>0</v>
      </c>
      <c r="J2165" s="35">
        <f>Tabla1[[#This Row],[P.U. USD]]*Tabla1[[#This Row],[CANTIDADES DE REFERENCIA]]</f>
        <v>0</v>
      </c>
      <c r="K2165" s="36"/>
      <c r="L2165" s="36"/>
      <c r="M2165" s="36"/>
      <c r="N2165" s="37"/>
      <c r="O2165" s="37"/>
      <c r="P2165" s="39"/>
      <c r="Q2165" s="37" t="s">
        <v>4720</v>
      </c>
      <c r="R2165" s="37"/>
      <c r="S2165" s="37" t="s">
        <v>4687</v>
      </c>
      <c r="T2165" s="31"/>
    </row>
    <row r="2166" spans="1:20">
      <c r="A2166" s="31"/>
      <c r="B2166" s="32"/>
      <c r="C2166" s="33"/>
      <c r="D2166" s="32" t="s">
        <v>4721</v>
      </c>
      <c r="E2166" s="33" t="s">
        <v>4701</v>
      </c>
      <c r="F2166" s="34">
        <v>1</v>
      </c>
      <c r="G2166" s="35">
        <v>0</v>
      </c>
      <c r="H2166" s="35">
        <v>0</v>
      </c>
      <c r="I2166" s="35">
        <f>Tabla1[[#This Row],[P.U. M.N.]]*Tabla1[[#This Row],[CANTIDADES DE REFERENCIA]]</f>
        <v>0</v>
      </c>
      <c r="J2166" s="35">
        <f>Tabla1[[#This Row],[P.U. USD]]*Tabla1[[#This Row],[CANTIDADES DE REFERENCIA]]</f>
        <v>0</v>
      </c>
      <c r="K2166" s="36"/>
      <c r="L2166" s="36"/>
      <c r="M2166" s="36"/>
      <c r="N2166" s="37"/>
      <c r="O2166" s="37"/>
      <c r="P2166" s="39"/>
      <c r="Q2166" s="37" t="s">
        <v>4722</v>
      </c>
      <c r="R2166" s="37"/>
      <c r="S2166" s="37" t="s">
        <v>4687</v>
      </c>
      <c r="T2166" s="31"/>
    </row>
    <row r="2167" spans="1:20">
      <c r="A2167" s="31"/>
      <c r="B2167" s="32"/>
      <c r="C2167" s="33"/>
      <c r="D2167" s="32" t="s">
        <v>4723</v>
      </c>
      <c r="E2167" s="33" t="s">
        <v>4701</v>
      </c>
      <c r="F2167" s="34">
        <v>1</v>
      </c>
      <c r="G2167" s="35">
        <v>0</v>
      </c>
      <c r="H2167" s="35">
        <v>0</v>
      </c>
      <c r="I2167" s="35">
        <f>Tabla1[[#This Row],[P.U. M.N.]]*Tabla1[[#This Row],[CANTIDADES DE REFERENCIA]]</f>
        <v>0</v>
      </c>
      <c r="J2167" s="35">
        <f>Tabla1[[#This Row],[P.U. USD]]*Tabla1[[#This Row],[CANTIDADES DE REFERENCIA]]</f>
        <v>0</v>
      </c>
      <c r="K2167" s="36"/>
      <c r="L2167" s="36"/>
      <c r="M2167" s="36"/>
      <c r="N2167" s="37"/>
      <c r="O2167" s="37"/>
      <c r="P2167" s="39"/>
      <c r="Q2167" s="37" t="s">
        <v>4724</v>
      </c>
      <c r="R2167" s="37"/>
      <c r="S2167" s="37" t="s">
        <v>4687</v>
      </c>
      <c r="T2167" s="31"/>
    </row>
    <row r="2168" spans="1:20">
      <c r="A2168" s="31"/>
      <c r="B2168" s="32"/>
      <c r="C2168" s="33"/>
      <c r="D2168" s="32" t="s">
        <v>4725</v>
      </c>
      <c r="E2168" s="33" t="s">
        <v>4701</v>
      </c>
      <c r="F2168" s="34">
        <v>1</v>
      </c>
      <c r="G2168" s="35">
        <v>0</v>
      </c>
      <c r="H2168" s="35">
        <v>0</v>
      </c>
      <c r="I2168" s="35">
        <f>Tabla1[[#This Row],[P.U. M.N.]]*Tabla1[[#This Row],[CANTIDADES DE REFERENCIA]]</f>
        <v>0</v>
      </c>
      <c r="J2168" s="35">
        <f>Tabla1[[#This Row],[P.U. USD]]*Tabla1[[#This Row],[CANTIDADES DE REFERENCIA]]</f>
        <v>0</v>
      </c>
      <c r="K2168" s="36"/>
      <c r="L2168" s="36"/>
      <c r="M2168" s="36"/>
      <c r="N2168" s="37"/>
      <c r="O2168" s="37"/>
      <c r="P2168" s="39"/>
      <c r="Q2168" s="37" t="s">
        <v>4726</v>
      </c>
      <c r="R2168" s="37"/>
      <c r="S2168" s="37" t="s">
        <v>4687</v>
      </c>
      <c r="T2168" s="31"/>
    </row>
    <row r="2169" spans="1:20">
      <c r="A2169" s="31"/>
      <c r="B2169" s="32"/>
      <c r="C2169" s="33"/>
      <c r="D2169" s="32" t="s">
        <v>4727</v>
      </c>
      <c r="E2169" s="33" t="s">
        <v>4701</v>
      </c>
      <c r="F2169" s="34">
        <v>1</v>
      </c>
      <c r="G2169" s="35">
        <v>0</v>
      </c>
      <c r="H2169" s="35">
        <v>0</v>
      </c>
      <c r="I2169" s="35">
        <f>Tabla1[[#This Row],[P.U. M.N.]]*Tabla1[[#This Row],[CANTIDADES DE REFERENCIA]]</f>
        <v>0</v>
      </c>
      <c r="J2169" s="35">
        <f>Tabla1[[#This Row],[P.U. USD]]*Tabla1[[#This Row],[CANTIDADES DE REFERENCIA]]</f>
        <v>0</v>
      </c>
      <c r="K2169" s="36"/>
      <c r="L2169" s="36"/>
      <c r="M2169" s="36"/>
      <c r="N2169" s="37"/>
      <c r="O2169" s="37"/>
      <c r="P2169" s="39"/>
      <c r="Q2169" s="37" t="s">
        <v>4728</v>
      </c>
      <c r="R2169" s="37"/>
      <c r="S2169" s="37" t="s">
        <v>4687</v>
      </c>
      <c r="T2169" s="31"/>
    </row>
    <row r="2170" spans="1:20">
      <c r="A2170" s="31"/>
      <c r="B2170" s="32"/>
      <c r="C2170" s="33"/>
      <c r="D2170" s="32" t="s">
        <v>4729</v>
      </c>
      <c r="E2170" s="33" t="s">
        <v>4701</v>
      </c>
      <c r="F2170" s="34">
        <v>1</v>
      </c>
      <c r="G2170" s="35">
        <v>0</v>
      </c>
      <c r="H2170" s="35">
        <v>0</v>
      </c>
      <c r="I2170" s="35">
        <f>Tabla1[[#This Row],[P.U. M.N.]]*Tabla1[[#This Row],[CANTIDADES DE REFERENCIA]]</f>
        <v>0</v>
      </c>
      <c r="J2170" s="35">
        <f>Tabla1[[#This Row],[P.U. USD]]*Tabla1[[#This Row],[CANTIDADES DE REFERENCIA]]</f>
        <v>0</v>
      </c>
      <c r="K2170" s="36"/>
      <c r="L2170" s="36"/>
      <c r="M2170" s="36"/>
      <c r="N2170" s="37"/>
      <c r="O2170" s="37"/>
      <c r="P2170" s="39"/>
      <c r="Q2170" s="37" t="s">
        <v>4730</v>
      </c>
      <c r="R2170" s="37"/>
      <c r="S2170" s="37" t="s">
        <v>4687</v>
      </c>
      <c r="T2170" s="31"/>
    </row>
    <row r="2171" spans="1:20">
      <c r="A2171" s="31"/>
      <c r="B2171" s="32"/>
      <c r="C2171" s="33"/>
      <c r="D2171" s="32" t="s">
        <v>4731</v>
      </c>
      <c r="E2171" s="33" t="s">
        <v>4701</v>
      </c>
      <c r="F2171" s="34">
        <v>1</v>
      </c>
      <c r="G2171" s="35">
        <v>0</v>
      </c>
      <c r="H2171" s="35">
        <v>0</v>
      </c>
      <c r="I2171" s="35">
        <f>Tabla1[[#This Row],[P.U. M.N.]]*Tabla1[[#This Row],[CANTIDADES DE REFERENCIA]]</f>
        <v>0</v>
      </c>
      <c r="J2171" s="35">
        <f>Tabla1[[#This Row],[P.U. USD]]*Tabla1[[#This Row],[CANTIDADES DE REFERENCIA]]</f>
        <v>0</v>
      </c>
      <c r="K2171" s="36"/>
      <c r="L2171" s="36"/>
      <c r="M2171" s="36"/>
      <c r="N2171" s="37"/>
      <c r="O2171" s="37"/>
      <c r="P2171" s="39"/>
      <c r="Q2171" s="37" t="s">
        <v>4732</v>
      </c>
      <c r="R2171" s="37"/>
      <c r="S2171" s="37" t="s">
        <v>4687</v>
      </c>
      <c r="T2171" s="31"/>
    </row>
    <row r="2172" spans="1:20">
      <c r="A2172" s="31"/>
      <c r="B2172" s="32"/>
      <c r="C2172" s="33"/>
      <c r="D2172" s="32" t="s">
        <v>4733</v>
      </c>
      <c r="E2172" s="33" t="s">
        <v>4701</v>
      </c>
      <c r="F2172" s="34">
        <v>1</v>
      </c>
      <c r="G2172" s="35">
        <v>0</v>
      </c>
      <c r="H2172" s="35">
        <v>0</v>
      </c>
      <c r="I2172" s="35">
        <f>Tabla1[[#This Row],[P.U. M.N.]]*Tabla1[[#This Row],[CANTIDADES DE REFERENCIA]]</f>
        <v>0</v>
      </c>
      <c r="J2172" s="35">
        <f>Tabla1[[#This Row],[P.U. USD]]*Tabla1[[#This Row],[CANTIDADES DE REFERENCIA]]</f>
        <v>0</v>
      </c>
      <c r="K2172" s="36"/>
      <c r="L2172" s="36"/>
      <c r="M2172" s="36"/>
      <c r="N2172" s="37"/>
      <c r="O2172" s="37"/>
      <c r="P2172" s="39"/>
      <c r="Q2172" s="37" t="s">
        <v>4734</v>
      </c>
      <c r="R2172" s="37"/>
      <c r="S2172" s="37" t="s">
        <v>4687</v>
      </c>
      <c r="T2172" s="31"/>
    </row>
    <row r="2173" spans="1:20">
      <c r="A2173" s="31"/>
      <c r="B2173" s="32"/>
      <c r="C2173" s="33"/>
      <c r="D2173" s="32" t="s">
        <v>4735</v>
      </c>
      <c r="E2173" s="33" t="s">
        <v>4701</v>
      </c>
      <c r="F2173" s="34">
        <v>1</v>
      </c>
      <c r="G2173" s="35">
        <v>0</v>
      </c>
      <c r="H2173" s="35">
        <v>0</v>
      </c>
      <c r="I2173" s="35">
        <f>Tabla1[[#This Row],[P.U. M.N.]]*Tabla1[[#This Row],[CANTIDADES DE REFERENCIA]]</f>
        <v>0</v>
      </c>
      <c r="J2173" s="35">
        <f>Tabla1[[#This Row],[P.U. USD]]*Tabla1[[#This Row],[CANTIDADES DE REFERENCIA]]</f>
        <v>0</v>
      </c>
      <c r="K2173" s="36"/>
      <c r="L2173" s="36"/>
      <c r="M2173" s="36"/>
      <c r="N2173" s="37"/>
      <c r="O2173" s="37"/>
      <c r="P2173" s="39"/>
      <c r="Q2173" s="37" t="s">
        <v>4736</v>
      </c>
      <c r="R2173" s="37"/>
      <c r="S2173" s="37" t="s">
        <v>4687</v>
      </c>
      <c r="T2173" s="31"/>
    </row>
    <row r="2174" spans="1:20">
      <c r="A2174" s="31"/>
      <c r="B2174" s="32"/>
      <c r="C2174" s="33"/>
      <c r="D2174" s="32" t="s">
        <v>4737</v>
      </c>
      <c r="E2174" s="33" t="s">
        <v>4701</v>
      </c>
      <c r="F2174" s="34">
        <v>1</v>
      </c>
      <c r="G2174" s="35">
        <v>0</v>
      </c>
      <c r="H2174" s="35">
        <v>0</v>
      </c>
      <c r="I2174" s="35">
        <f>Tabla1[[#This Row],[P.U. M.N.]]*Tabla1[[#This Row],[CANTIDADES DE REFERENCIA]]</f>
        <v>0</v>
      </c>
      <c r="J2174" s="35">
        <f>Tabla1[[#This Row],[P.U. USD]]*Tabla1[[#This Row],[CANTIDADES DE REFERENCIA]]</f>
        <v>0</v>
      </c>
      <c r="K2174" s="36"/>
      <c r="L2174" s="36"/>
      <c r="M2174" s="36"/>
      <c r="N2174" s="37"/>
      <c r="O2174" s="37"/>
      <c r="P2174" s="39"/>
      <c r="Q2174" s="37" t="s">
        <v>4738</v>
      </c>
      <c r="R2174" s="37"/>
      <c r="S2174" s="37" t="s">
        <v>4687</v>
      </c>
      <c r="T2174" s="31"/>
    </row>
    <row r="2175" spans="1:20">
      <c r="A2175" s="31"/>
      <c r="B2175" s="32"/>
      <c r="C2175" s="33"/>
      <c r="D2175" s="32" t="s">
        <v>4739</v>
      </c>
      <c r="E2175" s="33" t="s">
        <v>4701</v>
      </c>
      <c r="F2175" s="34">
        <v>1</v>
      </c>
      <c r="G2175" s="35">
        <v>0</v>
      </c>
      <c r="H2175" s="35">
        <v>0</v>
      </c>
      <c r="I2175" s="35">
        <f>Tabla1[[#This Row],[P.U. M.N.]]*Tabla1[[#This Row],[CANTIDADES DE REFERENCIA]]</f>
        <v>0</v>
      </c>
      <c r="J2175" s="35">
        <f>Tabla1[[#This Row],[P.U. USD]]*Tabla1[[#This Row],[CANTIDADES DE REFERENCIA]]</f>
        <v>0</v>
      </c>
      <c r="K2175" s="36"/>
      <c r="L2175" s="36"/>
      <c r="M2175" s="36"/>
      <c r="N2175" s="37"/>
      <c r="O2175" s="37"/>
      <c r="P2175" s="39"/>
      <c r="Q2175" s="37" t="s">
        <v>4740</v>
      </c>
      <c r="R2175" s="37"/>
      <c r="S2175" s="37" t="s">
        <v>4687</v>
      </c>
      <c r="T2175" s="31"/>
    </row>
    <row r="2176" spans="1:20">
      <c r="A2176" s="31"/>
      <c r="B2176" s="32"/>
      <c r="C2176" s="33"/>
      <c r="D2176" s="32" t="s">
        <v>4741</v>
      </c>
      <c r="E2176" s="33" t="s">
        <v>4701</v>
      </c>
      <c r="F2176" s="34">
        <v>1</v>
      </c>
      <c r="G2176" s="35">
        <v>0</v>
      </c>
      <c r="H2176" s="35">
        <v>0</v>
      </c>
      <c r="I2176" s="35">
        <f>Tabla1[[#This Row],[P.U. M.N.]]*Tabla1[[#This Row],[CANTIDADES DE REFERENCIA]]</f>
        <v>0</v>
      </c>
      <c r="J2176" s="35">
        <f>Tabla1[[#This Row],[P.U. USD]]*Tabla1[[#This Row],[CANTIDADES DE REFERENCIA]]</f>
        <v>0</v>
      </c>
      <c r="K2176" s="36"/>
      <c r="L2176" s="36"/>
      <c r="M2176" s="36"/>
      <c r="N2176" s="37"/>
      <c r="O2176" s="37"/>
      <c r="P2176" s="39"/>
      <c r="Q2176" s="37" t="s">
        <v>4742</v>
      </c>
      <c r="R2176" s="37"/>
      <c r="S2176" s="37" t="s">
        <v>4687</v>
      </c>
      <c r="T2176" s="31"/>
    </row>
    <row r="2177" spans="1:20">
      <c r="A2177" s="31"/>
      <c r="B2177" s="32"/>
      <c r="C2177" s="33"/>
      <c r="D2177" s="32" t="s">
        <v>4743</v>
      </c>
      <c r="E2177" s="33" t="s">
        <v>4701</v>
      </c>
      <c r="F2177" s="34">
        <v>1</v>
      </c>
      <c r="G2177" s="35">
        <v>0</v>
      </c>
      <c r="H2177" s="35">
        <v>0</v>
      </c>
      <c r="I2177" s="35">
        <f>Tabla1[[#This Row],[P.U. M.N.]]*Tabla1[[#This Row],[CANTIDADES DE REFERENCIA]]</f>
        <v>0</v>
      </c>
      <c r="J2177" s="35">
        <f>Tabla1[[#This Row],[P.U. USD]]*Tabla1[[#This Row],[CANTIDADES DE REFERENCIA]]</f>
        <v>0</v>
      </c>
      <c r="K2177" s="36"/>
      <c r="L2177" s="36"/>
      <c r="M2177" s="36"/>
      <c r="N2177" s="37"/>
      <c r="O2177" s="37"/>
      <c r="P2177" s="39"/>
      <c r="Q2177" s="37" t="s">
        <v>4744</v>
      </c>
      <c r="R2177" s="37"/>
      <c r="S2177" s="37" t="s">
        <v>4687</v>
      </c>
      <c r="T2177" s="31"/>
    </row>
    <row r="2178" spans="1:20">
      <c r="A2178" s="31"/>
      <c r="B2178" s="32"/>
      <c r="C2178" s="33"/>
      <c r="D2178" s="32" t="s">
        <v>4745</v>
      </c>
      <c r="E2178" s="33" t="s">
        <v>4701</v>
      </c>
      <c r="F2178" s="34">
        <v>1</v>
      </c>
      <c r="G2178" s="35">
        <v>0</v>
      </c>
      <c r="H2178" s="35">
        <v>0</v>
      </c>
      <c r="I2178" s="35">
        <f>Tabla1[[#This Row],[P.U. M.N.]]*Tabla1[[#This Row],[CANTIDADES DE REFERENCIA]]</f>
        <v>0</v>
      </c>
      <c r="J2178" s="35">
        <f>Tabla1[[#This Row],[P.U. USD]]*Tabla1[[#This Row],[CANTIDADES DE REFERENCIA]]</f>
        <v>0</v>
      </c>
      <c r="K2178" s="36"/>
      <c r="L2178" s="36"/>
      <c r="M2178" s="36"/>
      <c r="N2178" s="37"/>
      <c r="O2178" s="37"/>
      <c r="P2178" s="39"/>
      <c r="Q2178" s="37" t="s">
        <v>4746</v>
      </c>
      <c r="R2178" s="37"/>
      <c r="S2178" s="37" t="s">
        <v>4687</v>
      </c>
      <c r="T2178" s="31"/>
    </row>
    <row r="2179" spans="1:20">
      <c r="A2179" s="31"/>
      <c r="B2179" s="32"/>
      <c r="C2179" s="33"/>
      <c r="D2179" s="32" t="s">
        <v>4747</v>
      </c>
      <c r="E2179" s="33" t="s">
        <v>4701</v>
      </c>
      <c r="F2179" s="34">
        <v>1</v>
      </c>
      <c r="G2179" s="35">
        <v>0</v>
      </c>
      <c r="H2179" s="35">
        <v>0</v>
      </c>
      <c r="I2179" s="35">
        <f>Tabla1[[#This Row],[P.U. M.N.]]*Tabla1[[#This Row],[CANTIDADES DE REFERENCIA]]</f>
        <v>0</v>
      </c>
      <c r="J2179" s="35">
        <f>Tabla1[[#This Row],[P.U. USD]]*Tabla1[[#This Row],[CANTIDADES DE REFERENCIA]]</f>
        <v>0</v>
      </c>
      <c r="K2179" s="36"/>
      <c r="L2179" s="36"/>
      <c r="M2179" s="36"/>
      <c r="N2179" s="37"/>
      <c r="O2179" s="37"/>
      <c r="P2179" s="39"/>
      <c r="Q2179" s="37" t="s">
        <v>4748</v>
      </c>
      <c r="R2179" s="37"/>
      <c r="S2179" s="37" t="s">
        <v>4687</v>
      </c>
      <c r="T2179" s="31"/>
    </row>
    <row r="2180" spans="1:20">
      <c r="A2180" s="31"/>
      <c r="B2180" s="32"/>
      <c r="C2180" s="33"/>
      <c r="D2180" s="32" t="s">
        <v>4749</v>
      </c>
      <c r="E2180" s="33" t="s">
        <v>4701</v>
      </c>
      <c r="F2180" s="34">
        <v>1</v>
      </c>
      <c r="G2180" s="35">
        <v>0</v>
      </c>
      <c r="H2180" s="35">
        <v>0</v>
      </c>
      <c r="I2180" s="35">
        <f>Tabla1[[#This Row],[P.U. M.N.]]*Tabla1[[#This Row],[CANTIDADES DE REFERENCIA]]</f>
        <v>0</v>
      </c>
      <c r="J2180" s="35">
        <f>Tabla1[[#This Row],[P.U. USD]]*Tabla1[[#This Row],[CANTIDADES DE REFERENCIA]]</f>
        <v>0</v>
      </c>
      <c r="K2180" s="36"/>
      <c r="L2180" s="36"/>
      <c r="M2180" s="36"/>
      <c r="N2180" s="37"/>
      <c r="O2180" s="37"/>
      <c r="P2180" s="39"/>
      <c r="Q2180" s="37" t="s">
        <v>4750</v>
      </c>
      <c r="R2180" s="37"/>
      <c r="S2180" s="37" t="s">
        <v>4687</v>
      </c>
      <c r="T2180" s="31"/>
    </row>
    <row r="2181" spans="1:20">
      <c r="A2181" s="31"/>
      <c r="B2181" s="32"/>
      <c r="C2181" s="33"/>
      <c r="D2181" s="32" t="s">
        <v>4751</v>
      </c>
      <c r="E2181" s="33" t="s">
        <v>4701</v>
      </c>
      <c r="F2181" s="34">
        <v>1</v>
      </c>
      <c r="G2181" s="35">
        <v>0</v>
      </c>
      <c r="H2181" s="35">
        <v>0</v>
      </c>
      <c r="I2181" s="35">
        <f>Tabla1[[#This Row],[P.U. M.N.]]*Tabla1[[#This Row],[CANTIDADES DE REFERENCIA]]</f>
        <v>0</v>
      </c>
      <c r="J2181" s="35">
        <f>Tabla1[[#This Row],[P.U. USD]]*Tabla1[[#This Row],[CANTIDADES DE REFERENCIA]]</f>
        <v>0</v>
      </c>
      <c r="K2181" s="36"/>
      <c r="L2181" s="36"/>
      <c r="M2181" s="36"/>
      <c r="N2181" s="37"/>
      <c r="O2181" s="37"/>
      <c r="P2181" s="39"/>
      <c r="Q2181" s="37" t="s">
        <v>4752</v>
      </c>
      <c r="R2181" s="37"/>
      <c r="S2181" s="37" t="s">
        <v>4687</v>
      </c>
      <c r="T2181" s="31"/>
    </row>
    <row r="2182" spans="1:20">
      <c r="A2182" s="31"/>
      <c r="B2182" s="32"/>
      <c r="C2182" s="33"/>
      <c r="D2182" s="32" t="s">
        <v>4753</v>
      </c>
      <c r="E2182" s="33" t="s">
        <v>4701</v>
      </c>
      <c r="F2182" s="34">
        <v>1</v>
      </c>
      <c r="G2182" s="35">
        <v>0</v>
      </c>
      <c r="H2182" s="35">
        <v>0</v>
      </c>
      <c r="I2182" s="35">
        <f>Tabla1[[#This Row],[P.U. M.N.]]*Tabla1[[#This Row],[CANTIDADES DE REFERENCIA]]</f>
        <v>0</v>
      </c>
      <c r="J2182" s="35">
        <f>Tabla1[[#This Row],[P.U. USD]]*Tabla1[[#This Row],[CANTIDADES DE REFERENCIA]]</f>
        <v>0</v>
      </c>
      <c r="K2182" s="36"/>
      <c r="L2182" s="36"/>
      <c r="M2182" s="36"/>
      <c r="N2182" s="37"/>
      <c r="O2182" s="37"/>
      <c r="P2182" s="39"/>
      <c r="Q2182" s="37" t="s">
        <v>4754</v>
      </c>
      <c r="R2182" s="37"/>
      <c r="S2182" s="37" t="s">
        <v>4687</v>
      </c>
      <c r="T2182" s="31"/>
    </row>
    <row r="2183" spans="1:20">
      <c r="A2183" s="31"/>
      <c r="B2183" s="32"/>
      <c r="C2183" s="33"/>
      <c r="D2183" s="32" t="s">
        <v>4755</v>
      </c>
      <c r="E2183" s="33" t="s">
        <v>4701</v>
      </c>
      <c r="F2183" s="34">
        <v>1</v>
      </c>
      <c r="G2183" s="35">
        <v>0</v>
      </c>
      <c r="H2183" s="35">
        <v>0</v>
      </c>
      <c r="I2183" s="35">
        <f>Tabla1[[#This Row],[P.U. M.N.]]*Tabla1[[#This Row],[CANTIDADES DE REFERENCIA]]</f>
        <v>0</v>
      </c>
      <c r="J2183" s="35">
        <f>Tabla1[[#This Row],[P.U. USD]]*Tabla1[[#This Row],[CANTIDADES DE REFERENCIA]]</f>
        <v>0</v>
      </c>
      <c r="K2183" s="36"/>
      <c r="L2183" s="36"/>
      <c r="M2183" s="36"/>
      <c r="N2183" s="37"/>
      <c r="O2183" s="37"/>
      <c r="P2183" s="39"/>
      <c r="Q2183" s="37" t="s">
        <v>4756</v>
      </c>
      <c r="R2183" s="37"/>
      <c r="S2183" s="37" t="s">
        <v>4687</v>
      </c>
      <c r="T2183" s="31"/>
    </row>
    <row r="2184" spans="1:20">
      <c r="A2184" s="31"/>
      <c r="B2184" s="32"/>
      <c r="C2184" s="33"/>
      <c r="D2184" s="32" t="s">
        <v>4757</v>
      </c>
      <c r="E2184" s="33" t="s">
        <v>4701</v>
      </c>
      <c r="F2184" s="34">
        <v>1</v>
      </c>
      <c r="G2184" s="35">
        <v>0</v>
      </c>
      <c r="H2184" s="35">
        <v>0</v>
      </c>
      <c r="I2184" s="35">
        <f>Tabla1[[#This Row],[P.U. M.N.]]*Tabla1[[#This Row],[CANTIDADES DE REFERENCIA]]</f>
        <v>0</v>
      </c>
      <c r="J2184" s="35">
        <f>Tabla1[[#This Row],[P.U. USD]]*Tabla1[[#This Row],[CANTIDADES DE REFERENCIA]]</f>
        <v>0</v>
      </c>
      <c r="K2184" s="36"/>
      <c r="L2184" s="36"/>
      <c r="M2184" s="36"/>
      <c r="N2184" s="37"/>
      <c r="O2184" s="37"/>
      <c r="P2184" s="39"/>
      <c r="Q2184" s="37" t="s">
        <v>4758</v>
      </c>
      <c r="R2184" s="37"/>
      <c r="S2184" s="37" t="s">
        <v>4687</v>
      </c>
      <c r="T2184" s="31"/>
    </row>
    <row r="2185" spans="1:20">
      <c r="A2185" s="31"/>
      <c r="B2185" s="32"/>
      <c r="C2185" s="33"/>
      <c r="D2185" s="32" t="s">
        <v>4759</v>
      </c>
      <c r="E2185" s="33" t="s">
        <v>4701</v>
      </c>
      <c r="F2185" s="34">
        <v>1</v>
      </c>
      <c r="G2185" s="35">
        <v>0</v>
      </c>
      <c r="H2185" s="35">
        <v>0</v>
      </c>
      <c r="I2185" s="35">
        <f>Tabla1[[#This Row],[P.U. M.N.]]*Tabla1[[#This Row],[CANTIDADES DE REFERENCIA]]</f>
        <v>0</v>
      </c>
      <c r="J2185" s="35">
        <f>Tabla1[[#This Row],[P.U. USD]]*Tabla1[[#This Row],[CANTIDADES DE REFERENCIA]]</f>
        <v>0</v>
      </c>
      <c r="K2185" s="36"/>
      <c r="L2185" s="36"/>
      <c r="M2185" s="36"/>
      <c r="N2185" s="37"/>
      <c r="O2185" s="37"/>
      <c r="P2185" s="39"/>
      <c r="Q2185" s="37" t="s">
        <v>4760</v>
      </c>
      <c r="R2185" s="37"/>
      <c r="S2185" s="37" t="s">
        <v>4687</v>
      </c>
      <c r="T2185" s="31"/>
    </row>
    <row r="2186" spans="1:20">
      <c r="A2186" s="31"/>
      <c r="B2186" s="32"/>
      <c r="C2186" s="33"/>
      <c r="D2186" s="32" t="s">
        <v>4761</v>
      </c>
      <c r="E2186" s="33" t="s">
        <v>4701</v>
      </c>
      <c r="F2186" s="34">
        <v>1</v>
      </c>
      <c r="G2186" s="35">
        <v>0</v>
      </c>
      <c r="H2186" s="35">
        <v>0</v>
      </c>
      <c r="I2186" s="35">
        <f>Tabla1[[#This Row],[P.U. M.N.]]*Tabla1[[#This Row],[CANTIDADES DE REFERENCIA]]</f>
        <v>0</v>
      </c>
      <c r="J2186" s="35">
        <f>Tabla1[[#This Row],[P.U. USD]]*Tabla1[[#This Row],[CANTIDADES DE REFERENCIA]]</f>
        <v>0</v>
      </c>
      <c r="K2186" s="36"/>
      <c r="L2186" s="36"/>
      <c r="M2186" s="36"/>
      <c r="N2186" s="37"/>
      <c r="O2186" s="37"/>
      <c r="P2186" s="39"/>
      <c r="Q2186" s="37" t="s">
        <v>4762</v>
      </c>
      <c r="R2186" s="37"/>
      <c r="S2186" s="37" t="s">
        <v>4687</v>
      </c>
      <c r="T2186" s="31"/>
    </row>
    <row r="2187" spans="1:20">
      <c r="A2187" s="31"/>
      <c r="B2187" s="32"/>
      <c r="C2187" s="33"/>
      <c r="D2187" s="32" t="s">
        <v>4763</v>
      </c>
      <c r="E2187" s="33" t="s">
        <v>4701</v>
      </c>
      <c r="F2187" s="34">
        <v>1</v>
      </c>
      <c r="G2187" s="35">
        <v>0</v>
      </c>
      <c r="H2187" s="35">
        <v>0</v>
      </c>
      <c r="I2187" s="35">
        <f>Tabla1[[#This Row],[P.U. M.N.]]*Tabla1[[#This Row],[CANTIDADES DE REFERENCIA]]</f>
        <v>0</v>
      </c>
      <c r="J2187" s="35">
        <f>Tabla1[[#This Row],[P.U. USD]]*Tabla1[[#This Row],[CANTIDADES DE REFERENCIA]]</f>
        <v>0</v>
      </c>
      <c r="K2187" s="36"/>
      <c r="L2187" s="36"/>
      <c r="M2187" s="36"/>
      <c r="N2187" s="37"/>
      <c r="O2187" s="37"/>
      <c r="P2187" s="39"/>
      <c r="Q2187" s="37" t="s">
        <v>4764</v>
      </c>
      <c r="R2187" s="37"/>
      <c r="S2187" s="37" t="s">
        <v>4687</v>
      </c>
      <c r="T2187" s="31"/>
    </row>
    <row r="2188" spans="1:20">
      <c r="A2188" s="31"/>
      <c r="B2188" s="32"/>
      <c r="C2188" s="33"/>
      <c r="D2188" s="32" t="s">
        <v>4765</v>
      </c>
      <c r="E2188" s="33" t="s">
        <v>4701</v>
      </c>
      <c r="F2188" s="34">
        <v>1</v>
      </c>
      <c r="G2188" s="35">
        <v>0</v>
      </c>
      <c r="H2188" s="35">
        <v>0</v>
      </c>
      <c r="I2188" s="35">
        <f>Tabla1[[#This Row],[P.U. M.N.]]*Tabla1[[#This Row],[CANTIDADES DE REFERENCIA]]</f>
        <v>0</v>
      </c>
      <c r="J2188" s="35">
        <f>Tabla1[[#This Row],[P.U. USD]]*Tabla1[[#This Row],[CANTIDADES DE REFERENCIA]]</f>
        <v>0</v>
      </c>
      <c r="K2188" s="36"/>
      <c r="L2188" s="36"/>
      <c r="M2188" s="36"/>
      <c r="N2188" s="37"/>
      <c r="O2188" s="37"/>
      <c r="P2188" s="39"/>
      <c r="Q2188" s="37" t="s">
        <v>4766</v>
      </c>
      <c r="R2188" s="37"/>
      <c r="S2188" s="37" t="s">
        <v>4687</v>
      </c>
      <c r="T2188" s="31"/>
    </row>
    <row r="2189" spans="1:20">
      <c r="A2189" s="31"/>
      <c r="B2189" s="32"/>
      <c r="C2189" s="33"/>
      <c r="D2189" s="32" t="s">
        <v>4767</v>
      </c>
      <c r="E2189" s="33" t="s">
        <v>4701</v>
      </c>
      <c r="F2189" s="34">
        <v>1</v>
      </c>
      <c r="G2189" s="35">
        <v>0</v>
      </c>
      <c r="H2189" s="35">
        <v>0</v>
      </c>
      <c r="I2189" s="35">
        <f>Tabla1[[#This Row],[P.U. M.N.]]*Tabla1[[#This Row],[CANTIDADES DE REFERENCIA]]</f>
        <v>0</v>
      </c>
      <c r="J2189" s="35">
        <f>Tabla1[[#This Row],[P.U. USD]]*Tabla1[[#This Row],[CANTIDADES DE REFERENCIA]]</f>
        <v>0</v>
      </c>
      <c r="K2189" s="36"/>
      <c r="L2189" s="36"/>
      <c r="M2189" s="36"/>
      <c r="N2189" s="37"/>
      <c r="O2189" s="37"/>
      <c r="P2189" s="39"/>
      <c r="Q2189" s="37" t="s">
        <v>4768</v>
      </c>
      <c r="R2189" s="37"/>
      <c r="S2189" s="37" t="s">
        <v>4687</v>
      </c>
      <c r="T2189" s="31"/>
    </row>
    <row r="2190" spans="1:20">
      <c r="A2190" s="31"/>
      <c r="B2190" s="32"/>
      <c r="C2190" s="33"/>
      <c r="D2190" s="32" t="s">
        <v>4769</v>
      </c>
      <c r="E2190" s="33" t="s">
        <v>4701</v>
      </c>
      <c r="F2190" s="34">
        <v>1</v>
      </c>
      <c r="G2190" s="35">
        <v>0</v>
      </c>
      <c r="H2190" s="35">
        <v>0</v>
      </c>
      <c r="I2190" s="35">
        <f>Tabla1[[#This Row],[P.U. M.N.]]*Tabla1[[#This Row],[CANTIDADES DE REFERENCIA]]</f>
        <v>0</v>
      </c>
      <c r="J2190" s="35">
        <f>Tabla1[[#This Row],[P.U. USD]]*Tabla1[[#This Row],[CANTIDADES DE REFERENCIA]]</f>
        <v>0</v>
      </c>
      <c r="K2190" s="36"/>
      <c r="L2190" s="36"/>
      <c r="M2190" s="36"/>
      <c r="N2190" s="37"/>
      <c r="O2190" s="37"/>
      <c r="P2190" s="39"/>
      <c r="Q2190" s="37" t="s">
        <v>4770</v>
      </c>
      <c r="R2190" s="37"/>
      <c r="S2190" s="37" t="s">
        <v>4687</v>
      </c>
      <c r="T2190" s="31"/>
    </row>
    <row r="2191" spans="1:20">
      <c r="A2191" s="31"/>
      <c r="B2191" s="32"/>
      <c r="C2191" s="33"/>
      <c r="D2191" s="32" t="s">
        <v>4771</v>
      </c>
      <c r="E2191" s="33" t="s">
        <v>4701</v>
      </c>
      <c r="F2191" s="34">
        <v>1</v>
      </c>
      <c r="G2191" s="35">
        <v>0</v>
      </c>
      <c r="H2191" s="35">
        <v>0</v>
      </c>
      <c r="I2191" s="35">
        <f>Tabla1[[#This Row],[P.U. M.N.]]*Tabla1[[#This Row],[CANTIDADES DE REFERENCIA]]</f>
        <v>0</v>
      </c>
      <c r="J2191" s="35">
        <f>Tabla1[[#This Row],[P.U. USD]]*Tabla1[[#This Row],[CANTIDADES DE REFERENCIA]]</f>
        <v>0</v>
      </c>
      <c r="K2191" s="36"/>
      <c r="L2191" s="36"/>
      <c r="M2191" s="36"/>
      <c r="N2191" s="37"/>
      <c r="O2191" s="37"/>
      <c r="P2191" s="39"/>
      <c r="Q2191" s="37" t="s">
        <v>4772</v>
      </c>
      <c r="R2191" s="37"/>
      <c r="S2191" s="37" t="s">
        <v>4687</v>
      </c>
      <c r="T2191" s="31"/>
    </row>
    <row r="2192" spans="1:20">
      <c r="A2192" s="31"/>
      <c r="B2192" s="32"/>
      <c r="C2192" s="33"/>
      <c r="D2192" s="32" t="s">
        <v>4773</v>
      </c>
      <c r="E2192" s="33" t="s">
        <v>42</v>
      </c>
      <c r="F2192" s="34">
        <v>1</v>
      </c>
      <c r="G2192" s="35">
        <v>0</v>
      </c>
      <c r="H2192" s="35">
        <v>0</v>
      </c>
      <c r="I2192" s="35">
        <f>Tabla1[[#This Row],[P.U. M.N.]]*Tabla1[[#This Row],[CANTIDADES DE REFERENCIA]]</f>
        <v>0</v>
      </c>
      <c r="J2192" s="35">
        <f>Tabla1[[#This Row],[P.U. USD]]*Tabla1[[#This Row],[CANTIDADES DE REFERENCIA]]</f>
        <v>0</v>
      </c>
      <c r="K2192" s="36"/>
      <c r="L2192" s="36"/>
      <c r="M2192" s="36"/>
      <c r="N2192" s="37"/>
      <c r="O2192" s="37"/>
      <c r="P2192" s="39"/>
      <c r="Q2192" s="37" t="s">
        <v>4774</v>
      </c>
      <c r="R2192" s="37"/>
      <c r="S2192" s="37" t="s">
        <v>4687</v>
      </c>
      <c r="T2192" s="31"/>
    </row>
    <row r="2193" spans="1:20">
      <c r="A2193" s="31"/>
      <c r="B2193" s="32"/>
      <c r="C2193" s="33"/>
      <c r="D2193" s="32" t="s">
        <v>4775</v>
      </c>
      <c r="E2193" s="33" t="s">
        <v>4701</v>
      </c>
      <c r="F2193" s="34">
        <v>1</v>
      </c>
      <c r="G2193" s="35">
        <v>0</v>
      </c>
      <c r="H2193" s="35">
        <v>0</v>
      </c>
      <c r="I2193" s="35">
        <f>Tabla1[[#This Row],[P.U. M.N.]]*Tabla1[[#This Row],[CANTIDADES DE REFERENCIA]]</f>
        <v>0</v>
      </c>
      <c r="J2193" s="35">
        <f>Tabla1[[#This Row],[P.U. USD]]*Tabla1[[#This Row],[CANTIDADES DE REFERENCIA]]</f>
        <v>0</v>
      </c>
      <c r="K2193" s="36"/>
      <c r="L2193" s="36"/>
      <c r="M2193" s="36"/>
      <c r="N2193" s="37"/>
      <c r="O2193" s="37"/>
      <c r="P2193" s="39"/>
      <c r="Q2193" s="37" t="s">
        <v>4776</v>
      </c>
      <c r="R2193" s="37"/>
      <c r="S2193" s="37" t="s">
        <v>4687</v>
      </c>
      <c r="T2193" s="31"/>
    </row>
    <row r="2194" spans="1:20">
      <c r="A2194" s="31"/>
      <c r="B2194" s="32"/>
      <c r="C2194" s="33"/>
      <c r="D2194" s="32" t="s">
        <v>4777</v>
      </c>
      <c r="E2194" s="33" t="s">
        <v>4701</v>
      </c>
      <c r="F2194" s="34">
        <v>1</v>
      </c>
      <c r="G2194" s="35">
        <v>0</v>
      </c>
      <c r="H2194" s="35">
        <v>0</v>
      </c>
      <c r="I2194" s="35">
        <f>Tabla1[[#This Row],[P.U. M.N.]]*Tabla1[[#This Row],[CANTIDADES DE REFERENCIA]]</f>
        <v>0</v>
      </c>
      <c r="J2194" s="35">
        <f>Tabla1[[#This Row],[P.U. USD]]*Tabla1[[#This Row],[CANTIDADES DE REFERENCIA]]</f>
        <v>0</v>
      </c>
      <c r="K2194" s="36"/>
      <c r="L2194" s="36"/>
      <c r="M2194" s="36"/>
      <c r="N2194" s="37"/>
      <c r="O2194" s="37"/>
      <c r="P2194" s="39"/>
      <c r="Q2194" s="37" t="s">
        <v>4778</v>
      </c>
      <c r="R2194" s="37"/>
      <c r="S2194" s="37" t="s">
        <v>4687</v>
      </c>
      <c r="T2194" s="31"/>
    </row>
    <row r="2195" spans="1:20">
      <c r="A2195" s="31"/>
      <c r="B2195" s="32"/>
      <c r="C2195" s="33"/>
      <c r="D2195" s="32" t="s">
        <v>4779</v>
      </c>
      <c r="E2195" s="33" t="s">
        <v>42</v>
      </c>
      <c r="F2195" s="34">
        <v>1</v>
      </c>
      <c r="G2195" s="35">
        <v>0</v>
      </c>
      <c r="H2195" s="35">
        <v>0</v>
      </c>
      <c r="I2195" s="35">
        <f>Tabla1[[#This Row],[P.U. M.N.]]*Tabla1[[#This Row],[CANTIDADES DE REFERENCIA]]</f>
        <v>0</v>
      </c>
      <c r="J2195" s="35">
        <f>Tabla1[[#This Row],[P.U. USD]]*Tabla1[[#This Row],[CANTIDADES DE REFERENCIA]]</f>
        <v>0</v>
      </c>
      <c r="K2195" s="36"/>
      <c r="L2195" s="36"/>
      <c r="M2195" s="36"/>
      <c r="N2195" s="37"/>
      <c r="O2195" s="37"/>
      <c r="P2195" s="39"/>
      <c r="Q2195" s="37" t="s">
        <v>4780</v>
      </c>
      <c r="R2195" s="37"/>
      <c r="S2195" s="37" t="s">
        <v>4687</v>
      </c>
      <c r="T2195" s="31"/>
    </row>
    <row r="2196" spans="1:20">
      <c r="A2196" s="31"/>
      <c r="B2196" s="32"/>
      <c r="C2196" s="33"/>
      <c r="D2196" s="32" t="s">
        <v>4781</v>
      </c>
      <c r="E2196" s="33" t="s">
        <v>4701</v>
      </c>
      <c r="F2196" s="34">
        <v>1</v>
      </c>
      <c r="G2196" s="35">
        <v>0</v>
      </c>
      <c r="H2196" s="35">
        <v>0</v>
      </c>
      <c r="I2196" s="35">
        <f>Tabla1[[#This Row],[P.U. M.N.]]*Tabla1[[#This Row],[CANTIDADES DE REFERENCIA]]</f>
        <v>0</v>
      </c>
      <c r="J2196" s="35">
        <f>Tabla1[[#This Row],[P.U. USD]]*Tabla1[[#This Row],[CANTIDADES DE REFERENCIA]]</f>
        <v>0</v>
      </c>
      <c r="K2196" s="36"/>
      <c r="L2196" s="36"/>
      <c r="M2196" s="36"/>
      <c r="N2196" s="37"/>
      <c r="O2196" s="37"/>
      <c r="P2196" s="39"/>
      <c r="Q2196" s="37" t="s">
        <v>4782</v>
      </c>
      <c r="R2196" s="37"/>
      <c r="S2196" s="37" t="s">
        <v>4687</v>
      </c>
      <c r="T2196" s="31"/>
    </row>
    <row r="2197" spans="1:20">
      <c r="A2197" s="31"/>
      <c r="B2197" s="32"/>
      <c r="C2197" s="33"/>
      <c r="D2197" s="32" t="s">
        <v>4783</v>
      </c>
      <c r="E2197" s="33" t="s">
        <v>4701</v>
      </c>
      <c r="F2197" s="34">
        <v>1</v>
      </c>
      <c r="G2197" s="35">
        <v>0</v>
      </c>
      <c r="H2197" s="35">
        <v>0</v>
      </c>
      <c r="I2197" s="35">
        <f>Tabla1[[#This Row],[P.U. M.N.]]*Tabla1[[#This Row],[CANTIDADES DE REFERENCIA]]</f>
        <v>0</v>
      </c>
      <c r="J2197" s="35">
        <f>Tabla1[[#This Row],[P.U. USD]]*Tabla1[[#This Row],[CANTIDADES DE REFERENCIA]]</f>
        <v>0</v>
      </c>
      <c r="K2197" s="36"/>
      <c r="L2197" s="36"/>
      <c r="M2197" s="36"/>
      <c r="N2197" s="37"/>
      <c r="O2197" s="37"/>
      <c r="P2197" s="39"/>
      <c r="Q2197" s="37" t="s">
        <v>4784</v>
      </c>
      <c r="R2197" s="37"/>
      <c r="S2197" s="37" t="s">
        <v>4687</v>
      </c>
      <c r="T2197" s="31"/>
    </row>
    <row r="2198" spans="1:20">
      <c r="A2198" s="31"/>
      <c r="B2198" s="32"/>
      <c r="C2198" s="33"/>
      <c r="D2198" s="32" t="s">
        <v>4785</v>
      </c>
      <c r="E2198" s="33" t="s">
        <v>4701</v>
      </c>
      <c r="F2198" s="34">
        <v>1</v>
      </c>
      <c r="G2198" s="35">
        <v>0</v>
      </c>
      <c r="H2198" s="35">
        <v>0</v>
      </c>
      <c r="I2198" s="35">
        <f>Tabla1[[#This Row],[P.U. M.N.]]*Tabla1[[#This Row],[CANTIDADES DE REFERENCIA]]</f>
        <v>0</v>
      </c>
      <c r="J2198" s="35">
        <f>Tabla1[[#This Row],[P.U. USD]]*Tabla1[[#This Row],[CANTIDADES DE REFERENCIA]]</f>
        <v>0</v>
      </c>
      <c r="K2198" s="36"/>
      <c r="L2198" s="36"/>
      <c r="M2198" s="36"/>
      <c r="N2198" s="37"/>
      <c r="O2198" s="37"/>
      <c r="P2198" s="39"/>
      <c r="Q2198" s="37" t="s">
        <v>4786</v>
      </c>
      <c r="R2198" s="37"/>
      <c r="S2198" s="37" t="s">
        <v>4687</v>
      </c>
      <c r="T2198" s="31"/>
    </row>
    <row r="2199" spans="1:20">
      <c r="A2199" s="31"/>
      <c r="B2199" s="32"/>
      <c r="C2199" s="33"/>
      <c r="D2199" s="32" t="s">
        <v>4787</v>
      </c>
      <c r="E2199" s="33" t="s">
        <v>4701</v>
      </c>
      <c r="F2199" s="34">
        <v>1</v>
      </c>
      <c r="G2199" s="35">
        <v>0</v>
      </c>
      <c r="H2199" s="35">
        <v>0</v>
      </c>
      <c r="I2199" s="35">
        <f>Tabla1[[#This Row],[P.U. M.N.]]*Tabla1[[#This Row],[CANTIDADES DE REFERENCIA]]</f>
        <v>0</v>
      </c>
      <c r="J2199" s="35">
        <f>Tabla1[[#This Row],[P.U. USD]]*Tabla1[[#This Row],[CANTIDADES DE REFERENCIA]]</f>
        <v>0</v>
      </c>
      <c r="K2199" s="36"/>
      <c r="L2199" s="36"/>
      <c r="M2199" s="36"/>
      <c r="N2199" s="37"/>
      <c r="O2199" s="37"/>
      <c r="P2199" s="39"/>
      <c r="Q2199" s="37" t="s">
        <v>4788</v>
      </c>
      <c r="R2199" s="37"/>
      <c r="S2199" s="37" t="s">
        <v>4687</v>
      </c>
      <c r="T2199" s="31"/>
    </row>
    <row r="2200" spans="1:20">
      <c r="A2200" s="31"/>
      <c r="B2200" s="32"/>
      <c r="C2200" s="33"/>
      <c r="D2200" s="32" t="s">
        <v>4789</v>
      </c>
      <c r="E2200" s="33" t="s">
        <v>116</v>
      </c>
      <c r="F2200" s="34">
        <v>1</v>
      </c>
      <c r="G2200" s="35">
        <v>0</v>
      </c>
      <c r="H2200" s="35">
        <v>0</v>
      </c>
      <c r="I2200" s="35">
        <f>Tabla1[[#This Row],[P.U. M.N.]]*Tabla1[[#This Row],[CANTIDADES DE REFERENCIA]]</f>
        <v>0</v>
      </c>
      <c r="J2200" s="35">
        <f>Tabla1[[#This Row],[P.U. USD]]*Tabla1[[#This Row],[CANTIDADES DE REFERENCIA]]</f>
        <v>0</v>
      </c>
      <c r="K2200" s="36"/>
      <c r="L2200" s="36"/>
      <c r="M2200" s="36"/>
      <c r="N2200" s="37"/>
      <c r="O2200" s="37"/>
      <c r="P2200" s="39"/>
      <c r="Q2200" s="37" t="s">
        <v>4790</v>
      </c>
      <c r="R2200" s="37"/>
      <c r="S2200" s="37" t="s">
        <v>4687</v>
      </c>
      <c r="T2200" s="31"/>
    </row>
    <row r="2201" spans="1:20">
      <c r="A2201" s="31"/>
      <c r="B2201" s="32"/>
      <c r="C2201" s="33"/>
      <c r="D2201" s="32" t="s">
        <v>4791</v>
      </c>
      <c r="E2201" s="33" t="s">
        <v>42</v>
      </c>
      <c r="F2201" s="34">
        <v>1</v>
      </c>
      <c r="G2201" s="35">
        <v>0</v>
      </c>
      <c r="H2201" s="35">
        <v>0</v>
      </c>
      <c r="I2201" s="35">
        <f>Tabla1[[#This Row],[P.U. M.N.]]*Tabla1[[#This Row],[CANTIDADES DE REFERENCIA]]</f>
        <v>0</v>
      </c>
      <c r="J2201" s="35">
        <f>Tabla1[[#This Row],[P.U. USD]]*Tabla1[[#This Row],[CANTIDADES DE REFERENCIA]]</f>
        <v>0</v>
      </c>
      <c r="K2201" s="36"/>
      <c r="L2201" s="36"/>
      <c r="M2201" s="36"/>
      <c r="N2201" s="37"/>
      <c r="O2201" s="37"/>
      <c r="P2201" s="39"/>
      <c r="Q2201" s="37" t="s">
        <v>4792</v>
      </c>
      <c r="R2201" s="37"/>
      <c r="S2201" s="37" t="s">
        <v>4687</v>
      </c>
      <c r="T2201" s="31"/>
    </row>
    <row r="2202" spans="1:20">
      <c r="A2202" s="31"/>
      <c r="B2202" s="32"/>
      <c r="C2202" s="33"/>
      <c r="D2202" s="32" t="s">
        <v>4793</v>
      </c>
      <c r="E2202" s="33" t="s">
        <v>4701</v>
      </c>
      <c r="F2202" s="34">
        <v>1</v>
      </c>
      <c r="G2202" s="35">
        <v>0</v>
      </c>
      <c r="H2202" s="35">
        <v>0</v>
      </c>
      <c r="I2202" s="35">
        <f>Tabla1[[#This Row],[P.U. M.N.]]*Tabla1[[#This Row],[CANTIDADES DE REFERENCIA]]</f>
        <v>0</v>
      </c>
      <c r="J2202" s="35">
        <f>Tabla1[[#This Row],[P.U. USD]]*Tabla1[[#This Row],[CANTIDADES DE REFERENCIA]]</f>
        <v>0</v>
      </c>
      <c r="K2202" s="36"/>
      <c r="L2202" s="36"/>
      <c r="M2202" s="36"/>
      <c r="N2202" s="37"/>
      <c r="O2202" s="37"/>
      <c r="P2202" s="39"/>
      <c r="Q2202" s="37" t="s">
        <v>4794</v>
      </c>
      <c r="R2202" s="37"/>
      <c r="S2202" s="37" t="s">
        <v>4687</v>
      </c>
      <c r="T2202" s="31"/>
    </row>
    <row r="2203" spans="1:20">
      <c r="A2203" s="31"/>
      <c r="B2203" s="32"/>
      <c r="C2203" s="33"/>
      <c r="D2203" s="32" t="s">
        <v>4795</v>
      </c>
      <c r="E2203" s="33" t="s">
        <v>4701</v>
      </c>
      <c r="F2203" s="34">
        <v>1</v>
      </c>
      <c r="G2203" s="35">
        <v>0</v>
      </c>
      <c r="H2203" s="35">
        <v>0</v>
      </c>
      <c r="I2203" s="35">
        <f>Tabla1[[#This Row],[P.U. M.N.]]*Tabla1[[#This Row],[CANTIDADES DE REFERENCIA]]</f>
        <v>0</v>
      </c>
      <c r="J2203" s="35">
        <f>Tabla1[[#This Row],[P.U. USD]]*Tabla1[[#This Row],[CANTIDADES DE REFERENCIA]]</f>
        <v>0</v>
      </c>
      <c r="K2203" s="36"/>
      <c r="L2203" s="36"/>
      <c r="M2203" s="36"/>
      <c r="N2203" s="37"/>
      <c r="O2203" s="37"/>
      <c r="P2203" s="39"/>
      <c r="Q2203" s="37" t="s">
        <v>4796</v>
      </c>
      <c r="R2203" s="37"/>
      <c r="S2203" s="37" t="s">
        <v>4687</v>
      </c>
      <c r="T2203" s="31"/>
    </row>
    <row r="2204" spans="1:20">
      <c r="A2204" s="31"/>
      <c r="B2204" s="32"/>
      <c r="C2204" s="33"/>
      <c r="D2204" s="32" t="s">
        <v>4797</v>
      </c>
      <c r="E2204" s="33" t="s">
        <v>4701</v>
      </c>
      <c r="F2204" s="34">
        <v>1</v>
      </c>
      <c r="G2204" s="35">
        <v>0</v>
      </c>
      <c r="H2204" s="35">
        <v>0</v>
      </c>
      <c r="I2204" s="35">
        <f>Tabla1[[#This Row],[P.U. M.N.]]*Tabla1[[#This Row],[CANTIDADES DE REFERENCIA]]</f>
        <v>0</v>
      </c>
      <c r="J2204" s="35">
        <f>Tabla1[[#This Row],[P.U. USD]]*Tabla1[[#This Row],[CANTIDADES DE REFERENCIA]]</f>
        <v>0</v>
      </c>
      <c r="K2204" s="36"/>
      <c r="L2204" s="36"/>
      <c r="M2204" s="36"/>
      <c r="N2204" s="37"/>
      <c r="O2204" s="37"/>
      <c r="P2204" s="39"/>
      <c r="Q2204" s="37" t="s">
        <v>4798</v>
      </c>
      <c r="R2204" s="37"/>
      <c r="S2204" s="37" t="s">
        <v>4687</v>
      </c>
      <c r="T2204" s="31"/>
    </row>
    <row r="2205" spans="1:20">
      <c r="A2205" s="31"/>
      <c r="B2205" s="32"/>
      <c r="C2205" s="33"/>
      <c r="D2205" s="32" t="s">
        <v>4799</v>
      </c>
      <c r="E2205" s="33" t="s">
        <v>4701</v>
      </c>
      <c r="F2205" s="34">
        <v>1</v>
      </c>
      <c r="G2205" s="35">
        <v>0</v>
      </c>
      <c r="H2205" s="35">
        <v>0</v>
      </c>
      <c r="I2205" s="35">
        <f>Tabla1[[#This Row],[P.U. M.N.]]*Tabla1[[#This Row],[CANTIDADES DE REFERENCIA]]</f>
        <v>0</v>
      </c>
      <c r="J2205" s="35">
        <f>Tabla1[[#This Row],[P.U. USD]]*Tabla1[[#This Row],[CANTIDADES DE REFERENCIA]]</f>
        <v>0</v>
      </c>
      <c r="K2205" s="36"/>
      <c r="L2205" s="36"/>
      <c r="M2205" s="36"/>
      <c r="N2205" s="37"/>
      <c r="O2205" s="37"/>
      <c r="P2205" s="39"/>
      <c r="Q2205" s="37" t="s">
        <v>4800</v>
      </c>
      <c r="R2205" s="37"/>
      <c r="S2205" s="37" t="s">
        <v>4687</v>
      </c>
      <c r="T2205" s="31"/>
    </row>
    <row r="2206" spans="1:20">
      <c r="A2206" s="31"/>
      <c r="B2206" s="32"/>
      <c r="C2206" s="33"/>
      <c r="D2206" s="32" t="s">
        <v>4801</v>
      </c>
      <c r="E2206" s="33" t="s">
        <v>4701</v>
      </c>
      <c r="F2206" s="34">
        <v>1</v>
      </c>
      <c r="G2206" s="35">
        <v>0</v>
      </c>
      <c r="H2206" s="35">
        <v>0</v>
      </c>
      <c r="I2206" s="35">
        <f>Tabla1[[#This Row],[P.U. M.N.]]*Tabla1[[#This Row],[CANTIDADES DE REFERENCIA]]</f>
        <v>0</v>
      </c>
      <c r="J2206" s="35">
        <f>Tabla1[[#This Row],[P.U. USD]]*Tabla1[[#This Row],[CANTIDADES DE REFERENCIA]]</f>
        <v>0</v>
      </c>
      <c r="K2206" s="36"/>
      <c r="L2206" s="36"/>
      <c r="M2206" s="36"/>
      <c r="N2206" s="37"/>
      <c r="O2206" s="37"/>
      <c r="P2206" s="39"/>
      <c r="Q2206" s="37" t="s">
        <v>4802</v>
      </c>
      <c r="R2206" s="37"/>
      <c r="S2206" s="37" t="s">
        <v>4687</v>
      </c>
      <c r="T2206" s="31"/>
    </row>
    <row r="2207" spans="1:20">
      <c r="A2207" s="31"/>
      <c r="B2207" s="32"/>
      <c r="C2207" s="33"/>
      <c r="D2207" s="32" t="s">
        <v>4803</v>
      </c>
      <c r="E2207" s="33" t="s">
        <v>4701</v>
      </c>
      <c r="F2207" s="34">
        <v>1</v>
      </c>
      <c r="G2207" s="35">
        <v>0</v>
      </c>
      <c r="H2207" s="35">
        <v>0</v>
      </c>
      <c r="I2207" s="35">
        <f>Tabla1[[#This Row],[P.U. M.N.]]*Tabla1[[#This Row],[CANTIDADES DE REFERENCIA]]</f>
        <v>0</v>
      </c>
      <c r="J2207" s="35">
        <f>Tabla1[[#This Row],[P.U. USD]]*Tabla1[[#This Row],[CANTIDADES DE REFERENCIA]]</f>
        <v>0</v>
      </c>
      <c r="K2207" s="36"/>
      <c r="L2207" s="36"/>
      <c r="M2207" s="36"/>
      <c r="N2207" s="37"/>
      <c r="O2207" s="37"/>
      <c r="P2207" s="39"/>
      <c r="Q2207" s="37" t="s">
        <v>4804</v>
      </c>
      <c r="R2207" s="37"/>
      <c r="S2207" s="37" t="s">
        <v>4687</v>
      </c>
      <c r="T2207" s="31"/>
    </row>
    <row r="2208" spans="1:20">
      <c r="A2208" s="31"/>
      <c r="B2208" s="32"/>
      <c r="C2208" s="33"/>
      <c r="D2208" s="32" t="s">
        <v>4805</v>
      </c>
      <c r="E2208" s="33" t="s">
        <v>4701</v>
      </c>
      <c r="F2208" s="34">
        <v>1</v>
      </c>
      <c r="G2208" s="35">
        <v>0</v>
      </c>
      <c r="H2208" s="35">
        <v>0</v>
      </c>
      <c r="I2208" s="35">
        <f>Tabla1[[#This Row],[P.U. M.N.]]*Tabla1[[#This Row],[CANTIDADES DE REFERENCIA]]</f>
        <v>0</v>
      </c>
      <c r="J2208" s="35">
        <f>Tabla1[[#This Row],[P.U. USD]]*Tabla1[[#This Row],[CANTIDADES DE REFERENCIA]]</f>
        <v>0</v>
      </c>
      <c r="K2208" s="36"/>
      <c r="L2208" s="36"/>
      <c r="M2208" s="36"/>
      <c r="N2208" s="37"/>
      <c r="O2208" s="37"/>
      <c r="P2208" s="39"/>
      <c r="Q2208" s="37" t="s">
        <v>4806</v>
      </c>
      <c r="R2208" s="37"/>
      <c r="S2208" s="37" t="s">
        <v>4687</v>
      </c>
      <c r="T2208" s="31"/>
    </row>
    <row r="2209" spans="1:20">
      <c r="A2209" s="31"/>
      <c r="B2209" s="32"/>
      <c r="C2209" s="33"/>
      <c r="D2209" s="32" t="s">
        <v>4807</v>
      </c>
      <c r="E2209" s="33" t="s">
        <v>4701</v>
      </c>
      <c r="F2209" s="34">
        <v>1</v>
      </c>
      <c r="G2209" s="35">
        <v>0</v>
      </c>
      <c r="H2209" s="35">
        <v>0</v>
      </c>
      <c r="I2209" s="35">
        <f>Tabla1[[#This Row],[P.U. M.N.]]*Tabla1[[#This Row],[CANTIDADES DE REFERENCIA]]</f>
        <v>0</v>
      </c>
      <c r="J2209" s="35">
        <f>Tabla1[[#This Row],[P.U. USD]]*Tabla1[[#This Row],[CANTIDADES DE REFERENCIA]]</f>
        <v>0</v>
      </c>
      <c r="K2209" s="36"/>
      <c r="L2209" s="36"/>
      <c r="M2209" s="36"/>
      <c r="N2209" s="37"/>
      <c r="O2209" s="37"/>
      <c r="P2209" s="39"/>
      <c r="Q2209" s="37" t="s">
        <v>4808</v>
      </c>
      <c r="R2209" s="37"/>
      <c r="S2209" s="37" t="s">
        <v>4687</v>
      </c>
      <c r="T2209" s="31"/>
    </row>
    <row r="2210" spans="1:20">
      <c r="A2210" s="31"/>
      <c r="B2210" s="32"/>
      <c r="C2210" s="33"/>
      <c r="D2210" s="32" t="s">
        <v>4809</v>
      </c>
      <c r="E2210" s="33" t="s">
        <v>4701</v>
      </c>
      <c r="F2210" s="34">
        <v>1</v>
      </c>
      <c r="G2210" s="35">
        <v>0</v>
      </c>
      <c r="H2210" s="35">
        <v>0</v>
      </c>
      <c r="I2210" s="35">
        <f>Tabla1[[#This Row],[P.U. M.N.]]*Tabla1[[#This Row],[CANTIDADES DE REFERENCIA]]</f>
        <v>0</v>
      </c>
      <c r="J2210" s="35">
        <f>Tabla1[[#This Row],[P.U. USD]]*Tabla1[[#This Row],[CANTIDADES DE REFERENCIA]]</f>
        <v>0</v>
      </c>
      <c r="K2210" s="36"/>
      <c r="L2210" s="36"/>
      <c r="M2210" s="36"/>
      <c r="N2210" s="37"/>
      <c r="O2210" s="37"/>
      <c r="P2210" s="39"/>
      <c r="Q2210" s="37" t="s">
        <v>4810</v>
      </c>
      <c r="R2210" s="37"/>
      <c r="S2210" s="37" t="s">
        <v>4687</v>
      </c>
      <c r="T2210" s="31"/>
    </row>
    <row r="2211" spans="1:20">
      <c r="A2211" s="31"/>
      <c r="B2211" s="32"/>
      <c r="C2211" s="33"/>
      <c r="D2211" s="32" t="s">
        <v>4811</v>
      </c>
      <c r="E2211" s="33" t="s">
        <v>4701</v>
      </c>
      <c r="F2211" s="34">
        <v>1</v>
      </c>
      <c r="G2211" s="35">
        <v>0</v>
      </c>
      <c r="H2211" s="35">
        <v>0</v>
      </c>
      <c r="I2211" s="35">
        <f>Tabla1[[#This Row],[P.U. M.N.]]*Tabla1[[#This Row],[CANTIDADES DE REFERENCIA]]</f>
        <v>0</v>
      </c>
      <c r="J2211" s="35">
        <f>Tabla1[[#This Row],[P.U. USD]]*Tabla1[[#This Row],[CANTIDADES DE REFERENCIA]]</f>
        <v>0</v>
      </c>
      <c r="K2211" s="36"/>
      <c r="L2211" s="36"/>
      <c r="M2211" s="36"/>
      <c r="N2211" s="37"/>
      <c r="O2211" s="37"/>
      <c r="P2211" s="39"/>
      <c r="Q2211" s="37" t="s">
        <v>4812</v>
      </c>
      <c r="R2211" s="37"/>
      <c r="S2211" s="37" t="s">
        <v>4687</v>
      </c>
      <c r="T2211" s="31"/>
    </row>
    <row r="2212" spans="1:20">
      <c r="A2212" s="31"/>
      <c r="B2212" s="32"/>
      <c r="C2212" s="33"/>
      <c r="D2212" s="32" t="s">
        <v>4813</v>
      </c>
      <c r="E2212" s="33" t="s">
        <v>4701</v>
      </c>
      <c r="F2212" s="34">
        <v>1</v>
      </c>
      <c r="G2212" s="35">
        <v>0</v>
      </c>
      <c r="H2212" s="35">
        <v>0</v>
      </c>
      <c r="I2212" s="35">
        <f>Tabla1[[#This Row],[P.U. M.N.]]*Tabla1[[#This Row],[CANTIDADES DE REFERENCIA]]</f>
        <v>0</v>
      </c>
      <c r="J2212" s="35">
        <f>Tabla1[[#This Row],[P.U. USD]]*Tabla1[[#This Row],[CANTIDADES DE REFERENCIA]]</f>
        <v>0</v>
      </c>
      <c r="K2212" s="36"/>
      <c r="L2212" s="36"/>
      <c r="M2212" s="36"/>
      <c r="N2212" s="37"/>
      <c r="O2212" s="37"/>
      <c r="P2212" s="39"/>
      <c r="Q2212" s="37" t="s">
        <v>4814</v>
      </c>
      <c r="R2212" s="37"/>
      <c r="S2212" s="37" t="s">
        <v>4687</v>
      </c>
      <c r="T2212" s="31"/>
    </row>
    <row r="2213" spans="1:20">
      <c r="A2213" s="31"/>
      <c r="B2213" s="32"/>
      <c r="C2213" s="33"/>
      <c r="D2213" s="32" t="s">
        <v>4815</v>
      </c>
      <c r="E2213" s="33" t="s">
        <v>4701</v>
      </c>
      <c r="F2213" s="34">
        <v>1</v>
      </c>
      <c r="G2213" s="35">
        <v>0</v>
      </c>
      <c r="H2213" s="35">
        <v>0</v>
      </c>
      <c r="I2213" s="35">
        <f>Tabla1[[#This Row],[P.U. M.N.]]*Tabla1[[#This Row],[CANTIDADES DE REFERENCIA]]</f>
        <v>0</v>
      </c>
      <c r="J2213" s="35">
        <f>Tabla1[[#This Row],[P.U. USD]]*Tabla1[[#This Row],[CANTIDADES DE REFERENCIA]]</f>
        <v>0</v>
      </c>
      <c r="K2213" s="36"/>
      <c r="L2213" s="36"/>
      <c r="M2213" s="36"/>
      <c r="N2213" s="37"/>
      <c r="O2213" s="37"/>
      <c r="P2213" s="39"/>
      <c r="Q2213" s="37" t="s">
        <v>4816</v>
      </c>
      <c r="R2213" s="37"/>
      <c r="S2213" s="37" t="s">
        <v>4687</v>
      </c>
      <c r="T2213" s="31"/>
    </row>
    <row r="2214" spans="1:20">
      <c r="A2214" s="31"/>
      <c r="B2214" s="32"/>
      <c r="C2214" s="33"/>
      <c r="D2214" s="32" t="s">
        <v>4817</v>
      </c>
      <c r="E2214" s="33" t="s">
        <v>4701</v>
      </c>
      <c r="F2214" s="34">
        <v>1</v>
      </c>
      <c r="G2214" s="35">
        <v>0</v>
      </c>
      <c r="H2214" s="35">
        <v>0</v>
      </c>
      <c r="I2214" s="35">
        <f>Tabla1[[#This Row],[P.U. M.N.]]*Tabla1[[#This Row],[CANTIDADES DE REFERENCIA]]</f>
        <v>0</v>
      </c>
      <c r="J2214" s="35">
        <f>Tabla1[[#This Row],[P.U. USD]]*Tabla1[[#This Row],[CANTIDADES DE REFERENCIA]]</f>
        <v>0</v>
      </c>
      <c r="K2214" s="36"/>
      <c r="L2214" s="36"/>
      <c r="M2214" s="36"/>
      <c r="N2214" s="37"/>
      <c r="O2214" s="37"/>
      <c r="P2214" s="39"/>
      <c r="Q2214" s="37" t="s">
        <v>4818</v>
      </c>
      <c r="R2214" s="37"/>
      <c r="S2214" s="37" t="s">
        <v>4687</v>
      </c>
      <c r="T2214" s="31"/>
    </row>
    <row r="2215" spans="1:20">
      <c r="A2215" s="31"/>
      <c r="B2215" s="32"/>
      <c r="C2215" s="33"/>
      <c r="D2215" s="32" t="s">
        <v>4819</v>
      </c>
      <c r="E2215" s="33" t="s">
        <v>135</v>
      </c>
      <c r="F2215" s="34">
        <v>1</v>
      </c>
      <c r="G2215" s="35">
        <v>0</v>
      </c>
      <c r="H2215" s="35">
        <v>0</v>
      </c>
      <c r="I2215" s="35">
        <f>Tabla1[[#This Row],[P.U. M.N.]]*Tabla1[[#This Row],[CANTIDADES DE REFERENCIA]]</f>
        <v>0</v>
      </c>
      <c r="J2215" s="35">
        <f>Tabla1[[#This Row],[P.U. USD]]*Tabla1[[#This Row],[CANTIDADES DE REFERENCIA]]</f>
        <v>0</v>
      </c>
      <c r="K2215" s="36"/>
      <c r="L2215" s="36"/>
      <c r="M2215" s="36"/>
      <c r="N2215" s="37"/>
      <c r="O2215" s="37"/>
      <c r="P2215" s="39"/>
      <c r="Q2215" s="37" t="s">
        <v>4820</v>
      </c>
      <c r="R2215" s="37"/>
      <c r="S2215" s="37" t="s">
        <v>4687</v>
      </c>
      <c r="T2215" s="31"/>
    </row>
    <row r="2216" spans="1:20">
      <c r="A2216" s="31"/>
      <c r="B2216" s="32"/>
      <c r="C2216" s="33"/>
      <c r="D2216" s="32" t="s">
        <v>4819</v>
      </c>
      <c r="E2216" s="33" t="s">
        <v>135</v>
      </c>
      <c r="F2216" s="34">
        <v>1</v>
      </c>
      <c r="G2216" s="35">
        <v>0</v>
      </c>
      <c r="H2216" s="35">
        <v>0</v>
      </c>
      <c r="I2216" s="35">
        <f>Tabla1[[#This Row],[P.U. M.N.]]*Tabla1[[#This Row],[CANTIDADES DE REFERENCIA]]</f>
        <v>0</v>
      </c>
      <c r="J2216" s="35">
        <f>Tabla1[[#This Row],[P.U. USD]]*Tabla1[[#This Row],[CANTIDADES DE REFERENCIA]]</f>
        <v>0</v>
      </c>
      <c r="K2216" s="36"/>
      <c r="L2216" s="36"/>
      <c r="M2216" s="36"/>
      <c r="N2216" s="37"/>
      <c r="O2216" s="37"/>
      <c r="P2216" s="39"/>
      <c r="Q2216" s="37" t="s">
        <v>4821</v>
      </c>
      <c r="R2216" s="37"/>
      <c r="S2216" s="37" t="s">
        <v>4687</v>
      </c>
      <c r="T2216" s="31"/>
    </row>
    <row r="2217" spans="1:20">
      <c r="A2217" s="31"/>
      <c r="B2217" s="32"/>
      <c r="C2217" s="33"/>
      <c r="D2217" s="32" t="s">
        <v>4822</v>
      </c>
      <c r="E2217" s="33" t="s">
        <v>135</v>
      </c>
      <c r="F2217" s="34">
        <v>1</v>
      </c>
      <c r="G2217" s="35">
        <v>0</v>
      </c>
      <c r="H2217" s="35">
        <v>0</v>
      </c>
      <c r="I2217" s="35">
        <f>Tabla1[[#This Row],[P.U. M.N.]]*Tabla1[[#This Row],[CANTIDADES DE REFERENCIA]]</f>
        <v>0</v>
      </c>
      <c r="J2217" s="35">
        <f>Tabla1[[#This Row],[P.U. USD]]*Tabla1[[#This Row],[CANTIDADES DE REFERENCIA]]</f>
        <v>0</v>
      </c>
      <c r="K2217" s="36"/>
      <c r="L2217" s="36"/>
      <c r="M2217" s="36"/>
      <c r="N2217" s="37"/>
      <c r="O2217" s="37"/>
      <c r="P2217" s="39"/>
      <c r="Q2217" s="37" t="s">
        <v>4823</v>
      </c>
      <c r="R2217" s="37"/>
      <c r="S2217" s="37" t="s">
        <v>4687</v>
      </c>
      <c r="T2217" s="31"/>
    </row>
    <row r="2218" spans="1:20">
      <c r="A2218" s="31"/>
      <c r="B2218" s="32"/>
      <c r="C2218" s="33"/>
      <c r="D2218" s="32" t="s">
        <v>4824</v>
      </c>
      <c r="E2218" s="33" t="s">
        <v>135</v>
      </c>
      <c r="F2218" s="34">
        <v>1</v>
      </c>
      <c r="G2218" s="35">
        <v>0</v>
      </c>
      <c r="H2218" s="35">
        <v>0</v>
      </c>
      <c r="I2218" s="35">
        <f>Tabla1[[#This Row],[P.U. M.N.]]*Tabla1[[#This Row],[CANTIDADES DE REFERENCIA]]</f>
        <v>0</v>
      </c>
      <c r="J2218" s="35">
        <f>Tabla1[[#This Row],[P.U. USD]]*Tabla1[[#This Row],[CANTIDADES DE REFERENCIA]]</f>
        <v>0</v>
      </c>
      <c r="K2218" s="36"/>
      <c r="L2218" s="36"/>
      <c r="M2218" s="36"/>
      <c r="N2218" s="37"/>
      <c r="O2218" s="37"/>
      <c r="P2218" s="39"/>
      <c r="Q2218" s="37" t="s">
        <v>4825</v>
      </c>
      <c r="R2218" s="37"/>
      <c r="S2218" s="37" t="s">
        <v>4687</v>
      </c>
      <c r="T2218" s="31"/>
    </row>
    <row r="2219" spans="1:20">
      <c r="A2219" s="31"/>
      <c r="B2219" s="32"/>
      <c r="C2219" s="33"/>
      <c r="D2219" s="32" t="s">
        <v>4826</v>
      </c>
      <c r="E2219" s="33" t="s">
        <v>135</v>
      </c>
      <c r="F2219" s="34">
        <v>1</v>
      </c>
      <c r="G2219" s="35">
        <v>0</v>
      </c>
      <c r="H2219" s="35">
        <v>0</v>
      </c>
      <c r="I2219" s="35">
        <f>Tabla1[[#This Row],[P.U. M.N.]]*Tabla1[[#This Row],[CANTIDADES DE REFERENCIA]]</f>
        <v>0</v>
      </c>
      <c r="J2219" s="35">
        <f>Tabla1[[#This Row],[P.U. USD]]*Tabla1[[#This Row],[CANTIDADES DE REFERENCIA]]</f>
        <v>0</v>
      </c>
      <c r="K2219" s="36"/>
      <c r="L2219" s="36"/>
      <c r="M2219" s="36"/>
      <c r="N2219" s="37"/>
      <c r="O2219" s="37"/>
      <c r="P2219" s="39"/>
      <c r="Q2219" s="37" t="s">
        <v>4827</v>
      </c>
      <c r="R2219" s="37"/>
      <c r="S2219" s="37" t="s">
        <v>4687</v>
      </c>
      <c r="T2219" s="31"/>
    </row>
    <row r="2220" spans="1:20">
      <c r="A2220" s="31"/>
      <c r="B2220" s="32"/>
      <c r="C2220" s="33"/>
      <c r="D2220" s="32" t="s">
        <v>4828</v>
      </c>
      <c r="E2220" s="33" t="s">
        <v>116</v>
      </c>
      <c r="F2220" s="34">
        <v>1</v>
      </c>
      <c r="G2220" s="35">
        <v>0</v>
      </c>
      <c r="H2220" s="35">
        <v>0</v>
      </c>
      <c r="I2220" s="35">
        <f>Tabla1[[#This Row],[P.U. M.N.]]*Tabla1[[#This Row],[CANTIDADES DE REFERENCIA]]</f>
        <v>0</v>
      </c>
      <c r="J2220" s="35">
        <f>Tabla1[[#This Row],[P.U. USD]]*Tabla1[[#This Row],[CANTIDADES DE REFERENCIA]]</f>
        <v>0</v>
      </c>
      <c r="K2220" s="36"/>
      <c r="L2220" s="36"/>
      <c r="M2220" s="36"/>
      <c r="N2220" s="37"/>
      <c r="O2220" s="37"/>
      <c r="P2220" s="39"/>
      <c r="Q2220" s="37" t="s">
        <v>4829</v>
      </c>
      <c r="R2220" s="37"/>
      <c r="S2220" s="37" t="s">
        <v>4687</v>
      </c>
      <c r="T2220" s="31"/>
    </row>
    <row r="2221" spans="1:20">
      <c r="A2221" s="31"/>
      <c r="B2221" s="32"/>
      <c r="C2221" s="33"/>
      <c r="D2221" s="32" t="s">
        <v>4830</v>
      </c>
      <c r="E2221" s="33" t="s">
        <v>116</v>
      </c>
      <c r="F2221" s="34">
        <v>1</v>
      </c>
      <c r="G2221" s="35">
        <v>0</v>
      </c>
      <c r="H2221" s="35">
        <v>0</v>
      </c>
      <c r="I2221" s="35">
        <f>Tabla1[[#This Row],[P.U. M.N.]]*Tabla1[[#This Row],[CANTIDADES DE REFERENCIA]]</f>
        <v>0</v>
      </c>
      <c r="J2221" s="35">
        <f>Tabla1[[#This Row],[P.U. USD]]*Tabla1[[#This Row],[CANTIDADES DE REFERENCIA]]</f>
        <v>0</v>
      </c>
      <c r="K2221" s="36"/>
      <c r="L2221" s="36"/>
      <c r="M2221" s="36"/>
      <c r="N2221" s="37"/>
      <c r="O2221" s="37"/>
      <c r="P2221" s="39"/>
      <c r="Q2221" s="37" t="s">
        <v>4831</v>
      </c>
      <c r="R2221" s="37"/>
      <c r="S2221" s="37" t="s">
        <v>4687</v>
      </c>
      <c r="T2221" s="31"/>
    </row>
    <row r="2222" spans="1:20">
      <c r="A2222" s="31"/>
      <c r="B2222" s="32"/>
      <c r="C2222" s="33"/>
      <c r="D2222" s="32" t="s">
        <v>4832</v>
      </c>
      <c r="E2222" s="33" t="s">
        <v>116</v>
      </c>
      <c r="F2222" s="34">
        <v>1</v>
      </c>
      <c r="G2222" s="35">
        <v>0</v>
      </c>
      <c r="H2222" s="35">
        <v>0</v>
      </c>
      <c r="I2222" s="35">
        <f>Tabla1[[#This Row],[P.U. M.N.]]*Tabla1[[#This Row],[CANTIDADES DE REFERENCIA]]</f>
        <v>0</v>
      </c>
      <c r="J2222" s="35">
        <f>Tabla1[[#This Row],[P.U. USD]]*Tabla1[[#This Row],[CANTIDADES DE REFERENCIA]]</f>
        <v>0</v>
      </c>
      <c r="K2222" s="36"/>
      <c r="L2222" s="36"/>
      <c r="M2222" s="36"/>
      <c r="N2222" s="37"/>
      <c r="O2222" s="37"/>
      <c r="P2222" s="39"/>
      <c r="Q2222" s="37" t="s">
        <v>4833</v>
      </c>
      <c r="R2222" s="37"/>
      <c r="S2222" s="37" t="s">
        <v>4687</v>
      </c>
      <c r="T2222" s="31"/>
    </row>
    <row r="2223" spans="1:20">
      <c r="A2223" s="31"/>
      <c r="B2223" s="32"/>
      <c r="C2223" s="33"/>
      <c r="D2223" s="32" t="s">
        <v>4834</v>
      </c>
      <c r="E2223" s="33" t="s">
        <v>116</v>
      </c>
      <c r="F2223" s="34">
        <v>1</v>
      </c>
      <c r="G2223" s="35">
        <v>0</v>
      </c>
      <c r="H2223" s="35">
        <v>0</v>
      </c>
      <c r="I2223" s="35">
        <f>Tabla1[[#This Row],[P.U. M.N.]]*Tabla1[[#This Row],[CANTIDADES DE REFERENCIA]]</f>
        <v>0</v>
      </c>
      <c r="J2223" s="35">
        <f>Tabla1[[#This Row],[P.U. USD]]*Tabla1[[#This Row],[CANTIDADES DE REFERENCIA]]</f>
        <v>0</v>
      </c>
      <c r="K2223" s="36"/>
      <c r="L2223" s="36"/>
      <c r="M2223" s="36"/>
      <c r="N2223" s="37"/>
      <c r="O2223" s="37"/>
      <c r="P2223" s="39"/>
      <c r="Q2223" s="37" t="s">
        <v>4835</v>
      </c>
      <c r="R2223" s="37"/>
      <c r="S2223" s="37" t="s">
        <v>4687</v>
      </c>
      <c r="T2223" s="31"/>
    </row>
    <row r="2224" spans="1:20">
      <c r="A2224" s="31"/>
      <c r="B2224" s="32"/>
      <c r="C2224" s="33"/>
      <c r="D2224" s="32" t="s">
        <v>4836</v>
      </c>
      <c r="E2224" s="33" t="s">
        <v>116</v>
      </c>
      <c r="F2224" s="34">
        <v>1</v>
      </c>
      <c r="G2224" s="35">
        <v>0</v>
      </c>
      <c r="H2224" s="35">
        <v>0</v>
      </c>
      <c r="I2224" s="35">
        <f>Tabla1[[#This Row],[P.U. M.N.]]*Tabla1[[#This Row],[CANTIDADES DE REFERENCIA]]</f>
        <v>0</v>
      </c>
      <c r="J2224" s="35">
        <f>Tabla1[[#This Row],[P.U. USD]]*Tabla1[[#This Row],[CANTIDADES DE REFERENCIA]]</f>
        <v>0</v>
      </c>
      <c r="K2224" s="36"/>
      <c r="L2224" s="36"/>
      <c r="M2224" s="36"/>
      <c r="N2224" s="37"/>
      <c r="O2224" s="37"/>
      <c r="P2224" s="39"/>
      <c r="Q2224" s="37" t="s">
        <v>4837</v>
      </c>
      <c r="R2224" s="37"/>
      <c r="S2224" s="37" t="s">
        <v>4687</v>
      </c>
      <c r="T2224" s="31"/>
    </row>
    <row r="2225" spans="1:20">
      <c r="A2225" s="31"/>
      <c r="B2225" s="32"/>
      <c r="C2225" s="33"/>
      <c r="D2225" s="32" t="s">
        <v>4838</v>
      </c>
      <c r="E2225" s="33" t="s">
        <v>4701</v>
      </c>
      <c r="F2225" s="34">
        <v>1</v>
      </c>
      <c r="G2225" s="35">
        <v>0</v>
      </c>
      <c r="H2225" s="35">
        <v>0</v>
      </c>
      <c r="I2225" s="35">
        <f>Tabla1[[#This Row],[P.U. M.N.]]*Tabla1[[#This Row],[CANTIDADES DE REFERENCIA]]</f>
        <v>0</v>
      </c>
      <c r="J2225" s="35">
        <f>Tabla1[[#This Row],[P.U. USD]]*Tabla1[[#This Row],[CANTIDADES DE REFERENCIA]]</f>
        <v>0</v>
      </c>
      <c r="K2225" s="36"/>
      <c r="L2225" s="36"/>
      <c r="M2225" s="36"/>
      <c r="N2225" s="37"/>
      <c r="O2225" s="37"/>
      <c r="P2225" s="39"/>
      <c r="Q2225" s="37" t="s">
        <v>4839</v>
      </c>
      <c r="R2225" s="37"/>
      <c r="S2225" s="37" t="s">
        <v>4687</v>
      </c>
      <c r="T2225" s="31"/>
    </row>
    <row r="2226" spans="1:20">
      <c r="A2226" s="31"/>
      <c r="B2226" s="32"/>
      <c r="C2226" s="33"/>
      <c r="D2226" s="32" t="s">
        <v>4840</v>
      </c>
      <c r="E2226" s="33" t="s">
        <v>4701</v>
      </c>
      <c r="F2226" s="34">
        <v>1</v>
      </c>
      <c r="G2226" s="35">
        <v>0</v>
      </c>
      <c r="H2226" s="35">
        <v>0</v>
      </c>
      <c r="I2226" s="35">
        <f>Tabla1[[#This Row],[P.U. M.N.]]*Tabla1[[#This Row],[CANTIDADES DE REFERENCIA]]</f>
        <v>0</v>
      </c>
      <c r="J2226" s="35">
        <f>Tabla1[[#This Row],[P.U. USD]]*Tabla1[[#This Row],[CANTIDADES DE REFERENCIA]]</f>
        <v>0</v>
      </c>
      <c r="K2226" s="36"/>
      <c r="L2226" s="36"/>
      <c r="M2226" s="36"/>
      <c r="N2226" s="37"/>
      <c r="O2226" s="37"/>
      <c r="P2226" s="39"/>
      <c r="Q2226" s="37" t="s">
        <v>4841</v>
      </c>
      <c r="R2226" s="37"/>
      <c r="S2226" s="37" t="s">
        <v>4687</v>
      </c>
      <c r="T2226" s="31"/>
    </row>
    <row r="2227" spans="1:20">
      <c r="A2227" s="31"/>
      <c r="B2227" s="32"/>
      <c r="C2227" s="33"/>
      <c r="D2227" s="32" t="s">
        <v>4842</v>
      </c>
      <c r="E2227" s="33" t="s">
        <v>4701</v>
      </c>
      <c r="F2227" s="34">
        <v>1</v>
      </c>
      <c r="G2227" s="35">
        <v>0</v>
      </c>
      <c r="H2227" s="35">
        <v>0</v>
      </c>
      <c r="I2227" s="35">
        <f>Tabla1[[#This Row],[P.U. M.N.]]*Tabla1[[#This Row],[CANTIDADES DE REFERENCIA]]</f>
        <v>0</v>
      </c>
      <c r="J2227" s="35">
        <f>Tabla1[[#This Row],[P.U. USD]]*Tabla1[[#This Row],[CANTIDADES DE REFERENCIA]]</f>
        <v>0</v>
      </c>
      <c r="K2227" s="36"/>
      <c r="L2227" s="36"/>
      <c r="M2227" s="36"/>
      <c r="N2227" s="37"/>
      <c r="O2227" s="37"/>
      <c r="P2227" s="39"/>
      <c r="Q2227" s="37" t="s">
        <v>4843</v>
      </c>
      <c r="R2227" s="37"/>
      <c r="S2227" s="37" t="s">
        <v>4687</v>
      </c>
      <c r="T2227" s="31"/>
    </row>
    <row r="2228" spans="1:20">
      <c r="A2228" s="31"/>
      <c r="B2228" s="32"/>
      <c r="C2228" s="33"/>
      <c r="D2228" s="32" t="s">
        <v>4844</v>
      </c>
      <c r="E2228" s="33" t="s">
        <v>4701</v>
      </c>
      <c r="F2228" s="34">
        <v>1</v>
      </c>
      <c r="G2228" s="35">
        <v>0</v>
      </c>
      <c r="H2228" s="35">
        <v>0</v>
      </c>
      <c r="I2228" s="35">
        <f>Tabla1[[#This Row],[P.U. M.N.]]*Tabla1[[#This Row],[CANTIDADES DE REFERENCIA]]</f>
        <v>0</v>
      </c>
      <c r="J2228" s="35">
        <f>Tabla1[[#This Row],[P.U. USD]]*Tabla1[[#This Row],[CANTIDADES DE REFERENCIA]]</f>
        <v>0</v>
      </c>
      <c r="K2228" s="36"/>
      <c r="L2228" s="36"/>
      <c r="M2228" s="36"/>
      <c r="N2228" s="37"/>
      <c r="O2228" s="37"/>
      <c r="P2228" s="39"/>
      <c r="Q2228" s="37" t="s">
        <v>4845</v>
      </c>
      <c r="R2228" s="37"/>
      <c r="S2228" s="37" t="s">
        <v>4687</v>
      </c>
      <c r="T2228" s="31"/>
    </row>
    <row r="2229" spans="1:20">
      <c r="A2229" s="31"/>
      <c r="B2229" s="32"/>
      <c r="C2229" s="33"/>
      <c r="D2229" s="32" t="s">
        <v>4846</v>
      </c>
      <c r="E2229" s="33" t="s">
        <v>4701</v>
      </c>
      <c r="F2229" s="34">
        <v>1</v>
      </c>
      <c r="G2229" s="35">
        <v>0</v>
      </c>
      <c r="H2229" s="35">
        <v>0</v>
      </c>
      <c r="I2229" s="35">
        <f>Tabla1[[#This Row],[P.U. M.N.]]*Tabla1[[#This Row],[CANTIDADES DE REFERENCIA]]</f>
        <v>0</v>
      </c>
      <c r="J2229" s="35">
        <f>Tabla1[[#This Row],[P.U. USD]]*Tabla1[[#This Row],[CANTIDADES DE REFERENCIA]]</f>
        <v>0</v>
      </c>
      <c r="K2229" s="36"/>
      <c r="L2229" s="36"/>
      <c r="M2229" s="36"/>
      <c r="N2229" s="37"/>
      <c r="O2229" s="37"/>
      <c r="P2229" s="39"/>
      <c r="Q2229" s="37" t="s">
        <v>4847</v>
      </c>
      <c r="R2229" s="37"/>
      <c r="S2229" s="37" t="s">
        <v>4687</v>
      </c>
      <c r="T2229" s="31"/>
    </row>
    <row r="2230" spans="1:20">
      <c r="A2230" s="31"/>
      <c r="B2230" s="32"/>
      <c r="C2230" s="33"/>
      <c r="D2230" s="32" t="s">
        <v>4848</v>
      </c>
      <c r="E2230" s="33" t="s">
        <v>4701</v>
      </c>
      <c r="F2230" s="34">
        <v>1</v>
      </c>
      <c r="G2230" s="35">
        <v>0</v>
      </c>
      <c r="H2230" s="35">
        <v>0</v>
      </c>
      <c r="I2230" s="35">
        <f>Tabla1[[#This Row],[P.U. M.N.]]*Tabla1[[#This Row],[CANTIDADES DE REFERENCIA]]</f>
        <v>0</v>
      </c>
      <c r="J2230" s="35">
        <f>Tabla1[[#This Row],[P.U. USD]]*Tabla1[[#This Row],[CANTIDADES DE REFERENCIA]]</f>
        <v>0</v>
      </c>
      <c r="K2230" s="36"/>
      <c r="L2230" s="36"/>
      <c r="M2230" s="36"/>
      <c r="N2230" s="37"/>
      <c r="O2230" s="37"/>
      <c r="P2230" s="39"/>
      <c r="Q2230" s="37" t="s">
        <v>4849</v>
      </c>
      <c r="R2230" s="37"/>
      <c r="S2230" s="37" t="s">
        <v>4687</v>
      </c>
      <c r="T2230" s="31"/>
    </row>
    <row r="2231" spans="1:20">
      <c r="A2231" s="31"/>
      <c r="B2231" s="32"/>
      <c r="C2231" s="33"/>
      <c r="D2231" s="32" t="s">
        <v>4850</v>
      </c>
      <c r="E2231" s="33" t="s">
        <v>4701</v>
      </c>
      <c r="F2231" s="34">
        <v>1</v>
      </c>
      <c r="G2231" s="35">
        <v>0</v>
      </c>
      <c r="H2231" s="35">
        <v>0</v>
      </c>
      <c r="I2231" s="35">
        <f>Tabla1[[#This Row],[P.U. M.N.]]*Tabla1[[#This Row],[CANTIDADES DE REFERENCIA]]</f>
        <v>0</v>
      </c>
      <c r="J2231" s="35">
        <f>Tabla1[[#This Row],[P.U. USD]]*Tabla1[[#This Row],[CANTIDADES DE REFERENCIA]]</f>
        <v>0</v>
      </c>
      <c r="K2231" s="36"/>
      <c r="L2231" s="36"/>
      <c r="M2231" s="36"/>
      <c r="N2231" s="37"/>
      <c r="O2231" s="37"/>
      <c r="P2231" s="39"/>
      <c r="Q2231" s="37" t="s">
        <v>4851</v>
      </c>
      <c r="R2231" s="37"/>
      <c r="S2231" s="37" t="s">
        <v>4687</v>
      </c>
      <c r="T2231" s="31"/>
    </row>
    <row r="2232" spans="1:20">
      <c r="A2232" s="31"/>
      <c r="B2232" s="32"/>
      <c r="C2232" s="33"/>
      <c r="D2232" s="32" t="s">
        <v>4852</v>
      </c>
      <c r="E2232" s="33" t="s">
        <v>135</v>
      </c>
      <c r="F2232" s="34">
        <v>1</v>
      </c>
      <c r="G2232" s="35">
        <v>0</v>
      </c>
      <c r="H2232" s="35">
        <v>0</v>
      </c>
      <c r="I2232" s="35">
        <f>Tabla1[[#This Row],[P.U. M.N.]]*Tabla1[[#This Row],[CANTIDADES DE REFERENCIA]]</f>
        <v>0</v>
      </c>
      <c r="J2232" s="35">
        <f>Tabla1[[#This Row],[P.U. USD]]*Tabla1[[#This Row],[CANTIDADES DE REFERENCIA]]</f>
        <v>0</v>
      </c>
      <c r="K2232" s="36"/>
      <c r="L2232" s="36"/>
      <c r="M2232" s="36"/>
      <c r="N2232" s="37"/>
      <c r="O2232" s="37"/>
      <c r="P2232" s="39"/>
      <c r="Q2232" s="37" t="s">
        <v>4853</v>
      </c>
      <c r="R2232" s="37"/>
      <c r="S2232" s="37" t="s">
        <v>4687</v>
      </c>
      <c r="T2232" s="31"/>
    </row>
    <row r="2233" spans="1:20">
      <c r="A2233" s="31"/>
      <c r="B2233" s="32"/>
      <c r="C2233" s="33"/>
      <c r="D2233" s="32" t="s">
        <v>4852</v>
      </c>
      <c r="E2233" s="33" t="s">
        <v>4701</v>
      </c>
      <c r="F2233" s="34">
        <v>1</v>
      </c>
      <c r="G2233" s="35">
        <v>0</v>
      </c>
      <c r="H2233" s="35">
        <v>0</v>
      </c>
      <c r="I2233" s="35">
        <f>Tabla1[[#This Row],[P.U. M.N.]]*Tabla1[[#This Row],[CANTIDADES DE REFERENCIA]]</f>
        <v>0</v>
      </c>
      <c r="J2233" s="35">
        <f>Tabla1[[#This Row],[P.U. USD]]*Tabla1[[#This Row],[CANTIDADES DE REFERENCIA]]</f>
        <v>0</v>
      </c>
      <c r="K2233" s="36"/>
      <c r="L2233" s="36"/>
      <c r="M2233" s="36"/>
      <c r="N2233" s="37"/>
      <c r="O2233" s="37"/>
      <c r="P2233" s="39"/>
      <c r="Q2233" s="37" t="s">
        <v>4854</v>
      </c>
      <c r="R2233" s="37"/>
      <c r="S2233" s="37" t="s">
        <v>4687</v>
      </c>
      <c r="T2233" s="31"/>
    </row>
    <row r="2234" spans="1:20">
      <c r="A2234" s="31"/>
      <c r="B2234" s="32"/>
      <c r="C2234" s="33"/>
      <c r="D2234" s="32" t="s">
        <v>4855</v>
      </c>
      <c r="E2234" s="33" t="s">
        <v>135</v>
      </c>
      <c r="F2234" s="34">
        <v>1</v>
      </c>
      <c r="G2234" s="35">
        <v>0</v>
      </c>
      <c r="H2234" s="35">
        <v>0</v>
      </c>
      <c r="I2234" s="35">
        <f>Tabla1[[#This Row],[P.U. M.N.]]*Tabla1[[#This Row],[CANTIDADES DE REFERENCIA]]</f>
        <v>0</v>
      </c>
      <c r="J2234" s="35">
        <f>Tabla1[[#This Row],[P.U. USD]]*Tabla1[[#This Row],[CANTIDADES DE REFERENCIA]]</f>
        <v>0</v>
      </c>
      <c r="K2234" s="36"/>
      <c r="L2234" s="36"/>
      <c r="M2234" s="36"/>
      <c r="N2234" s="37"/>
      <c r="O2234" s="37"/>
      <c r="P2234" s="39"/>
      <c r="Q2234" s="37" t="s">
        <v>4856</v>
      </c>
      <c r="R2234" s="37"/>
      <c r="S2234" s="37" t="s">
        <v>4687</v>
      </c>
      <c r="T2234" s="31"/>
    </row>
    <row r="2235" spans="1:20">
      <c r="A2235" s="31"/>
      <c r="B2235" s="32"/>
      <c r="C2235" s="33"/>
      <c r="D2235" s="32" t="s">
        <v>4855</v>
      </c>
      <c r="E2235" s="33" t="s">
        <v>4701</v>
      </c>
      <c r="F2235" s="34">
        <v>1</v>
      </c>
      <c r="G2235" s="35">
        <v>0</v>
      </c>
      <c r="H2235" s="35">
        <v>0</v>
      </c>
      <c r="I2235" s="35">
        <f>Tabla1[[#This Row],[P.U. M.N.]]*Tabla1[[#This Row],[CANTIDADES DE REFERENCIA]]</f>
        <v>0</v>
      </c>
      <c r="J2235" s="35">
        <f>Tabla1[[#This Row],[P.U. USD]]*Tabla1[[#This Row],[CANTIDADES DE REFERENCIA]]</f>
        <v>0</v>
      </c>
      <c r="K2235" s="36"/>
      <c r="L2235" s="36"/>
      <c r="M2235" s="36"/>
      <c r="N2235" s="37"/>
      <c r="O2235" s="37"/>
      <c r="P2235" s="39"/>
      <c r="Q2235" s="37" t="s">
        <v>4857</v>
      </c>
      <c r="R2235" s="37"/>
      <c r="S2235" s="37" t="s">
        <v>4687</v>
      </c>
      <c r="T2235" s="31"/>
    </row>
    <row r="2236" spans="1:20">
      <c r="A2236" s="31"/>
      <c r="B2236" s="32"/>
      <c r="C2236" s="33"/>
      <c r="D2236" s="32" t="s">
        <v>4858</v>
      </c>
      <c r="E2236" s="33" t="s">
        <v>135</v>
      </c>
      <c r="F2236" s="34">
        <v>1</v>
      </c>
      <c r="G2236" s="35">
        <v>0</v>
      </c>
      <c r="H2236" s="35">
        <v>0</v>
      </c>
      <c r="I2236" s="35">
        <f>Tabla1[[#This Row],[P.U. M.N.]]*Tabla1[[#This Row],[CANTIDADES DE REFERENCIA]]</f>
        <v>0</v>
      </c>
      <c r="J2236" s="35">
        <f>Tabla1[[#This Row],[P.U. USD]]*Tabla1[[#This Row],[CANTIDADES DE REFERENCIA]]</f>
        <v>0</v>
      </c>
      <c r="K2236" s="36"/>
      <c r="L2236" s="36"/>
      <c r="M2236" s="36"/>
      <c r="N2236" s="37"/>
      <c r="O2236" s="37"/>
      <c r="P2236" s="39"/>
      <c r="Q2236" s="37" t="s">
        <v>4859</v>
      </c>
      <c r="R2236" s="37"/>
      <c r="S2236" s="37" t="s">
        <v>4687</v>
      </c>
      <c r="T2236" s="31"/>
    </row>
    <row r="2237" spans="1:20">
      <c r="A2237" s="31"/>
      <c r="B2237" s="32"/>
      <c r="C2237" s="33"/>
      <c r="D2237" s="32" t="s">
        <v>4860</v>
      </c>
      <c r="E2237" s="33" t="s">
        <v>135</v>
      </c>
      <c r="F2237" s="34">
        <v>1</v>
      </c>
      <c r="G2237" s="35">
        <v>0</v>
      </c>
      <c r="H2237" s="35">
        <v>0</v>
      </c>
      <c r="I2237" s="35">
        <f>Tabla1[[#This Row],[P.U. M.N.]]*Tabla1[[#This Row],[CANTIDADES DE REFERENCIA]]</f>
        <v>0</v>
      </c>
      <c r="J2237" s="35">
        <f>Tabla1[[#This Row],[P.U. USD]]*Tabla1[[#This Row],[CANTIDADES DE REFERENCIA]]</f>
        <v>0</v>
      </c>
      <c r="K2237" s="36"/>
      <c r="L2237" s="36"/>
      <c r="M2237" s="36"/>
      <c r="N2237" s="37"/>
      <c r="O2237" s="37"/>
      <c r="P2237" s="39"/>
      <c r="Q2237" s="37" t="s">
        <v>4861</v>
      </c>
      <c r="R2237" s="37"/>
      <c r="S2237" s="37" t="s">
        <v>4687</v>
      </c>
      <c r="T2237" s="31"/>
    </row>
    <row r="2238" spans="1:20">
      <c r="A2238" s="31"/>
      <c r="B2238" s="32"/>
      <c r="C2238" s="33"/>
      <c r="D2238" s="32" t="s">
        <v>4862</v>
      </c>
      <c r="E2238" s="33" t="s">
        <v>135</v>
      </c>
      <c r="F2238" s="34">
        <v>1</v>
      </c>
      <c r="G2238" s="35">
        <v>0</v>
      </c>
      <c r="H2238" s="35">
        <v>0</v>
      </c>
      <c r="I2238" s="35">
        <f>Tabla1[[#This Row],[P.U. M.N.]]*Tabla1[[#This Row],[CANTIDADES DE REFERENCIA]]</f>
        <v>0</v>
      </c>
      <c r="J2238" s="35">
        <f>Tabla1[[#This Row],[P.U. USD]]*Tabla1[[#This Row],[CANTIDADES DE REFERENCIA]]</f>
        <v>0</v>
      </c>
      <c r="K2238" s="36"/>
      <c r="L2238" s="36"/>
      <c r="M2238" s="36"/>
      <c r="N2238" s="37"/>
      <c r="O2238" s="37"/>
      <c r="P2238" s="39"/>
      <c r="Q2238" s="37" t="s">
        <v>4863</v>
      </c>
      <c r="R2238" s="37"/>
      <c r="S2238" s="37" t="s">
        <v>4687</v>
      </c>
      <c r="T2238" s="31"/>
    </row>
    <row r="2239" spans="1:20">
      <c r="A2239" s="31"/>
      <c r="B2239" s="32"/>
      <c r="C2239" s="33"/>
      <c r="D2239" s="32" t="s">
        <v>4864</v>
      </c>
      <c r="E2239" s="33" t="s">
        <v>135</v>
      </c>
      <c r="F2239" s="34">
        <v>1</v>
      </c>
      <c r="G2239" s="35">
        <v>0</v>
      </c>
      <c r="H2239" s="35">
        <v>0</v>
      </c>
      <c r="I2239" s="35">
        <f>Tabla1[[#This Row],[P.U. M.N.]]*Tabla1[[#This Row],[CANTIDADES DE REFERENCIA]]</f>
        <v>0</v>
      </c>
      <c r="J2239" s="35">
        <f>Tabla1[[#This Row],[P.U. USD]]*Tabla1[[#This Row],[CANTIDADES DE REFERENCIA]]</f>
        <v>0</v>
      </c>
      <c r="K2239" s="36"/>
      <c r="L2239" s="36"/>
      <c r="M2239" s="36"/>
      <c r="N2239" s="37"/>
      <c r="O2239" s="37"/>
      <c r="P2239" s="39"/>
      <c r="Q2239" s="37" t="s">
        <v>4865</v>
      </c>
      <c r="R2239" s="37"/>
      <c r="S2239" s="37" t="s">
        <v>4687</v>
      </c>
      <c r="T2239" s="31"/>
    </row>
    <row r="2240" spans="1:20">
      <c r="A2240" s="31"/>
      <c r="B2240" s="32"/>
      <c r="C2240" s="33"/>
      <c r="D2240" s="32" t="s">
        <v>4866</v>
      </c>
      <c r="E2240" s="33" t="s">
        <v>135</v>
      </c>
      <c r="F2240" s="34">
        <v>1</v>
      </c>
      <c r="G2240" s="35">
        <v>0</v>
      </c>
      <c r="H2240" s="35">
        <v>0</v>
      </c>
      <c r="I2240" s="35">
        <f>Tabla1[[#This Row],[P.U. M.N.]]*Tabla1[[#This Row],[CANTIDADES DE REFERENCIA]]</f>
        <v>0</v>
      </c>
      <c r="J2240" s="35">
        <f>Tabla1[[#This Row],[P.U. USD]]*Tabla1[[#This Row],[CANTIDADES DE REFERENCIA]]</f>
        <v>0</v>
      </c>
      <c r="K2240" s="36"/>
      <c r="L2240" s="36"/>
      <c r="M2240" s="36"/>
      <c r="N2240" s="37"/>
      <c r="O2240" s="37"/>
      <c r="P2240" s="39"/>
      <c r="Q2240" s="37" t="s">
        <v>4867</v>
      </c>
      <c r="R2240" s="37"/>
      <c r="S2240" s="37" t="s">
        <v>4687</v>
      </c>
      <c r="T2240" s="31"/>
    </row>
    <row r="2241" spans="1:20">
      <c r="A2241" s="31"/>
      <c r="B2241" s="32"/>
      <c r="C2241" s="33"/>
      <c r="D2241" s="32" t="s">
        <v>4868</v>
      </c>
      <c r="E2241" s="33" t="s">
        <v>135</v>
      </c>
      <c r="F2241" s="34">
        <v>1</v>
      </c>
      <c r="G2241" s="35">
        <v>0</v>
      </c>
      <c r="H2241" s="35">
        <v>0</v>
      </c>
      <c r="I2241" s="35">
        <f>Tabla1[[#This Row],[P.U. M.N.]]*Tabla1[[#This Row],[CANTIDADES DE REFERENCIA]]</f>
        <v>0</v>
      </c>
      <c r="J2241" s="35">
        <f>Tabla1[[#This Row],[P.U. USD]]*Tabla1[[#This Row],[CANTIDADES DE REFERENCIA]]</f>
        <v>0</v>
      </c>
      <c r="K2241" s="36"/>
      <c r="L2241" s="36"/>
      <c r="M2241" s="36"/>
      <c r="N2241" s="37"/>
      <c r="O2241" s="37"/>
      <c r="P2241" s="39"/>
      <c r="Q2241" s="37" t="s">
        <v>4869</v>
      </c>
      <c r="R2241" s="37"/>
      <c r="S2241" s="37" t="s">
        <v>4687</v>
      </c>
      <c r="T2241" s="31"/>
    </row>
    <row r="2242" spans="1:20">
      <c r="A2242" s="31"/>
      <c r="B2242" s="32"/>
      <c r="C2242" s="33"/>
      <c r="D2242" s="32" t="s">
        <v>4870</v>
      </c>
      <c r="E2242" s="33" t="s">
        <v>135</v>
      </c>
      <c r="F2242" s="34">
        <v>1</v>
      </c>
      <c r="G2242" s="35">
        <v>0</v>
      </c>
      <c r="H2242" s="35">
        <v>0</v>
      </c>
      <c r="I2242" s="35">
        <f>Tabla1[[#This Row],[P.U. M.N.]]*Tabla1[[#This Row],[CANTIDADES DE REFERENCIA]]</f>
        <v>0</v>
      </c>
      <c r="J2242" s="35">
        <f>Tabla1[[#This Row],[P.U. USD]]*Tabla1[[#This Row],[CANTIDADES DE REFERENCIA]]</f>
        <v>0</v>
      </c>
      <c r="K2242" s="36"/>
      <c r="L2242" s="36"/>
      <c r="M2242" s="36"/>
      <c r="N2242" s="37"/>
      <c r="O2242" s="37"/>
      <c r="P2242" s="39"/>
      <c r="Q2242" s="37" t="s">
        <v>4871</v>
      </c>
      <c r="R2242" s="37"/>
      <c r="S2242" s="37" t="s">
        <v>4687</v>
      </c>
      <c r="T2242" s="31"/>
    </row>
    <row r="2243" spans="1:20">
      <c r="A2243" s="31"/>
      <c r="B2243" s="32"/>
      <c r="C2243" s="33"/>
      <c r="D2243" s="32" t="s">
        <v>4872</v>
      </c>
      <c r="E2243" s="33" t="s">
        <v>135</v>
      </c>
      <c r="F2243" s="34">
        <v>1</v>
      </c>
      <c r="G2243" s="35">
        <v>0</v>
      </c>
      <c r="H2243" s="35">
        <v>0</v>
      </c>
      <c r="I2243" s="35">
        <f>Tabla1[[#This Row],[P.U. M.N.]]*Tabla1[[#This Row],[CANTIDADES DE REFERENCIA]]</f>
        <v>0</v>
      </c>
      <c r="J2243" s="35">
        <f>Tabla1[[#This Row],[P.U. USD]]*Tabla1[[#This Row],[CANTIDADES DE REFERENCIA]]</f>
        <v>0</v>
      </c>
      <c r="K2243" s="36"/>
      <c r="L2243" s="36"/>
      <c r="M2243" s="36"/>
      <c r="N2243" s="37"/>
      <c r="O2243" s="37"/>
      <c r="P2243" s="39"/>
      <c r="Q2243" s="37" t="s">
        <v>4873</v>
      </c>
      <c r="R2243" s="37"/>
      <c r="S2243" s="37" t="s">
        <v>4687</v>
      </c>
      <c r="T2243" s="31"/>
    </row>
    <row r="2244" spans="1:20">
      <c r="A2244" s="31"/>
      <c r="B2244" s="32"/>
      <c r="C2244" s="33"/>
      <c r="D2244" s="32" t="s">
        <v>4874</v>
      </c>
      <c r="E2244" s="33" t="s">
        <v>42</v>
      </c>
      <c r="F2244" s="34">
        <v>1</v>
      </c>
      <c r="G2244" s="35">
        <v>0</v>
      </c>
      <c r="H2244" s="35">
        <v>0</v>
      </c>
      <c r="I2244" s="35">
        <f>Tabla1[[#This Row],[P.U. M.N.]]*Tabla1[[#This Row],[CANTIDADES DE REFERENCIA]]</f>
        <v>0</v>
      </c>
      <c r="J2244" s="35">
        <f>Tabla1[[#This Row],[P.U. USD]]*Tabla1[[#This Row],[CANTIDADES DE REFERENCIA]]</f>
        <v>0</v>
      </c>
      <c r="K2244" s="36"/>
      <c r="L2244" s="36"/>
      <c r="M2244" s="36"/>
      <c r="N2244" s="37"/>
      <c r="O2244" s="37"/>
      <c r="P2244" s="39"/>
      <c r="Q2244" s="37" t="s">
        <v>4875</v>
      </c>
      <c r="R2244" s="37"/>
      <c r="S2244" s="37" t="s">
        <v>4687</v>
      </c>
      <c r="T2244" s="31"/>
    </row>
    <row r="2245" spans="1:20">
      <c r="A2245" s="31"/>
      <c r="B2245" s="32"/>
      <c r="C2245" s="33"/>
      <c r="D2245" s="32" t="s">
        <v>4876</v>
      </c>
      <c r="E2245" s="33" t="s">
        <v>42</v>
      </c>
      <c r="F2245" s="34">
        <v>1</v>
      </c>
      <c r="G2245" s="35">
        <v>0</v>
      </c>
      <c r="H2245" s="35">
        <v>0</v>
      </c>
      <c r="I2245" s="35">
        <f>Tabla1[[#This Row],[P.U. M.N.]]*Tabla1[[#This Row],[CANTIDADES DE REFERENCIA]]</f>
        <v>0</v>
      </c>
      <c r="J2245" s="35">
        <f>Tabla1[[#This Row],[P.U. USD]]*Tabla1[[#This Row],[CANTIDADES DE REFERENCIA]]</f>
        <v>0</v>
      </c>
      <c r="K2245" s="36"/>
      <c r="L2245" s="36"/>
      <c r="M2245" s="36"/>
      <c r="N2245" s="37"/>
      <c r="O2245" s="37"/>
      <c r="P2245" s="39"/>
      <c r="Q2245" s="37" t="s">
        <v>4877</v>
      </c>
      <c r="R2245" s="37"/>
      <c r="S2245" s="37" t="s">
        <v>4687</v>
      </c>
      <c r="T2245" s="31"/>
    </row>
    <row r="2246" spans="1:20">
      <c r="A2246" s="31"/>
      <c r="B2246" s="32"/>
      <c r="C2246" s="33"/>
      <c r="D2246" s="32" t="s">
        <v>4878</v>
      </c>
      <c r="E2246" s="33" t="s">
        <v>135</v>
      </c>
      <c r="F2246" s="34">
        <v>1</v>
      </c>
      <c r="G2246" s="35">
        <v>0</v>
      </c>
      <c r="H2246" s="35">
        <v>0</v>
      </c>
      <c r="I2246" s="35">
        <f>Tabla1[[#This Row],[P.U. M.N.]]*Tabla1[[#This Row],[CANTIDADES DE REFERENCIA]]</f>
        <v>0</v>
      </c>
      <c r="J2246" s="35">
        <f>Tabla1[[#This Row],[P.U. USD]]*Tabla1[[#This Row],[CANTIDADES DE REFERENCIA]]</f>
        <v>0</v>
      </c>
      <c r="K2246" s="36"/>
      <c r="L2246" s="36"/>
      <c r="M2246" s="36"/>
      <c r="N2246" s="37"/>
      <c r="O2246" s="37"/>
      <c r="P2246" s="39"/>
      <c r="Q2246" s="37" t="s">
        <v>4879</v>
      </c>
      <c r="R2246" s="37"/>
      <c r="S2246" s="37" t="s">
        <v>4687</v>
      </c>
      <c r="T2246" s="31"/>
    </row>
    <row r="2247" spans="1:20">
      <c r="A2247" s="31"/>
      <c r="B2247" s="32"/>
      <c r="C2247" s="33"/>
      <c r="D2247" s="32" t="s">
        <v>4880</v>
      </c>
      <c r="E2247" s="33" t="s">
        <v>42</v>
      </c>
      <c r="F2247" s="34">
        <v>1</v>
      </c>
      <c r="G2247" s="35">
        <v>0</v>
      </c>
      <c r="H2247" s="35">
        <v>0</v>
      </c>
      <c r="I2247" s="35">
        <f>Tabla1[[#This Row],[P.U. M.N.]]*Tabla1[[#This Row],[CANTIDADES DE REFERENCIA]]</f>
        <v>0</v>
      </c>
      <c r="J2247" s="35">
        <f>Tabla1[[#This Row],[P.U. USD]]*Tabla1[[#This Row],[CANTIDADES DE REFERENCIA]]</f>
        <v>0</v>
      </c>
      <c r="K2247" s="36"/>
      <c r="L2247" s="36"/>
      <c r="M2247" s="36"/>
      <c r="N2247" s="37"/>
      <c r="O2247" s="37"/>
      <c r="P2247" s="39"/>
      <c r="Q2247" s="37" t="s">
        <v>4881</v>
      </c>
      <c r="R2247" s="37"/>
      <c r="S2247" s="37" t="s">
        <v>4687</v>
      </c>
      <c r="T2247" s="31"/>
    </row>
    <row r="2248" spans="1:20">
      <c r="A2248" s="31"/>
      <c r="B2248" s="32"/>
      <c r="C2248" s="33"/>
      <c r="D2248" s="32" t="s">
        <v>4882</v>
      </c>
      <c r="E2248" s="33" t="s">
        <v>42</v>
      </c>
      <c r="F2248" s="34">
        <v>1</v>
      </c>
      <c r="G2248" s="35">
        <v>0</v>
      </c>
      <c r="H2248" s="35">
        <v>0</v>
      </c>
      <c r="I2248" s="35">
        <f>Tabla1[[#This Row],[P.U. M.N.]]*Tabla1[[#This Row],[CANTIDADES DE REFERENCIA]]</f>
        <v>0</v>
      </c>
      <c r="J2248" s="35">
        <f>Tabla1[[#This Row],[P.U. USD]]*Tabla1[[#This Row],[CANTIDADES DE REFERENCIA]]</f>
        <v>0</v>
      </c>
      <c r="K2248" s="36"/>
      <c r="L2248" s="36"/>
      <c r="M2248" s="36"/>
      <c r="N2248" s="37"/>
      <c r="O2248" s="37"/>
      <c r="P2248" s="39"/>
      <c r="Q2248" s="37" t="s">
        <v>4883</v>
      </c>
      <c r="R2248" s="37"/>
      <c r="S2248" s="37" t="s">
        <v>4687</v>
      </c>
      <c r="T2248" s="31"/>
    </row>
    <row r="2249" spans="1:20">
      <c r="A2249" s="31"/>
      <c r="B2249" s="32"/>
      <c r="C2249" s="33"/>
      <c r="D2249" s="32" t="s">
        <v>4884</v>
      </c>
      <c r="E2249" s="33" t="s">
        <v>42</v>
      </c>
      <c r="F2249" s="34">
        <v>1</v>
      </c>
      <c r="G2249" s="35">
        <v>0</v>
      </c>
      <c r="H2249" s="35">
        <v>0</v>
      </c>
      <c r="I2249" s="35">
        <f>Tabla1[[#This Row],[P.U. M.N.]]*Tabla1[[#This Row],[CANTIDADES DE REFERENCIA]]</f>
        <v>0</v>
      </c>
      <c r="J2249" s="35">
        <f>Tabla1[[#This Row],[P.U. USD]]*Tabla1[[#This Row],[CANTIDADES DE REFERENCIA]]</f>
        <v>0</v>
      </c>
      <c r="K2249" s="36"/>
      <c r="L2249" s="36"/>
      <c r="M2249" s="36"/>
      <c r="N2249" s="37"/>
      <c r="O2249" s="37"/>
      <c r="P2249" s="39"/>
      <c r="Q2249" s="37" t="s">
        <v>4885</v>
      </c>
      <c r="R2249" s="37"/>
      <c r="S2249" s="37" t="s">
        <v>4687</v>
      </c>
      <c r="T2249" s="31"/>
    </row>
    <row r="2250" spans="1:20">
      <c r="A2250" s="31"/>
      <c r="B2250" s="32"/>
      <c r="C2250" s="33"/>
      <c r="D2250" s="32" t="s">
        <v>4886</v>
      </c>
      <c r="E2250" s="33" t="s">
        <v>42</v>
      </c>
      <c r="F2250" s="34">
        <v>1</v>
      </c>
      <c r="G2250" s="35">
        <v>0</v>
      </c>
      <c r="H2250" s="35">
        <v>0</v>
      </c>
      <c r="I2250" s="35">
        <f>Tabla1[[#This Row],[P.U. M.N.]]*Tabla1[[#This Row],[CANTIDADES DE REFERENCIA]]</f>
        <v>0</v>
      </c>
      <c r="J2250" s="35">
        <f>Tabla1[[#This Row],[P.U. USD]]*Tabla1[[#This Row],[CANTIDADES DE REFERENCIA]]</f>
        <v>0</v>
      </c>
      <c r="K2250" s="36"/>
      <c r="L2250" s="36"/>
      <c r="M2250" s="36"/>
      <c r="N2250" s="37"/>
      <c r="O2250" s="37"/>
      <c r="P2250" s="39"/>
      <c r="Q2250" s="37" t="s">
        <v>4887</v>
      </c>
      <c r="R2250" s="37"/>
      <c r="S2250" s="37" t="s">
        <v>4687</v>
      </c>
      <c r="T2250" s="31"/>
    </row>
    <row r="2251" spans="1:20">
      <c r="A2251" s="31"/>
      <c r="B2251" s="32"/>
      <c r="C2251" s="33"/>
      <c r="D2251" s="32" t="s">
        <v>4888</v>
      </c>
      <c r="E2251" s="33" t="s">
        <v>42</v>
      </c>
      <c r="F2251" s="34">
        <v>1</v>
      </c>
      <c r="G2251" s="35">
        <v>0</v>
      </c>
      <c r="H2251" s="35">
        <v>0</v>
      </c>
      <c r="I2251" s="35">
        <f>Tabla1[[#This Row],[P.U. M.N.]]*Tabla1[[#This Row],[CANTIDADES DE REFERENCIA]]</f>
        <v>0</v>
      </c>
      <c r="J2251" s="35">
        <f>Tabla1[[#This Row],[P.U. USD]]*Tabla1[[#This Row],[CANTIDADES DE REFERENCIA]]</f>
        <v>0</v>
      </c>
      <c r="K2251" s="36"/>
      <c r="L2251" s="36"/>
      <c r="M2251" s="36"/>
      <c r="N2251" s="37"/>
      <c r="O2251" s="37"/>
      <c r="P2251" s="39"/>
      <c r="Q2251" s="37" t="s">
        <v>4889</v>
      </c>
      <c r="R2251" s="37"/>
      <c r="S2251" s="37" t="s">
        <v>4687</v>
      </c>
      <c r="T2251" s="31"/>
    </row>
    <row r="2252" spans="1:20">
      <c r="A2252" s="31"/>
      <c r="B2252" s="32"/>
      <c r="C2252" s="33"/>
      <c r="D2252" s="32" t="s">
        <v>4890</v>
      </c>
      <c r="E2252" s="33" t="s">
        <v>42</v>
      </c>
      <c r="F2252" s="34">
        <v>1</v>
      </c>
      <c r="G2252" s="35">
        <v>0</v>
      </c>
      <c r="H2252" s="35">
        <v>0</v>
      </c>
      <c r="I2252" s="35">
        <f>Tabla1[[#This Row],[P.U. M.N.]]*Tabla1[[#This Row],[CANTIDADES DE REFERENCIA]]</f>
        <v>0</v>
      </c>
      <c r="J2252" s="35">
        <f>Tabla1[[#This Row],[P.U. USD]]*Tabla1[[#This Row],[CANTIDADES DE REFERENCIA]]</f>
        <v>0</v>
      </c>
      <c r="K2252" s="36"/>
      <c r="L2252" s="36"/>
      <c r="M2252" s="36"/>
      <c r="N2252" s="37"/>
      <c r="O2252" s="37"/>
      <c r="P2252" s="39"/>
      <c r="Q2252" s="37" t="s">
        <v>4891</v>
      </c>
      <c r="R2252" s="37"/>
      <c r="S2252" s="37" t="s">
        <v>4687</v>
      </c>
      <c r="T2252" s="31"/>
    </row>
    <row r="2253" spans="1:20">
      <c r="A2253" s="31"/>
      <c r="B2253" s="32"/>
      <c r="C2253" s="33"/>
      <c r="D2253" s="32" t="s">
        <v>4892</v>
      </c>
      <c r="E2253" s="33" t="s">
        <v>42</v>
      </c>
      <c r="F2253" s="34">
        <v>1</v>
      </c>
      <c r="G2253" s="35">
        <v>0</v>
      </c>
      <c r="H2253" s="35">
        <v>0</v>
      </c>
      <c r="I2253" s="35">
        <f>Tabla1[[#This Row],[P.U. M.N.]]*Tabla1[[#This Row],[CANTIDADES DE REFERENCIA]]</f>
        <v>0</v>
      </c>
      <c r="J2253" s="35">
        <f>Tabla1[[#This Row],[P.U. USD]]*Tabla1[[#This Row],[CANTIDADES DE REFERENCIA]]</f>
        <v>0</v>
      </c>
      <c r="K2253" s="36"/>
      <c r="L2253" s="36"/>
      <c r="M2253" s="36"/>
      <c r="N2253" s="37"/>
      <c r="O2253" s="37"/>
      <c r="P2253" s="39"/>
      <c r="Q2253" s="37" t="s">
        <v>4893</v>
      </c>
      <c r="R2253" s="37"/>
      <c r="S2253" s="37" t="s">
        <v>4687</v>
      </c>
      <c r="T2253" s="31"/>
    </row>
    <row r="2254" spans="1:20">
      <c r="A2254" s="31"/>
      <c r="B2254" s="32"/>
      <c r="C2254" s="33"/>
      <c r="D2254" s="32" t="s">
        <v>4892</v>
      </c>
      <c r="E2254" s="33" t="s">
        <v>4894</v>
      </c>
      <c r="F2254" s="34">
        <v>1</v>
      </c>
      <c r="G2254" s="35">
        <v>0</v>
      </c>
      <c r="H2254" s="35">
        <v>0</v>
      </c>
      <c r="I2254" s="35">
        <f>Tabla1[[#This Row],[P.U. M.N.]]*Tabla1[[#This Row],[CANTIDADES DE REFERENCIA]]</f>
        <v>0</v>
      </c>
      <c r="J2254" s="35">
        <f>Tabla1[[#This Row],[P.U. USD]]*Tabla1[[#This Row],[CANTIDADES DE REFERENCIA]]</f>
        <v>0</v>
      </c>
      <c r="K2254" s="36"/>
      <c r="L2254" s="36"/>
      <c r="M2254" s="36"/>
      <c r="N2254" s="37"/>
      <c r="O2254" s="37"/>
      <c r="P2254" s="39"/>
      <c r="Q2254" s="37" t="s">
        <v>4895</v>
      </c>
      <c r="R2254" s="37"/>
      <c r="S2254" s="37" t="s">
        <v>4687</v>
      </c>
      <c r="T2254" s="31"/>
    </row>
    <row r="2255" spans="1:20">
      <c r="A2255" s="31"/>
      <c r="B2255" s="32"/>
      <c r="C2255" s="33"/>
      <c r="D2255" s="32" t="s">
        <v>4896</v>
      </c>
      <c r="E2255" s="33" t="s">
        <v>42</v>
      </c>
      <c r="F2255" s="34">
        <v>1</v>
      </c>
      <c r="G2255" s="35">
        <v>0</v>
      </c>
      <c r="H2255" s="35">
        <v>0</v>
      </c>
      <c r="I2255" s="35">
        <f>Tabla1[[#This Row],[P.U. M.N.]]*Tabla1[[#This Row],[CANTIDADES DE REFERENCIA]]</f>
        <v>0</v>
      </c>
      <c r="J2255" s="35">
        <f>Tabla1[[#This Row],[P.U. USD]]*Tabla1[[#This Row],[CANTIDADES DE REFERENCIA]]</f>
        <v>0</v>
      </c>
      <c r="K2255" s="36"/>
      <c r="L2255" s="36"/>
      <c r="M2255" s="36"/>
      <c r="N2255" s="37"/>
      <c r="O2255" s="37"/>
      <c r="P2255" s="39"/>
      <c r="Q2255" s="37" t="s">
        <v>4897</v>
      </c>
      <c r="R2255" s="37"/>
      <c r="S2255" s="37" t="s">
        <v>4687</v>
      </c>
      <c r="T2255" s="31"/>
    </row>
    <row r="2256" spans="1:20">
      <c r="A2256" s="31"/>
      <c r="B2256" s="32"/>
      <c r="C2256" s="33"/>
      <c r="D2256" s="32" t="s">
        <v>4898</v>
      </c>
      <c r="E2256" s="33" t="s">
        <v>42</v>
      </c>
      <c r="F2256" s="34">
        <v>1</v>
      </c>
      <c r="G2256" s="35">
        <v>0</v>
      </c>
      <c r="H2256" s="35">
        <v>0</v>
      </c>
      <c r="I2256" s="35">
        <f>Tabla1[[#This Row],[P.U. M.N.]]*Tabla1[[#This Row],[CANTIDADES DE REFERENCIA]]</f>
        <v>0</v>
      </c>
      <c r="J2256" s="35">
        <f>Tabla1[[#This Row],[P.U. USD]]*Tabla1[[#This Row],[CANTIDADES DE REFERENCIA]]</f>
        <v>0</v>
      </c>
      <c r="K2256" s="36"/>
      <c r="L2256" s="36"/>
      <c r="M2256" s="36"/>
      <c r="N2256" s="37"/>
      <c r="O2256" s="37"/>
      <c r="P2256" s="39"/>
      <c r="Q2256" s="37" t="s">
        <v>4899</v>
      </c>
      <c r="R2256" s="37"/>
      <c r="S2256" s="37" t="s">
        <v>4687</v>
      </c>
      <c r="T2256" s="31"/>
    </row>
    <row r="2257" spans="1:20">
      <c r="A2257" s="31"/>
      <c r="B2257" s="32"/>
      <c r="C2257" s="33"/>
      <c r="D2257" s="32" t="s">
        <v>4900</v>
      </c>
      <c r="E2257" s="33" t="s">
        <v>42</v>
      </c>
      <c r="F2257" s="34">
        <v>1</v>
      </c>
      <c r="G2257" s="35">
        <v>0</v>
      </c>
      <c r="H2257" s="35">
        <v>0</v>
      </c>
      <c r="I2257" s="35">
        <f>Tabla1[[#This Row],[P.U. M.N.]]*Tabla1[[#This Row],[CANTIDADES DE REFERENCIA]]</f>
        <v>0</v>
      </c>
      <c r="J2257" s="35">
        <f>Tabla1[[#This Row],[P.U. USD]]*Tabla1[[#This Row],[CANTIDADES DE REFERENCIA]]</f>
        <v>0</v>
      </c>
      <c r="K2257" s="36"/>
      <c r="L2257" s="36"/>
      <c r="M2257" s="36"/>
      <c r="N2257" s="37"/>
      <c r="O2257" s="37"/>
      <c r="P2257" s="39"/>
      <c r="Q2257" s="37" t="s">
        <v>4901</v>
      </c>
      <c r="R2257" s="37"/>
      <c r="S2257" s="37" t="s">
        <v>4687</v>
      </c>
      <c r="T2257" s="31"/>
    </row>
    <row r="2258" spans="1:20">
      <c r="A2258" s="31"/>
      <c r="B2258" s="32"/>
      <c r="C2258" s="33"/>
      <c r="D2258" s="32" t="s">
        <v>4902</v>
      </c>
      <c r="E2258" s="33" t="s">
        <v>42</v>
      </c>
      <c r="F2258" s="34">
        <v>1</v>
      </c>
      <c r="G2258" s="35">
        <v>0</v>
      </c>
      <c r="H2258" s="35">
        <v>0</v>
      </c>
      <c r="I2258" s="35">
        <f>Tabla1[[#This Row],[P.U. M.N.]]*Tabla1[[#This Row],[CANTIDADES DE REFERENCIA]]</f>
        <v>0</v>
      </c>
      <c r="J2258" s="35">
        <f>Tabla1[[#This Row],[P.U. USD]]*Tabla1[[#This Row],[CANTIDADES DE REFERENCIA]]</f>
        <v>0</v>
      </c>
      <c r="K2258" s="36"/>
      <c r="L2258" s="36"/>
      <c r="M2258" s="36"/>
      <c r="N2258" s="37"/>
      <c r="O2258" s="37"/>
      <c r="P2258" s="39"/>
      <c r="Q2258" s="37" t="s">
        <v>4903</v>
      </c>
      <c r="R2258" s="37"/>
      <c r="S2258" s="37" t="s">
        <v>4687</v>
      </c>
      <c r="T2258" s="31"/>
    </row>
    <row r="2259" spans="1:20">
      <c r="A2259" s="31"/>
      <c r="B2259" s="32"/>
      <c r="C2259" s="33"/>
      <c r="D2259" s="32" t="s">
        <v>4904</v>
      </c>
      <c r="E2259" s="33" t="s">
        <v>135</v>
      </c>
      <c r="F2259" s="34">
        <v>1</v>
      </c>
      <c r="G2259" s="35">
        <v>0</v>
      </c>
      <c r="H2259" s="35">
        <v>0</v>
      </c>
      <c r="I2259" s="35">
        <f>Tabla1[[#This Row],[P.U. M.N.]]*Tabla1[[#This Row],[CANTIDADES DE REFERENCIA]]</f>
        <v>0</v>
      </c>
      <c r="J2259" s="35">
        <f>Tabla1[[#This Row],[P.U. USD]]*Tabla1[[#This Row],[CANTIDADES DE REFERENCIA]]</f>
        <v>0</v>
      </c>
      <c r="K2259" s="36"/>
      <c r="L2259" s="36"/>
      <c r="M2259" s="36"/>
      <c r="N2259" s="37"/>
      <c r="O2259" s="37"/>
      <c r="P2259" s="39"/>
      <c r="Q2259" s="37" t="s">
        <v>4905</v>
      </c>
      <c r="R2259" s="37"/>
      <c r="S2259" s="37" t="s">
        <v>4687</v>
      </c>
      <c r="T2259" s="31"/>
    </row>
    <row r="2260" spans="1:20">
      <c r="A2260" s="31"/>
      <c r="B2260" s="32"/>
      <c r="C2260" s="33"/>
      <c r="D2260" s="32" t="s">
        <v>4906</v>
      </c>
      <c r="E2260" s="33" t="s">
        <v>135</v>
      </c>
      <c r="F2260" s="34">
        <v>1</v>
      </c>
      <c r="G2260" s="35">
        <v>0</v>
      </c>
      <c r="H2260" s="35">
        <v>0</v>
      </c>
      <c r="I2260" s="35">
        <f>Tabla1[[#This Row],[P.U. M.N.]]*Tabla1[[#This Row],[CANTIDADES DE REFERENCIA]]</f>
        <v>0</v>
      </c>
      <c r="J2260" s="35">
        <f>Tabla1[[#This Row],[P.U. USD]]*Tabla1[[#This Row],[CANTIDADES DE REFERENCIA]]</f>
        <v>0</v>
      </c>
      <c r="K2260" s="36"/>
      <c r="L2260" s="36"/>
      <c r="M2260" s="36"/>
      <c r="N2260" s="37"/>
      <c r="O2260" s="37"/>
      <c r="P2260" s="39"/>
      <c r="Q2260" s="37" t="s">
        <v>4907</v>
      </c>
      <c r="R2260" s="37"/>
      <c r="S2260" s="37" t="s">
        <v>4687</v>
      </c>
      <c r="T2260" s="31"/>
    </row>
    <row r="2261" spans="1:20">
      <c r="A2261" s="31"/>
      <c r="B2261" s="32"/>
      <c r="C2261" s="33"/>
      <c r="D2261" s="32" t="s">
        <v>4908</v>
      </c>
      <c r="E2261" s="33" t="s">
        <v>135</v>
      </c>
      <c r="F2261" s="34">
        <v>1</v>
      </c>
      <c r="G2261" s="35">
        <v>0</v>
      </c>
      <c r="H2261" s="35">
        <v>0</v>
      </c>
      <c r="I2261" s="35">
        <f>Tabla1[[#This Row],[P.U. M.N.]]*Tabla1[[#This Row],[CANTIDADES DE REFERENCIA]]</f>
        <v>0</v>
      </c>
      <c r="J2261" s="35">
        <f>Tabla1[[#This Row],[P.U. USD]]*Tabla1[[#This Row],[CANTIDADES DE REFERENCIA]]</f>
        <v>0</v>
      </c>
      <c r="K2261" s="36"/>
      <c r="L2261" s="36"/>
      <c r="M2261" s="36"/>
      <c r="N2261" s="37"/>
      <c r="O2261" s="37"/>
      <c r="P2261" s="39"/>
      <c r="Q2261" s="37" t="s">
        <v>4909</v>
      </c>
      <c r="R2261" s="37"/>
      <c r="S2261" s="37" t="s">
        <v>4687</v>
      </c>
      <c r="T2261" s="31"/>
    </row>
    <row r="2262" spans="1:20">
      <c r="A2262" s="31"/>
      <c r="B2262" s="32"/>
      <c r="C2262" s="33"/>
      <c r="D2262" s="32" t="s">
        <v>4910</v>
      </c>
      <c r="E2262" s="33" t="s">
        <v>135</v>
      </c>
      <c r="F2262" s="34">
        <v>1</v>
      </c>
      <c r="G2262" s="35">
        <v>0</v>
      </c>
      <c r="H2262" s="35">
        <v>0</v>
      </c>
      <c r="I2262" s="35">
        <f>Tabla1[[#This Row],[P.U. M.N.]]*Tabla1[[#This Row],[CANTIDADES DE REFERENCIA]]</f>
        <v>0</v>
      </c>
      <c r="J2262" s="35">
        <f>Tabla1[[#This Row],[P.U. USD]]*Tabla1[[#This Row],[CANTIDADES DE REFERENCIA]]</f>
        <v>0</v>
      </c>
      <c r="K2262" s="36"/>
      <c r="L2262" s="36"/>
      <c r="M2262" s="36"/>
      <c r="N2262" s="37"/>
      <c r="O2262" s="37"/>
      <c r="P2262" s="39"/>
      <c r="Q2262" s="37" t="s">
        <v>4911</v>
      </c>
      <c r="R2262" s="37"/>
      <c r="S2262" s="37" t="s">
        <v>4687</v>
      </c>
      <c r="T2262" s="31"/>
    </row>
    <row r="2263" spans="1:20">
      <c r="A2263" s="31"/>
      <c r="B2263" s="32"/>
      <c r="C2263" s="33"/>
      <c r="D2263" s="32" t="s">
        <v>4912</v>
      </c>
      <c r="E2263" s="33" t="s">
        <v>42</v>
      </c>
      <c r="F2263" s="34">
        <v>1</v>
      </c>
      <c r="G2263" s="35">
        <v>0</v>
      </c>
      <c r="H2263" s="35">
        <v>0</v>
      </c>
      <c r="I2263" s="35">
        <f>Tabla1[[#This Row],[P.U. M.N.]]*Tabla1[[#This Row],[CANTIDADES DE REFERENCIA]]</f>
        <v>0</v>
      </c>
      <c r="J2263" s="35">
        <f>Tabla1[[#This Row],[P.U. USD]]*Tabla1[[#This Row],[CANTIDADES DE REFERENCIA]]</f>
        <v>0</v>
      </c>
      <c r="K2263" s="36"/>
      <c r="L2263" s="36"/>
      <c r="M2263" s="36"/>
      <c r="N2263" s="37"/>
      <c r="O2263" s="37"/>
      <c r="P2263" s="39"/>
      <c r="Q2263" s="37" t="s">
        <v>4913</v>
      </c>
      <c r="R2263" s="37"/>
      <c r="S2263" s="37" t="s">
        <v>4687</v>
      </c>
      <c r="T2263" s="31"/>
    </row>
    <row r="2264" spans="1:20">
      <c r="A2264" s="31"/>
      <c r="B2264" s="32"/>
      <c r="C2264" s="33"/>
      <c r="D2264" s="32" t="s">
        <v>4914</v>
      </c>
      <c r="E2264" s="33" t="s">
        <v>42</v>
      </c>
      <c r="F2264" s="34">
        <v>1</v>
      </c>
      <c r="G2264" s="35">
        <v>0</v>
      </c>
      <c r="H2264" s="35">
        <v>0</v>
      </c>
      <c r="I2264" s="35">
        <f>Tabla1[[#This Row],[P.U. M.N.]]*Tabla1[[#This Row],[CANTIDADES DE REFERENCIA]]</f>
        <v>0</v>
      </c>
      <c r="J2264" s="35">
        <f>Tabla1[[#This Row],[P.U. USD]]*Tabla1[[#This Row],[CANTIDADES DE REFERENCIA]]</f>
        <v>0</v>
      </c>
      <c r="K2264" s="36"/>
      <c r="L2264" s="36"/>
      <c r="M2264" s="36"/>
      <c r="N2264" s="37"/>
      <c r="O2264" s="37"/>
      <c r="P2264" s="39"/>
      <c r="Q2264" s="37" t="s">
        <v>4915</v>
      </c>
      <c r="R2264" s="37"/>
      <c r="S2264" s="37" t="s">
        <v>4687</v>
      </c>
      <c r="T2264" s="31"/>
    </row>
    <row r="2265" spans="1:20">
      <c r="A2265" s="31"/>
      <c r="B2265" s="32"/>
      <c r="C2265" s="33"/>
      <c r="D2265" s="32" t="s">
        <v>4916</v>
      </c>
      <c r="E2265" s="33" t="s">
        <v>4701</v>
      </c>
      <c r="F2265" s="34">
        <v>1</v>
      </c>
      <c r="G2265" s="35">
        <v>0</v>
      </c>
      <c r="H2265" s="35">
        <v>0</v>
      </c>
      <c r="I2265" s="35">
        <f>Tabla1[[#This Row],[P.U. M.N.]]*Tabla1[[#This Row],[CANTIDADES DE REFERENCIA]]</f>
        <v>0</v>
      </c>
      <c r="J2265" s="35">
        <f>Tabla1[[#This Row],[P.U. USD]]*Tabla1[[#This Row],[CANTIDADES DE REFERENCIA]]</f>
        <v>0</v>
      </c>
      <c r="K2265" s="36"/>
      <c r="L2265" s="36"/>
      <c r="M2265" s="36"/>
      <c r="N2265" s="37"/>
      <c r="O2265" s="37"/>
      <c r="P2265" s="39"/>
      <c r="Q2265" s="37" t="s">
        <v>4917</v>
      </c>
      <c r="R2265" s="37"/>
      <c r="S2265" s="37" t="s">
        <v>4687</v>
      </c>
      <c r="T2265" s="31"/>
    </row>
    <row r="2266" spans="1:20">
      <c r="A2266" s="31"/>
      <c r="B2266" s="32"/>
      <c r="C2266" s="33"/>
      <c r="D2266" s="32" t="s">
        <v>4918</v>
      </c>
      <c r="E2266" s="33" t="s">
        <v>4701</v>
      </c>
      <c r="F2266" s="34">
        <v>1</v>
      </c>
      <c r="G2266" s="35">
        <v>0</v>
      </c>
      <c r="H2266" s="35">
        <v>0</v>
      </c>
      <c r="I2266" s="35">
        <f>Tabla1[[#This Row],[P.U. M.N.]]*Tabla1[[#This Row],[CANTIDADES DE REFERENCIA]]</f>
        <v>0</v>
      </c>
      <c r="J2266" s="35">
        <f>Tabla1[[#This Row],[P.U. USD]]*Tabla1[[#This Row],[CANTIDADES DE REFERENCIA]]</f>
        <v>0</v>
      </c>
      <c r="K2266" s="36"/>
      <c r="L2266" s="36"/>
      <c r="M2266" s="36"/>
      <c r="N2266" s="37"/>
      <c r="O2266" s="37"/>
      <c r="P2266" s="39"/>
      <c r="Q2266" s="37" t="s">
        <v>4919</v>
      </c>
      <c r="R2266" s="37"/>
      <c r="S2266" s="37" t="s">
        <v>4687</v>
      </c>
      <c r="T2266" s="31"/>
    </row>
    <row r="2267" spans="1:20">
      <c r="A2267" s="31"/>
      <c r="B2267" s="32"/>
      <c r="C2267" s="33"/>
      <c r="D2267" s="32" t="s">
        <v>4920</v>
      </c>
      <c r="E2267" s="33" t="s">
        <v>42</v>
      </c>
      <c r="F2267" s="34">
        <v>1</v>
      </c>
      <c r="G2267" s="35">
        <v>0</v>
      </c>
      <c r="H2267" s="35">
        <v>0</v>
      </c>
      <c r="I2267" s="35">
        <f>Tabla1[[#This Row],[P.U. M.N.]]*Tabla1[[#This Row],[CANTIDADES DE REFERENCIA]]</f>
        <v>0</v>
      </c>
      <c r="J2267" s="35">
        <f>Tabla1[[#This Row],[P.U. USD]]*Tabla1[[#This Row],[CANTIDADES DE REFERENCIA]]</f>
        <v>0</v>
      </c>
      <c r="K2267" s="36"/>
      <c r="L2267" s="36"/>
      <c r="M2267" s="36"/>
      <c r="N2267" s="37"/>
      <c r="O2267" s="37"/>
      <c r="P2267" s="39"/>
      <c r="Q2267" s="37" t="s">
        <v>4921</v>
      </c>
      <c r="R2267" s="37"/>
      <c r="S2267" s="37" t="s">
        <v>4687</v>
      </c>
      <c r="T2267" s="31"/>
    </row>
    <row r="2268" spans="1:20">
      <c r="A2268" s="31"/>
      <c r="B2268" s="32"/>
      <c r="C2268" s="33"/>
      <c r="D2268" s="32" t="s">
        <v>4922</v>
      </c>
      <c r="E2268" s="33" t="s">
        <v>4701</v>
      </c>
      <c r="F2268" s="34">
        <v>1</v>
      </c>
      <c r="G2268" s="35">
        <v>0</v>
      </c>
      <c r="H2268" s="35">
        <v>0</v>
      </c>
      <c r="I2268" s="35">
        <f>Tabla1[[#This Row],[P.U. M.N.]]*Tabla1[[#This Row],[CANTIDADES DE REFERENCIA]]</f>
        <v>0</v>
      </c>
      <c r="J2268" s="35">
        <f>Tabla1[[#This Row],[P.U. USD]]*Tabla1[[#This Row],[CANTIDADES DE REFERENCIA]]</f>
        <v>0</v>
      </c>
      <c r="K2268" s="36"/>
      <c r="L2268" s="36"/>
      <c r="M2268" s="36"/>
      <c r="N2268" s="37"/>
      <c r="O2268" s="37"/>
      <c r="P2268" s="39"/>
      <c r="Q2268" s="37" t="s">
        <v>4923</v>
      </c>
      <c r="R2268" s="37"/>
      <c r="S2268" s="37" t="s">
        <v>4687</v>
      </c>
      <c r="T2268" s="31"/>
    </row>
    <row r="2269" spans="1:20">
      <c r="A2269" s="31"/>
      <c r="B2269" s="32"/>
      <c r="C2269" s="33"/>
      <c r="D2269" s="32" t="s">
        <v>4924</v>
      </c>
      <c r="E2269" s="33" t="s">
        <v>4701</v>
      </c>
      <c r="F2269" s="34">
        <v>1</v>
      </c>
      <c r="G2269" s="35">
        <v>0</v>
      </c>
      <c r="H2269" s="35">
        <v>0</v>
      </c>
      <c r="I2269" s="35">
        <f>Tabla1[[#This Row],[P.U. M.N.]]*Tabla1[[#This Row],[CANTIDADES DE REFERENCIA]]</f>
        <v>0</v>
      </c>
      <c r="J2269" s="35">
        <f>Tabla1[[#This Row],[P.U. USD]]*Tabla1[[#This Row],[CANTIDADES DE REFERENCIA]]</f>
        <v>0</v>
      </c>
      <c r="K2269" s="36"/>
      <c r="L2269" s="36"/>
      <c r="M2269" s="36"/>
      <c r="N2269" s="37"/>
      <c r="O2269" s="37"/>
      <c r="P2269" s="39"/>
      <c r="Q2269" s="37" t="s">
        <v>4925</v>
      </c>
      <c r="R2269" s="37"/>
      <c r="S2269" s="37" t="s">
        <v>4687</v>
      </c>
      <c r="T2269" s="31"/>
    </row>
    <row r="2270" spans="1:20">
      <c r="A2270" s="31"/>
      <c r="B2270" s="32"/>
      <c r="C2270" s="33"/>
      <c r="D2270" s="32" t="s">
        <v>4926</v>
      </c>
      <c r="E2270" s="33" t="s">
        <v>4701</v>
      </c>
      <c r="F2270" s="34">
        <v>1</v>
      </c>
      <c r="G2270" s="35">
        <v>0</v>
      </c>
      <c r="H2270" s="35">
        <v>0</v>
      </c>
      <c r="I2270" s="35">
        <f>Tabla1[[#This Row],[P.U. M.N.]]*Tabla1[[#This Row],[CANTIDADES DE REFERENCIA]]</f>
        <v>0</v>
      </c>
      <c r="J2270" s="35">
        <f>Tabla1[[#This Row],[P.U. USD]]*Tabla1[[#This Row],[CANTIDADES DE REFERENCIA]]</f>
        <v>0</v>
      </c>
      <c r="K2270" s="36"/>
      <c r="L2270" s="36"/>
      <c r="M2270" s="36"/>
      <c r="N2270" s="37"/>
      <c r="O2270" s="37"/>
      <c r="P2270" s="39"/>
      <c r="Q2270" s="37" t="s">
        <v>4927</v>
      </c>
      <c r="R2270" s="37"/>
      <c r="S2270" s="37" t="s">
        <v>4687</v>
      </c>
      <c r="T2270" s="31"/>
    </row>
    <row r="2271" spans="1:20">
      <c r="A2271" s="31"/>
      <c r="B2271" s="32"/>
      <c r="C2271" s="33"/>
      <c r="D2271" s="32" t="s">
        <v>4928</v>
      </c>
      <c r="E2271" s="33" t="s">
        <v>4701</v>
      </c>
      <c r="F2271" s="34">
        <v>1</v>
      </c>
      <c r="G2271" s="35">
        <v>0</v>
      </c>
      <c r="H2271" s="35">
        <v>0</v>
      </c>
      <c r="I2271" s="35">
        <f>Tabla1[[#This Row],[P.U. M.N.]]*Tabla1[[#This Row],[CANTIDADES DE REFERENCIA]]</f>
        <v>0</v>
      </c>
      <c r="J2271" s="35">
        <f>Tabla1[[#This Row],[P.U. USD]]*Tabla1[[#This Row],[CANTIDADES DE REFERENCIA]]</f>
        <v>0</v>
      </c>
      <c r="K2271" s="36"/>
      <c r="L2271" s="36"/>
      <c r="M2271" s="36"/>
      <c r="N2271" s="37"/>
      <c r="O2271" s="37"/>
      <c r="P2271" s="39"/>
      <c r="Q2271" s="37" t="s">
        <v>4929</v>
      </c>
      <c r="R2271" s="37"/>
      <c r="S2271" s="37" t="s">
        <v>4687</v>
      </c>
      <c r="T2271" s="31"/>
    </row>
    <row r="2272" spans="1:20">
      <c r="A2272" s="31"/>
      <c r="B2272" s="32"/>
      <c r="C2272" s="33"/>
      <c r="D2272" s="32" t="s">
        <v>4930</v>
      </c>
      <c r="E2272" s="33" t="s">
        <v>4701</v>
      </c>
      <c r="F2272" s="34">
        <v>1</v>
      </c>
      <c r="G2272" s="35">
        <v>0</v>
      </c>
      <c r="H2272" s="35">
        <v>0</v>
      </c>
      <c r="I2272" s="35">
        <f>Tabla1[[#This Row],[P.U. M.N.]]*Tabla1[[#This Row],[CANTIDADES DE REFERENCIA]]</f>
        <v>0</v>
      </c>
      <c r="J2272" s="35">
        <f>Tabla1[[#This Row],[P.U. USD]]*Tabla1[[#This Row],[CANTIDADES DE REFERENCIA]]</f>
        <v>0</v>
      </c>
      <c r="K2272" s="36"/>
      <c r="L2272" s="36"/>
      <c r="M2272" s="36"/>
      <c r="N2272" s="37"/>
      <c r="O2272" s="37"/>
      <c r="P2272" s="39"/>
      <c r="Q2272" s="37" t="s">
        <v>4931</v>
      </c>
      <c r="R2272" s="37"/>
      <c r="S2272" s="37" t="s">
        <v>4687</v>
      </c>
      <c r="T2272" s="31"/>
    </row>
    <row r="2273" spans="1:20">
      <c r="A2273" s="31"/>
      <c r="B2273" s="32"/>
      <c r="C2273" s="33"/>
      <c r="D2273" s="32" t="s">
        <v>4932</v>
      </c>
      <c r="E2273" s="33" t="s">
        <v>4701</v>
      </c>
      <c r="F2273" s="34">
        <v>1</v>
      </c>
      <c r="G2273" s="35">
        <v>0</v>
      </c>
      <c r="H2273" s="35">
        <v>0</v>
      </c>
      <c r="I2273" s="35">
        <f>Tabla1[[#This Row],[P.U. M.N.]]*Tabla1[[#This Row],[CANTIDADES DE REFERENCIA]]</f>
        <v>0</v>
      </c>
      <c r="J2273" s="35">
        <f>Tabla1[[#This Row],[P.U. USD]]*Tabla1[[#This Row],[CANTIDADES DE REFERENCIA]]</f>
        <v>0</v>
      </c>
      <c r="K2273" s="36"/>
      <c r="L2273" s="36"/>
      <c r="M2273" s="36"/>
      <c r="N2273" s="37"/>
      <c r="O2273" s="37"/>
      <c r="P2273" s="39"/>
      <c r="Q2273" s="37" t="s">
        <v>4933</v>
      </c>
      <c r="R2273" s="37"/>
      <c r="S2273" s="37" t="s">
        <v>4687</v>
      </c>
      <c r="T2273" s="31"/>
    </row>
    <row r="2274" spans="1:20">
      <c r="A2274" s="31"/>
      <c r="B2274" s="32"/>
      <c r="C2274" s="33"/>
      <c r="D2274" s="32" t="s">
        <v>4934</v>
      </c>
      <c r="E2274" s="33" t="s">
        <v>4701</v>
      </c>
      <c r="F2274" s="34">
        <v>1</v>
      </c>
      <c r="G2274" s="35">
        <v>0</v>
      </c>
      <c r="H2274" s="35">
        <v>0</v>
      </c>
      <c r="I2274" s="35">
        <f>Tabla1[[#This Row],[P.U. M.N.]]*Tabla1[[#This Row],[CANTIDADES DE REFERENCIA]]</f>
        <v>0</v>
      </c>
      <c r="J2274" s="35">
        <f>Tabla1[[#This Row],[P.U. USD]]*Tabla1[[#This Row],[CANTIDADES DE REFERENCIA]]</f>
        <v>0</v>
      </c>
      <c r="K2274" s="36"/>
      <c r="L2274" s="36"/>
      <c r="M2274" s="36"/>
      <c r="N2274" s="37"/>
      <c r="O2274" s="37"/>
      <c r="P2274" s="39"/>
      <c r="Q2274" s="37" t="s">
        <v>4935</v>
      </c>
      <c r="R2274" s="37"/>
      <c r="S2274" s="37" t="s">
        <v>4687</v>
      </c>
      <c r="T2274" s="31"/>
    </row>
    <row r="2275" spans="1:20">
      <c r="A2275" s="31"/>
      <c r="B2275" s="32"/>
      <c r="C2275" s="33"/>
      <c r="D2275" s="32" t="s">
        <v>4936</v>
      </c>
      <c r="E2275" s="33" t="s">
        <v>4701</v>
      </c>
      <c r="F2275" s="34">
        <v>1</v>
      </c>
      <c r="G2275" s="35">
        <v>0</v>
      </c>
      <c r="H2275" s="35">
        <v>0</v>
      </c>
      <c r="I2275" s="35">
        <f>Tabla1[[#This Row],[P.U. M.N.]]*Tabla1[[#This Row],[CANTIDADES DE REFERENCIA]]</f>
        <v>0</v>
      </c>
      <c r="J2275" s="35">
        <f>Tabla1[[#This Row],[P.U. USD]]*Tabla1[[#This Row],[CANTIDADES DE REFERENCIA]]</f>
        <v>0</v>
      </c>
      <c r="K2275" s="36"/>
      <c r="L2275" s="36"/>
      <c r="M2275" s="36"/>
      <c r="N2275" s="37"/>
      <c r="O2275" s="37"/>
      <c r="P2275" s="39"/>
      <c r="Q2275" s="37" t="s">
        <v>4937</v>
      </c>
      <c r="R2275" s="37"/>
      <c r="S2275" s="37" t="s">
        <v>4687</v>
      </c>
      <c r="T2275" s="31"/>
    </row>
    <row r="2276" spans="1:20">
      <c r="A2276" s="31"/>
      <c r="B2276" s="32"/>
      <c r="C2276" s="33"/>
      <c r="D2276" s="32" t="s">
        <v>4938</v>
      </c>
      <c r="E2276" s="33" t="s">
        <v>4701</v>
      </c>
      <c r="F2276" s="34">
        <v>1</v>
      </c>
      <c r="G2276" s="35">
        <v>0</v>
      </c>
      <c r="H2276" s="35">
        <v>0</v>
      </c>
      <c r="I2276" s="35">
        <f>Tabla1[[#This Row],[P.U. M.N.]]*Tabla1[[#This Row],[CANTIDADES DE REFERENCIA]]</f>
        <v>0</v>
      </c>
      <c r="J2276" s="35">
        <f>Tabla1[[#This Row],[P.U. USD]]*Tabla1[[#This Row],[CANTIDADES DE REFERENCIA]]</f>
        <v>0</v>
      </c>
      <c r="K2276" s="36"/>
      <c r="L2276" s="36"/>
      <c r="M2276" s="36"/>
      <c r="N2276" s="37"/>
      <c r="O2276" s="37"/>
      <c r="P2276" s="39"/>
      <c r="Q2276" s="37" t="s">
        <v>4939</v>
      </c>
      <c r="R2276" s="37"/>
      <c r="S2276" s="37" t="s">
        <v>4687</v>
      </c>
      <c r="T2276" s="31"/>
    </row>
    <row r="2277" spans="1:20">
      <c r="A2277" s="31"/>
      <c r="B2277" s="32"/>
      <c r="C2277" s="33"/>
      <c r="D2277" s="32" t="s">
        <v>4940</v>
      </c>
      <c r="E2277" s="33" t="s">
        <v>4701</v>
      </c>
      <c r="F2277" s="34">
        <v>1</v>
      </c>
      <c r="G2277" s="35">
        <v>0</v>
      </c>
      <c r="H2277" s="35">
        <v>0</v>
      </c>
      <c r="I2277" s="35">
        <f>Tabla1[[#This Row],[P.U. M.N.]]*Tabla1[[#This Row],[CANTIDADES DE REFERENCIA]]</f>
        <v>0</v>
      </c>
      <c r="J2277" s="35">
        <f>Tabla1[[#This Row],[P.U. USD]]*Tabla1[[#This Row],[CANTIDADES DE REFERENCIA]]</f>
        <v>0</v>
      </c>
      <c r="K2277" s="36"/>
      <c r="L2277" s="36"/>
      <c r="M2277" s="36"/>
      <c r="N2277" s="37"/>
      <c r="O2277" s="37"/>
      <c r="P2277" s="39"/>
      <c r="Q2277" s="37" t="s">
        <v>4941</v>
      </c>
      <c r="R2277" s="37"/>
      <c r="S2277" s="37" t="s">
        <v>4687</v>
      </c>
      <c r="T2277" s="31"/>
    </row>
    <row r="2278" spans="1:20">
      <c r="A2278" s="31"/>
      <c r="B2278" s="32"/>
      <c r="C2278" s="33"/>
      <c r="D2278" s="32" t="s">
        <v>4942</v>
      </c>
      <c r="E2278" s="33" t="s">
        <v>4701</v>
      </c>
      <c r="F2278" s="34">
        <v>1</v>
      </c>
      <c r="G2278" s="35">
        <v>0</v>
      </c>
      <c r="H2278" s="35">
        <v>0</v>
      </c>
      <c r="I2278" s="35">
        <f>Tabla1[[#This Row],[P.U. M.N.]]*Tabla1[[#This Row],[CANTIDADES DE REFERENCIA]]</f>
        <v>0</v>
      </c>
      <c r="J2278" s="35">
        <f>Tabla1[[#This Row],[P.U. USD]]*Tabla1[[#This Row],[CANTIDADES DE REFERENCIA]]</f>
        <v>0</v>
      </c>
      <c r="K2278" s="36"/>
      <c r="L2278" s="36"/>
      <c r="M2278" s="36"/>
      <c r="N2278" s="37"/>
      <c r="O2278" s="37"/>
      <c r="P2278" s="39"/>
      <c r="Q2278" s="37" t="s">
        <v>4943</v>
      </c>
      <c r="R2278" s="37"/>
      <c r="S2278" s="37" t="s">
        <v>4687</v>
      </c>
      <c r="T2278" s="31"/>
    </row>
    <row r="2279" spans="1:20">
      <c r="A2279" s="31"/>
      <c r="B2279" s="32"/>
      <c r="C2279" s="33"/>
      <c r="D2279" s="32" t="s">
        <v>4944</v>
      </c>
      <c r="E2279" s="33" t="s">
        <v>4701</v>
      </c>
      <c r="F2279" s="34">
        <v>1</v>
      </c>
      <c r="G2279" s="35">
        <v>0</v>
      </c>
      <c r="H2279" s="35">
        <v>0</v>
      </c>
      <c r="I2279" s="35">
        <f>Tabla1[[#This Row],[P.U. M.N.]]*Tabla1[[#This Row],[CANTIDADES DE REFERENCIA]]</f>
        <v>0</v>
      </c>
      <c r="J2279" s="35">
        <f>Tabla1[[#This Row],[P.U. USD]]*Tabla1[[#This Row],[CANTIDADES DE REFERENCIA]]</f>
        <v>0</v>
      </c>
      <c r="K2279" s="36"/>
      <c r="L2279" s="36"/>
      <c r="M2279" s="36"/>
      <c r="N2279" s="37"/>
      <c r="O2279" s="37"/>
      <c r="P2279" s="39"/>
      <c r="Q2279" s="37" t="s">
        <v>4945</v>
      </c>
      <c r="R2279" s="37"/>
      <c r="S2279" s="37" t="s">
        <v>4687</v>
      </c>
      <c r="T2279" s="31"/>
    </row>
    <row r="2280" spans="1:20">
      <c r="A2280" s="31"/>
      <c r="B2280" s="32"/>
      <c r="C2280" s="33"/>
      <c r="D2280" s="32" t="s">
        <v>4946</v>
      </c>
      <c r="E2280" s="33" t="s">
        <v>4701</v>
      </c>
      <c r="F2280" s="34">
        <v>1</v>
      </c>
      <c r="G2280" s="35">
        <v>0</v>
      </c>
      <c r="H2280" s="35">
        <v>0</v>
      </c>
      <c r="I2280" s="35">
        <f>Tabla1[[#This Row],[P.U. M.N.]]*Tabla1[[#This Row],[CANTIDADES DE REFERENCIA]]</f>
        <v>0</v>
      </c>
      <c r="J2280" s="35">
        <f>Tabla1[[#This Row],[P.U. USD]]*Tabla1[[#This Row],[CANTIDADES DE REFERENCIA]]</f>
        <v>0</v>
      </c>
      <c r="K2280" s="36"/>
      <c r="L2280" s="36"/>
      <c r="M2280" s="36"/>
      <c r="N2280" s="37"/>
      <c r="O2280" s="37"/>
      <c r="P2280" s="39"/>
      <c r="Q2280" s="37" t="s">
        <v>4947</v>
      </c>
      <c r="R2280" s="37"/>
      <c r="S2280" s="37" t="s">
        <v>4687</v>
      </c>
      <c r="T2280" s="31"/>
    </row>
    <row r="2281" spans="1:20">
      <c r="A2281" s="31"/>
      <c r="B2281" s="32"/>
      <c r="C2281" s="33"/>
      <c r="D2281" s="32" t="s">
        <v>4948</v>
      </c>
      <c r="E2281" s="33" t="s">
        <v>4701</v>
      </c>
      <c r="F2281" s="34">
        <v>1</v>
      </c>
      <c r="G2281" s="35">
        <v>0</v>
      </c>
      <c r="H2281" s="35">
        <v>0</v>
      </c>
      <c r="I2281" s="35">
        <f>Tabla1[[#This Row],[P.U. M.N.]]*Tabla1[[#This Row],[CANTIDADES DE REFERENCIA]]</f>
        <v>0</v>
      </c>
      <c r="J2281" s="35">
        <f>Tabla1[[#This Row],[P.U. USD]]*Tabla1[[#This Row],[CANTIDADES DE REFERENCIA]]</f>
        <v>0</v>
      </c>
      <c r="K2281" s="36"/>
      <c r="L2281" s="36"/>
      <c r="M2281" s="36"/>
      <c r="N2281" s="37"/>
      <c r="O2281" s="37"/>
      <c r="P2281" s="39"/>
      <c r="Q2281" s="37" t="s">
        <v>4949</v>
      </c>
      <c r="R2281" s="37"/>
      <c r="S2281" s="37" t="s">
        <v>4687</v>
      </c>
      <c r="T2281" s="31"/>
    </row>
    <row r="2282" spans="1:20">
      <c r="A2282" s="31"/>
      <c r="B2282" s="32"/>
      <c r="C2282" s="33"/>
      <c r="D2282" s="32" t="s">
        <v>4950</v>
      </c>
      <c r="E2282" s="33" t="s">
        <v>4701</v>
      </c>
      <c r="F2282" s="34">
        <v>1</v>
      </c>
      <c r="G2282" s="35">
        <v>0</v>
      </c>
      <c r="H2282" s="35">
        <v>0</v>
      </c>
      <c r="I2282" s="35">
        <f>Tabla1[[#This Row],[P.U. M.N.]]*Tabla1[[#This Row],[CANTIDADES DE REFERENCIA]]</f>
        <v>0</v>
      </c>
      <c r="J2282" s="35">
        <f>Tabla1[[#This Row],[P.U. USD]]*Tabla1[[#This Row],[CANTIDADES DE REFERENCIA]]</f>
        <v>0</v>
      </c>
      <c r="K2282" s="36"/>
      <c r="L2282" s="36"/>
      <c r="M2282" s="36"/>
      <c r="N2282" s="37"/>
      <c r="O2282" s="37"/>
      <c r="P2282" s="39"/>
      <c r="Q2282" s="37" t="s">
        <v>4951</v>
      </c>
      <c r="R2282" s="37"/>
      <c r="S2282" s="37" t="s">
        <v>4687</v>
      </c>
      <c r="T2282" s="31"/>
    </row>
    <row r="2283" spans="1:20">
      <c r="A2283" s="31"/>
      <c r="B2283" s="32"/>
      <c r="C2283" s="33"/>
      <c r="D2283" s="32" t="s">
        <v>4952</v>
      </c>
      <c r="E2283" s="33" t="s">
        <v>4701</v>
      </c>
      <c r="F2283" s="34">
        <v>1</v>
      </c>
      <c r="G2283" s="35">
        <v>0</v>
      </c>
      <c r="H2283" s="35">
        <v>0</v>
      </c>
      <c r="I2283" s="35">
        <f>Tabla1[[#This Row],[P.U. M.N.]]*Tabla1[[#This Row],[CANTIDADES DE REFERENCIA]]</f>
        <v>0</v>
      </c>
      <c r="J2283" s="35">
        <f>Tabla1[[#This Row],[P.U. USD]]*Tabla1[[#This Row],[CANTIDADES DE REFERENCIA]]</f>
        <v>0</v>
      </c>
      <c r="K2283" s="36"/>
      <c r="L2283" s="36"/>
      <c r="M2283" s="36"/>
      <c r="N2283" s="37"/>
      <c r="O2283" s="37"/>
      <c r="P2283" s="39"/>
      <c r="Q2283" s="37" t="s">
        <v>4953</v>
      </c>
      <c r="R2283" s="37"/>
      <c r="S2283" s="37" t="s">
        <v>4687</v>
      </c>
      <c r="T2283" s="31"/>
    </row>
    <row r="2284" spans="1:20">
      <c r="A2284" s="31"/>
      <c r="B2284" s="32"/>
      <c r="C2284" s="33"/>
      <c r="D2284" s="32" t="s">
        <v>4954</v>
      </c>
      <c r="E2284" s="33" t="s">
        <v>23</v>
      </c>
      <c r="F2284" s="34">
        <v>1</v>
      </c>
      <c r="G2284" s="35">
        <v>0</v>
      </c>
      <c r="H2284" s="35">
        <v>0</v>
      </c>
      <c r="I2284" s="35">
        <f>Tabla1[[#This Row],[P.U. M.N.]]*Tabla1[[#This Row],[CANTIDADES DE REFERENCIA]]</f>
        <v>0</v>
      </c>
      <c r="J2284" s="35">
        <f>Tabla1[[#This Row],[P.U. USD]]*Tabla1[[#This Row],[CANTIDADES DE REFERENCIA]]</f>
        <v>0</v>
      </c>
      <c r="K2284" s="36"/>
      <c r="L2284" s="36"/>
      <c r="M2284" s="36"/>
      <c r="N2284" s="37"/>
      <c r="O2284" s="37"/>
      <c r="P2284" s="39"/>
      <c r="Q2284" s="37" t="s">
        <v>4955</v>
      </c>
      <c r="R2284" s="37"/>
      <c r="S2284" s="37" t="s">
        <v>4687</v>
      </c>
      <c r="T2284" s="31"/>
    </row>
    <row r="2285" spans="1:20">
      <c r="A2285" s="31"/>
      <c r="B2285" s="32"/>
      <c r="C2285" s="33"/>
      <c r="D2285" s="32" t="s">
        <v>4956</v>
      </c>
      <c r="E2285" s="33" t="s">
        <v>42</v>
      </c>
      <c r="F2285" s="34">
        <v>1</v>
      </c>
      <c r="G2285" s="35">
        <v>0</v>
      </c>
      <c r="H2285" s="35">
        <v>0</v>
      </c>
      <c r="I2285" s="35">
        <f>Tabla1[[#This Row],[P.U. M.N.]]*Tabla1[[#This Row],[CANTIDADES DE REFERENCIA]]</f>
        <v>0</v>
      </c>
      <c r="J2285" s="35">
        <f>Tabla1[[#This Row],[P.U. USD]]*Tabla1[[#This Row],[CANTIDADES DE REFERENCIA]]</f>
        <v>0</v>
      </c>
      <c r="K2285" s="36"/>
      <c r="L2285" s="36"/>
      <c r="M2285" s="36"/>
      <c r="N2285" s="37"/>
      <c r="O2285" s="37"/>
      <c r="P2285" s="39"/>
      <c r="Q2285" s="37" t="s">
        <v>4957</v>
      </c>
      <c r="R2285" s="37"/>
      <c r="S2285" s="37" t="s">
        <v>4687</v>
      </c>
      <c r="T2285" s="31"/>
    </row>
    <row r="2286" spans="1:20">
      <c r="A2286" s="31"/>
      <c r="B2286" s="32"/>
      <c r="C2286" s="33"/>
      <c r="D2286" s="32" t="s">
        <v>4958</v>
      </c>
      <c r="E2286" s="33" t="s">
        <v>23</v>
      </c>
      <c r="F2286" s="34">
        <v>1</v>
      </c>
      <c r="G2286" s="35">
        <v>0</v>
      </c>
      <c r="H2286" s="35">
        <v>0</v>
      </c>
      <c r="I2286" s="35">
        <f>Tabla1[[#This Row],[P.U. M.N.]]*Tabla1[[#This Row],[CANTIDADES DE REFERENCIA]]</f>
        <v>0</v>
      </c>
      <c r="J2286" s="35">
        <f>Tabla1[[#This Row],[P.U. USD]]*Tabla1[[#This Row],[CANTIDADES DE REFERENCIA]]</f>
        <v>0</v>
      </c>
      <c r="K2286" s="36"/>
      <c r="L2286" s="36"/>
      <c r="M2286" s="36"/>
      <c r="N2286" s="37"/>
      <c r="O2286" s="37"/>
      <c r="P2286" s="39"/>
      <c r="Q2286" s="37" t="s">
        <v>4959</v>
      </c>
      <c r="R2286" s="37"/>
      <c r="S2286" s="37" t="s">
        <v>4687</v>
      </c>
      <c r="T2286" s="31"/>
    </row>
    <row r="2287" spans="1:20">
      <c r="A2287" s="31"/>
      <c r="B2287" s="32"/>
      <c r="C2287" s="33"/>
      <c r="D2287" s="32" t="s">
        <v>4960</v>
      </c>
      <c r="E2287" s="33" t="s">
        <v>42</v>
      </c>
      <c r="F2287" s="34">
        <v>1</v>
      </c>
      <c r="G2287" s="35">
        <v>0</v>
      </c>
      <c r="H2287" s="35">
        <v>0</v>
      </c>
      <c r="I2287" s="35">
        <f>Tabla1[[#This Row],[P.U. M.N.]]*Tabla1[[#This Row],[CANTIDADES DE REFERENCIA]]</f>
        <v>0</v>
      </c>
      <c r="J2287" s="35">
        <f>Tabla1[[#This Row],[P.U. USD]]*Tabla1[[#This Row],[CANTIDADES DE REFERENCIA]]</f>
        <v>0</v>
      </c>
      <c r="K2287" s="36"/>
      <c r="L2287" s="36"/>
      <c r="M2287" s="36"/>
      <c r="N2287" s="37"/>
      <c r="O2287" s="37"/>
      <c r="P2287" s="39"/>
      <c r="Q2287" s="37" t="s">
        <v>4961</v>
      </c>
      <c r="R2287" s="37"/>
      <c r="S2287" s="37" t="s">
        <v>4687</v>
      </c>
      <c r="T2287" s="31"/>
    </row>
    <row r="2288" spans="1:20">
      <c r="A2288" s="31"/>
      <c r="B2288" s="32"/>
      <c r="C2288" s="33"/>
      <c r="D2288" s="32" t="s">
        <v>4962</v>
      </c>
      <c r="E2288" s="33" t="s">
        <v>23</v>
      </c>
      <c r="F2288" s="34">
        <v>1</v>
      </c>
      <c r="G2288" s="35">
        <v>0</v>
      </c>
      <c r="H2288" s="35">
        <v>0</v>
      </c>
      <c r="I2288" s="35">
        <f>Tabla1[[#This Row],[P.U. M.N.]]*Tabla1[[#This Row],[CANTIDADES DE REFERENCIA]]</f>
        <v>0</v>
      </c>
      <c r="J2288" s="35">
        <f>Tabla1[[#This Row],[P.U. USD]]*Tabla1[[#This Row],[CANTIDADES DE REFERENCIA]]</f>
        <v>0</v>
      </c>
      <c r="K2288" s="36"/>
      <c r="L2288" s="36"/>
      <c r="M2288" s="36"/>
      <c r="N2288" s="37"/>
      <c r="O2288" s="37"/>
      <c r="P2288" s="39"/>
      <c r="Q2288" s="37" t="s">
        <v>4963</v>
      </c>
      <c r="R2288" s="37"/>
      <c r="S2288" s="37" t="s">
        <v>4687</v>
      </c>
      <c r="T2288" s="31"/>
    </row>
    <row r="2289" spans="1:20">
      <c r="A2289" s="31"/>
      <c r="B2289" s="32"/>
      <c r="C2289" s="33"/>
      <c r="D2289" s="32" t="s">
        <v>4964</v>
      </c>
      <c r="E2289" s="33" t="s">
        <v>116</v>
      </c>
      <c r="F2289" s="34">
        <v>1</v>
      </c>
      <c r="G2289" s="35">
        <v>0</v>
      </c>
      <c r="H2289" s="35">
        <v>0</v>
      </c>
      <c r="I2289" s="35">
        <f>Tabla1[[#This Row],[P.U. M.N.]]*Tabla1[[#This Row],[CANTIDADES DE REFERENCIA]]</f>
        <v>0</v>
      </c>
      <c r="J2289" s="35">
        <f>Tabla1[[#This Row],[P.U. USD]]*Tabla1[[#This Row],[CANTIDADES DE REFERENCIA]]</f>
        <v>0</v>
      </c>
      <c r="K2289" s="36"/>
      <c r="L2289" s="36"/>
      <c r="M2289" s="36"/>
      <c r="N2289" s="37"/>
      <c r="O2289" s="37"/>
      <c r="P2289" s="39"/>
      <c r="Q2289" s="37" t="s">
        <v>4965</v>
      </c>
      <c r="R2289" s="37"/>
      <c r="S2289" s="37" t="s">
        <v>4687</v>
      </c>
      <c r="T2289" s="31"/>
    </row>
    <row r="2290" spans="1:20">
      <c r="A2290" s="31"/>
      <c r="B2290" s="32"/>
      <c r="C2290" s="33"/>
      <c r="D2290" s="32" t="s">
        <v>4966</v>
      </c>
      <c r="E2290" s="33" t="s">
        <v>116</v>
      </c>
      <c r="F2290" s="34">
        <v>1</v>
      </c>
      <c r="G2290" s="35">
        <v>0</v>
      </c>
      <c r="H2290" s="35">
        <v>0</v>
      </c>
      <c r="I2290" s="35">
        <f>Tabla1[[#This Row],[P.U. M.N.]]*Tabla1[[#This Row],[CANTIDADES DE REFERENCIA]]</f>
        <v>0</v>
      </c>
      <c r="J2290" s="35">
        <f>Tabla1[[#This Row],[P.U. USD]]*Tabla1[[#This Row],[CANTIDADES DE REFERENCIA]]</f>
        <v>0</v>
      </c>
      <c r="K2290" s="36"/>
      <c r="L2290" s="36"/>
      <c r="M2290" s="36"/>
      <c r="N2290" s="37"/>
      <c r="O2290" s="37"/>
      <c r="P2290" s="39"/>
      <c r="Q2290" s="37" t="s">
        <v>4967</v>
      </c>
      <c r="R2290" s="37"/>
      <c r="S2290" s="37" t="s">
        <v>4687</v>
      </c>
      <c r="T2290" s="31"/>
    </row>
    <row r="2291" spans="1:20">
      <c r="A2291" s="31"/>
      <c r="B2291" s="32"/>
      <c r="C2291" s="33"/>
      <c r="D2291" s="32" t="s">
        <v>4968</v>
      </c>
      <c r="E2291" s="33" t="s">
        <v>116</v>
      </c>
      <c r="F2291" s="34">
        <v>1</v>
      </c>
      <c r="G2291" s="35">
        <v>0</v>
      </c>
      <c r="H2291" s="35">
        <v>0</v>
      </c>
      <c r="I2291" s="35">
        <f>Tabla1[[#This Row],[P.U. M.N.]]*Tabla1[[#This Row],[CANTIDADES DE REFERENCIA]]</f>
        <v>0</v>
      </c>
      <c r="J2291" s="35">
        <f>Tabla1[[#This Row],[P.U. USD]]*Tabla1[[#This Row],[CANTIDADES DE REFERENCIA]]</f>
        <v>0</v>
      </c>
      <c r="K2291" s="36"/>
      <c r="L2291" s="36"/>
      <c r="M2291" s="36"/>
      <c r="N2291" s="37"/>
      <c r="O2291" s="37"/>
      <c r="P2291" s="39"/>
      <c r="Q2291" s="37" t="s">
        <v>4969</v>
      </c>
      <c r="R2291" s="37"/>
      <c r="S2291" s="37" t="s">
        <v>4687</v>
      </c>
      <c r="T2291" s="31"/>
    </row>
    <row r="2292" spans="1:20">
      <c r="A2292" s="31"/>
      <c r="B2292" s="32"/>
      <c r="C2292" s="33"/>
      <c r="D2292" s="32" t="s">
        <v>4970</v>
      </c>
      <c r="E2292" s="33" t="s">
        <v>116</v>
      </c>
      <c r="F2292" s="34">
        <v>1</v>
      </c>
      <c r="G2292" s="35">
        <v>0</v>
      </c>
      <c r="H2292" s="35">
        <v>0</v>
      </c>
      <c r="I2292" s="35">
        <f>Tabla1[[#This Row],[P.U. M.N.]]*Tabla1[[#This Row],[CANTIDADES DE REFERENCIA]]</f>
        <v>0</v>
      </c>
      <c r="J2292" s="35">
        <f>Tabla1[[#This Row],[P.U. USD]]*Tabla1[[#This Row],[CANTIDADES DE REFERENCIA]]</f>
        <v>0</v>
      </c>
      <c r="K2292" s="36"/>
      <c r="L2292" s="36"/>
      <c r="M2292" s="36"/>
      <c r="N2292" s="37"/>
      <c r="O2292" s="37"/>
      <c r="P2292" s="39"/>
      <c r="Q2292" s="37" t="s">
        <v>4971</v>
      </c>
      <c r="R2292" s="37"/>
      <c r="S2292" s="37" t="s">
        <v>4687</v>
      </c>
      <c r="T2292" s="31"/>
    </row>
    <row r="2293" spans="1:20">
      <c r="A2293" s="31"/>
      <c r="B2293" s="32"/>
      <c r="C2293" s="33"/>
      <c r="D2293" s="32" t="s">
        <v>4972</v>
      </c>
      <c r="E2293" s="33" t="s">
        <v>116</v>
      </c>
      <c r="F2293" s="34">
        <v>1</v>
      </c>
      <c r="G2293" s="35">
        <v>0</v>
      </c>
      <c r="H2293" s="35">
        <v>0</v>
      </c>
      <c r="I2293" s="35">
        <f>Tabla1[[#This Row],[P.U. M.N.]]*Tabla1[[#This Row],[CANTIDADES DE REFERENCIA]]</f>
        <v>0</v>
      </c>
      <c r="J2293" s="35">
        <f>Tabla1[[#This Row],[P.U. USD]]*Tabla1[[#This Row],[CANTIDADES DE REFERENCIA]]</f>
        <v>0</v>
      </c>
      <c r="K2293" s="36"/>
      <c r="L2293" s="36"/>
      <c r="M2293" s="36"/>
      <c r="N2293" s="37"/>
      <c r="O2293" s="37"/>
      <c r="P2293" s="39"/>
      <c r="Q2293" s="37" t="s">
        <v>4973</v>
      </c>
      <c r="R2293" s="37"/>
      <c r="S2293" s="37" t="s">
        <v>4687</v>
      </c>
      <c r="T2293" s="31"/>
    </row>
    <row r="2294" spans="1:20">
      <c r="A2294" s="31"/>
      <c r="B2294" s="32"/>
      <c r="C2294" s="33"/>
      <c r="D2294" s="32" t="s">
        <v>4974</v>
      </c>
      <c r="E2294" s="33" t="s">
        <v>116</v>
      </c>
      <c r="F2294" s="34">
        <v>1</v>
      </c>
      <c r="G2294" s="35">
        <v>0</v>
      </c>
      <c r="H2294" s="35">
        <v>0</v>
      </c>
      <c r="I2294" s="35">
        <f>Tabla1[[#This Row],[P.U. M.N.]]*Tabla1[[#This Row],[CANTIDADES DE REFERENCIA]]</f>
        <v>0</v>
      </c>
      <c r="J2294" s="35">
        <f>Tabla1[[#This Row],[P.U. USD]]*Tabla1[[#This Row],[CANTIDADES DE REFERENCIA]]</f>
        <v>0</v>
      </c>
      <c r="K2294" s="36"/>
      <c r="L2294" s="36"/>
      <c r="M2294" s="36"/>
      <c r="N2294" s="37"/>
      <c r="O2294" s="37"/>
      <c r="P2294" s="39"/>
      <c r="Q2294" s="37" t="s">
        <v>4975</v>
      </c>
      <c r="R2294" s="37"/>
      <c r="S2294" s="37" t="s">
        <v>4687</v>
      </c>
      <c r="T2294" s="31"/>
    </row>
    <row r="2295" spans="1:20">
      <c r="A2295" s="31"/>
      <c r="B2295" s="32"/>
      <c r="C2295" s="33"/>
      <c r="D2295" s="32" t="s">
        <v>4976</v>
      </c>
      <c r="E2295" s="33" t="s">
        <v>116</v>
      </c>
      <c r="F2295" s="34">
        <v>1</v>
      </c>
      <c r="G2295" s="35">
        <v>0</v>
      </c>
      <c r="H2295" s="35">
        <v>0</v>
      </c>
      <c r="I2295" s="35">
        <f>Tabla1[[#This Row],[P.U. M.N.]]*Tabla1[[#This Row],[CANTIDADES DE REFERENCIA]]</f>
        <v>0</v>
      </c>
      <c r="J2295" s="35">
        <f>Tabla1[[#This Row],[P.U. USD]]*Tabla1[[#This Row],[CANTIDADES DE REFERENCIA]]</f>
        <v>0</v>
      </c>
      <c r="K2295" s="36"/>
      <c r="L2295" s="36"/>
      <c r="M2295" s="36"/>
      <c r="N2295" s="37"/>
      <c r="O2295" s="37"/>
      <c r="P2295" s="39"/>
      <c r="Q2295" s="37" t="s">
        <v>4977</v>
      </c>
      <c r="R2295" s="37"/>
      <c r="S2295" s="37" t="s">
        <v>4687</v>
      </c>
      <c r="T2295" s="31"/>
    </row>
    <row r="2296" spans="1:20">
      <c r="A2296" s="31"/>
      <c r="B2296" s="32"/>
      <c r="C2296" s="33"/>
      <c r="D2296" s="32" t="s">
        <v>4978</v>
      </c>
      <c r="E2296" s="33" t="s">
        <v>116</v>
      </c>
      <c r="F2296" s="34">
        <v>1</v>
      </c>
      <c r="G2296" s="35">
        <v>0</v>
      </c>
      <c r="H2296" s="35">
        <v>0</v>
      </c>
      <c r="I2296" s="35">
        <f>Tabla1[[#This Row],[P.U. M.N.]]*Tabla1[[#This Row],[CANTIDADES DE REFERENCIA]]</f>
        <v>0</v>
      </c>
      <c r="J2296" s="35">
        <f>Tabla1[[#This Row],[P.U. USD]]*Tabla1[[#This Row],[CANTIDADES DE REFERENCIA]]</f>
        <v>0</v>
      </c>
      <c r="K2296" s="36"/>
      <c r="L2296" s="36"/>
      <c r="M2296" s="36"/>
      <c r="N2296" s="37"/>
      <c r="O2296" s="37"/>
      <c r="P2296" s="39"/>
      <c r="Q2296" s="37" t="s">
        <v>4979</v>
      </c>
      <c r="R2296" s="37"/>
      <c r="S2296" s="37" t="s">
        <v>4687</v>
      </c>
      <c r="T2296" s="31"/>
    </row>
    <row r="2297" spans="1:20">
      <c r="A2297" s="31"/>
      <c r="B2297" s="32"/>
      <c r="C2297" s="33"/>
      <c r="D2297" s="32" t="s">
        <v>4980</v>
      </c>
      <c r="E2297" s="33" t="s">
        <v>116</v>
      </c>
      <c r="F2297" s="34">
        <v>1</v>
      </c>
      <c r="G2297" s="35">
        <v>0</v>
      </c>
      <c r="H2297" s="35">
        <v>0</v>
      </c>
      <c r="I2297" s="35">
        <f>Tabla1[[#This Row],[P.U. M.N.]]*Tabla1[[#This Row],[CANTIDADES DE REFERENCIA]]</f>
        <v>0</v>
      </c>
      <c r="J2297" s="35">
        <f>Tabla1[[#This Row],[P.U. USD]]*Tabla1[[#This Row],[CANTIDADES DE REFERENCIA]]</f>
        <v>0</v>
      </c>
      <c r="K2297" s="36"/>
      <c r="L2297" s="36"/>
      <c r="M2297" s="36"/>
      <c r="N2297" s="37"/>
      <c r="O2297" s="37"/>
      <c r="P2297" s="39"/>
      <c r="Q2297" s="37" t="s">
        <v>4981</v>
      </c>
      <c r="R2297" s="37"/>
      <c r="S2297" s="37" t="s">
        <v>4687</v>
      </c>
      <c r="T2297" s="31"/>
    </row>
    <row r="2298" spans="1:20">
      <c r="A2298" s="31"/>
      <c r="B2298" s="32"/>
      <c r="C2298" s="33"/>
      <c r="D2298" s="32" t="s">
        <v>4982</v>
      </c>
      <c r="E2298" s="33" t="s">
        <v>42</v>
      </c>
      <c r="F2298" s="34">
        <v>1</v>
      </c>
      <c r="G2298" s="35">
        <v>0</v>
      </c>
      <c r="H2298" s="35">
        <v>0</v>
      </c>
      <c r="I2298" s="35">
        <f>Tabla1[[#This Row],[P.U. M.N.]]*Tabla1[[#This Row],[CANTIDADES DE REFERENCIA]]</f>
        <v>0</v>
      </c>
      <c r="J2298" s="35">
        <f>Tabla1[[#This Row],[P.U. USD]]*Tabla1[[#This Row],[CANTIDADES DE REFERENCIA]]</f>
        <v>0</v>
      </c>
      <c r="K2298" s="36"/>
      <c r="L2298" s="36"/>
      <c r="M2298" s="36"/>
      <c r="N2298" s="37"/>
      <c r="O2298" s="37"/>
      <c r="P2298" s="39"/>
      <c r="Q2298" s="37" t="s">
        <v>4983</v>
      </c>
      <c r="R2298" s="37"/>
      <c r="S2298" s="37" t="s">
        <v>4687</v>
      </c>
      <c r="T2298" s="31"/>
    </row>
    <row r="2299" spans="1:20">
      <c r="A2299" s="31"/>
      <c r="B2299" s="32"/>
      <c r="C2299" s="33"/>
      <c r="D2299" s="32" t="s">
        <v>4984</v>
      </c>
      <c r="E2299" s="33" t="s">
        <v>116</v>
      </c>
      <c r="F2299" s="34">
        <v>1</v>
      </c>
      <c r="G2299" s="35">
        <v>0</v>
      </c>
      <c r="H2299" s="35">
        <v>0</v>
      </c>
      <c r="I2299" s="35">
        <f>Tabla1[[#This Row],[P.U. M.N.]]*Tabla1[[#This Row],[CANTIDADES DE REFERENCIA]]</f>
        <v>0</v>
      </c>
      <c r="J2299" s="35">
        <f>Tabla1[[#This Row],[P.U. USD]]*Tabla1[[#This Row],[CANTIDADES DE REFERENCIA]]</f>
        <v>0</v>
      </c>
      <c r="K2299" s="36"/>
      <c r="L2299" s="36"/>
      <c r="M2299" s="36"/>
      <c r="N2299" s="37"/>
      <c r="O2299" s="37"/>
      <c r="P2299" s="39"/>
      <c r="Q2299" s="37" t="s">
        <v>4985</v>
      </c>
      <c r="R2299" s="37"/>
      <c r="S2299" s="37" t="s">
        <v>4687</v>
      </c>
      <c r="T2299" s="31"/>
    </row>
    <row r="2300" spans="1:20">
      <c r="A2300" s="31"/>
      <c r="B2300" s="32"/>
      <c r="C2300" s="33"/>
      <c r="D2300" s="32" t="s">
        <v>4986</v>
      </c>
      <c r="E2300" s="33" t="s">
        <v>42</v>
      </c>
      <c r="F2300" s="34">
        <v>1</v>
      </c>
      <c r="G2300" s="35">
        <v>0</v>
      </c>
      <c r="H2300" s="35">
        <v>0</v>
      </c>
      <c r="I2300" s="35">
        <f>Tabla1[[#This Row],[P.U. M.N.]]*Tabla1[[#This Row],[CANTIDADES DE REFERENCIA]]</f>
        <v>0</v>
      </c>
      <c r="J2300" s="35">
        <f>Tabla1[[#This Row],[P.U. USD]]*Tabla1[[#This Row],[CANTIDADES DE REFERENCIA]]</f>
        <v>0</v>
      </c>
      <c r="K2300" s="36"/>
      <c r="L2300" s="36"/>
      <c r="M2300" s="36"/>
      <c r="N2300" s="37"/>
      <c r="O2300" s="37"/>
      <c r="P2300" s="39"/>
      <c r="Q2300" s="37" t="s">
        <v>4987</v>
      </c>
      <c r="R2300" s="37"/>
      <c r="S2300" s="37" t="s">
        <v>4687</v>
      </c>
      <c r="T2300" s="31"/>
    </row>
    <row r="2301" spans="1:20">
      <c r="A2301" s="31"/>
      <c r="B2301" s="32"/>
      <c r="C2301" s="33"/>
      <c r="D2301" s="32" t="s">
        <v>4988</v>
      </c>
      <c r="E2301" s="33" t="s">
        <v>23</v>
      </c>
      <c r="F2301" s="34">
        <v>1</v>
      </c>
      <c r="G2301" s="35">
        <v>0</v>
      </c>
      <c r="H2301" s="35">
        <v>0</v>
      </c>
      <c r="I2301" s="35">
        <f>Tabla1[[#This Row],[P.U. M.N.]]*Tabla1[[#This Row],[CANTIDADES DE REFERENCIA]]</f>
        <v>0</v>
      </c>
      <c r="J2301" s="35">
        <f>Tabla1[[#This Row],[P.U. USD]]*Tabla1[[#This Row],[CANTIDADES DE REFERENCIA]]</f>
        <v>0</v>
      </c>
      <c r="K2301" s="36"/>
      <c r="L2301" s="36"/>
      <c r="M2301" s="36"/>
      <c r="N2301" s="37"/>
      <c r="O2301" s="37"/>
      <c r="P2301" s="39"/>
      <c r="Q2301" s="37" t="s">
        <v>4989</v>
      </c>
      <c r="R2301" s="37"/>
      <c r="S2301" s="37" t="s">
        <v>4687</v>
      </c>
      <c r="T2301" s="31"/>
    </row>
    <row r="2302" spans="1:20">
      <c r="A2302" s="31"/>
      <c r="B2302" s="32"/>
      <c r="C2302" s="33"/>
      <c r="D2302" s="32" t="s">
        <v>4990</v>
      </c>
      <c r="E2302" s="33" t="s">
        <v>4701</v>
      </c>
      <c r="F2302" s="34">
        <v>1</v>
      </c>
      <c r="G2302" s="35">
        <v>0</v>
      </c>
      <c r="H2302" s="35">
        <v>0</v>
      </c>
      <c r="I2302" s="35">
        <f>Tabla1[[#This Row],[P.U. M.N.]]*Tabla1[[#This Row],[CANTIDADES DE REFERENCIA]]</f>
        <v>0</v>
      </c>
      <c r="J2302" s="35">
        <f>Tabla1[[#This Row],[P.U. USD]]*Tabla1[[#This Row],[CANTIDADES DE REFERENCIA]]</f>
        <v>0</v>
      </c>
      <c r="K2302" s="36"/>
      <c r="L2302" s="36"/>
      <c r="M2302" s="36"/>
      <c r="N2302" s="37"/>
      <c r="O2302" s="37"/>
      <c r="P2302" s="39"/>
      <c r="Q2302" s="37" t="s">
        <v>4991</v>
      </c>
      <c r="R2302" s="37"/>
      <c r="S2302" s="37" t="s">
        <v>4687</v>
      </c>
      <c r="T2302" s="31"/>
    </row>
    <row r="2303" spans="1:20">
      <c r="A2303" s="31"/>
      <c r="B2303" s="32"/>
      <c r="C2303" s="33"/>
      <c r="D2303" s="32" t="s">
        <v>4992</v>
      </c>
      <c r="E2303" s="33" t="s">
        <v>4701</v>
      </c>
      <c r="F2303" s="34">
        <v>1</v>
      </c>
      <c r="G2303" s="35">
        <v>0</v>
      </c>
      <c r="H2303" s="35">
        <v>0</v>
      </c>
      <c r="I2303" s="35">
        <f>Tabla1[[#This Row],[P.U. M.N.]]*Tabla1[[#This Row],[CANTIDADES DE REFERENCIA]]</f>
        <v>0</v>
      </c>
      <c r="J2303" s="35">
        <f>Tabla1[[#This Row],[P.U. USD]]*Tabla1[[#This Row],[CANTIDADES DE REFERENCIA]]</f>
        <v>0</v>
      </c>
      <c r="K2303" s="36"/>
      <c r="L2303" s="36"/>
      <c r="M2303" s="36"/>
      <c r="N2303" s="37"/>
      <c r="O2303" s="37"/>
      <c r="P2303" s="39"/>
      <c r="Q2303" s="37" t="s">
        <v>4993</v>
      </c>
      <c r="R2303" s="37"/>
      <c r="S2303" s="37" t="s">
        <v>4687</v>
      </c>
      <c r="T2303" s="31"/>
    </row>
    <row r="2304" spans="1:20">
      <c r="A2304" s="31"/>
      <c r="B2304" s="32"/>
      <c r="C2304" s="33"/>
      <c r="D2304" s="32" t="s">
        <v>4994</v>
      </c>
      <c r="E2304" s="33" t="s">
        <v>4701</v>
      </c>
      <c r="F2304" s="34">
        <v>1</v>
      </c>
      <c r="G2304" s="35">
        <v>0</v>
      </c>
      <c r="H2304" s="35">
        <v>0</v>
      </c>
      <c r="I2304" s="35">
        <f>Tabla1[[#This Row],[P.U. M.N.]]*Tabla1[[#This Row],[CANTIDADES DE REFERENCIA]]</f>
        <v>0</v>
      </c>
      <c r="J2304" s="35">
        <f>Tabla1[[#This Row],[P.U. USD]]*Tabla1[[#This Row],[CANTIDADES DE REFERENCIA]]</f>
        <v>0</v>
      </c>
      <c r="K2304" s="36"/>
      <c r="L2304" s="36"/>
      <c r="M2304" s="36"/>
      <c r="N2304" s="37"/>
      <c r="O2304" s="37"/>
      <c r="P2304" s="39"/>
      <c r="Q2304" s="37" t="s">
        <v>4995</v>
      </c>
      <c r="R2304" s="37"/>
      <c r="S2304" s="37" t="s">
        <v>4687</v>
      </c>
      <c r="T2304" s="31"/>
    </row>
    <row r="2305" spans="1:20">
      <c r="A2305" s="31"/>
      <c r="B2305" s="32"/>
      <c r="C2305" s="33"/>
      <c r="D2305" s="32" t="s">
        <v>4996</v>
      </c>
      <c r="E2305" s="33" t="s">
        <v>4701</v>
      </c>
      <c r="F2305" s="34">
        <v>1</v>
      </c>
      <c r="G2305" s="35">
        <v>0</v>
      </c>
      <c r="H2305" s="35">
        <v>0</v>
      </c>
      <c r="I2305" s="35">
        <f>Tabla1[[#This Row],[P.U. M.N.]]*Tabla1[[#This Row],[CANTIDADES DE REFERENCIA]]</f>
        <v>0</v>
      </c>
      <c r="J2305" s="35">
        <f>Tabla1[[#This Row],[P.U. USD]]*Tabla1[[#This Row],[CANTIDADES DE REFERENCIA]]</f>
        <v>0</v>
      </c>
      <c r="K2305" s="36"/>
      <c r="L2305" s="36"/>
      <c r="M2305" s="36"/>
      <c r="N2305" s="37"/>
      <c r="O2305" s="37"/>
      <c r="P2305" s="39"/>
      <c r="Q2305" s="37" t="s">
        <v>4997</v>
      </c>
      <c r="R2305" s="37"/>
      <c r="S2305" s="37" t="s">
        <v>4687</v>
      </c>
      <c r="T2305" s="31"/>
    </row>
    <row r="2306" spans="1:20">
      <c r="A2306" s="31"/>
      <c r="B2306" s="32"/>
      <c r="C2306" s="33"/>
      <c r="D2306" s="32" t="s">
        <v>4998</v>
      </c>
      <c r="E2306" s="33" t="s">
        <v>4701</v>
      </c>
      <c r="F2306" s="34">
        <v>1</v>
      </c>
      <c r="G2306" s="35">
        <v>0</v>
      </c>
      <c r="H2306" s="35">
        <v>0</v>
      </c>
      <c r="I2306" s="35">
        <f>Tabla1[[#This Row],[P.U. M.N.]]*Tabla1[[#This Row],[CANTIDADES DE REFERENCIA]]</f>
        <v>0</v>
      </c>
      <c r="J2306" s="35">
        <f>Tabla1[[#This Row],[P.U. USD]]*Tabla1[[#This Row],[CANTIDADES DE REFERENCIA]]</f>
        <v>0</v>
      </c>
      <c r="K2306" s="36"/>
      <c r="L2306" s="36"/>
      <c r="M2306" s="36"/>
      <c r="N2306" s="37"/>
      <c r="O2306" s="37"/>
      <c r="P2306" s="39"/>
      <c r="Q2306" s="37" t="s">
        <v>4999</v>
      </c>
      <c r="R2306" s="37"/>
      <c r="S2306" s="37" t="s">
        <v>4687</v>
      </c>
      <c r="T2306" s="31"/>
    </row>
    <row r="2307" spans="1:20">
      <c r="A2307" s="31"/>
      <c r="B2307" s="32"/>
      <c r="C2307" s="33"/>
      <c r="D2307" s="32" t="s">
        <v>5000</v>
      </c>
      <c r="E2307" s="33" t="s">
        <v>4701</v>
      </c>
      <c r="F2307" s="34">
        <v>1</v>
      </c>
      <c r="G2307" s="35">
        <v>0</v>
      </c>
      <c r="H2307" s="35">
        <v>0</v>
      </c>
      <c r="I2307" s="35">
        <f>Tabla1[[#This Row],[P.U. M.N.]]*Tabla1[[#This Row],[CANTIDADES DE REFERENCIA]]</f>
        <v>0</v>
      </c>
      <c r="J2307" s="35">
        <f>Tabla1[[#This Row],[P.U. USD]]*Tabla1[[#This Row],[CANTIDADES DE REFERENCIA]]</f>
        <v>0</v>
      </c>
      <c r="K2307" s="36"/>
      <c r="L2307" s="36"/>
      <c r="M2307" s="36"/>
      <c r="N2307" s="37"/>
      <c r="O2307" s="37"/>
      <c r="P2307" s="39"/>
      <c r="Q2307" s="37" t="s">
        <v>5001</v>
      </c>
      <c r="R2307" s="37"/>
      <c r="S2307" s="37" t="s">
        <v>4687</v>
      </c>
      <c r="T2307" s="31"/>
    </row>
    <row r="2308" spans="1:20">
      <c r="A2308" s="31"/>
      <c r="B2308" s="32"/>
      <c r="C2308" s="33"/>
      <c r="D2308" s="32" t="s">
        <v>5002</v>
      </c>
      <c r="E2308" s="33" t="s">
        <v>4701</v>
      </c>
      <c r="F2308" s="34">
        <v>1</v>
      </c>
      <c r="G2308" s="35">
        <v>0</v>
      </c>
      <c r="H2308" s="35">
        <v>0</v>
      </c>
      <c r="I2308" s="35">
        <f>Tabla1[[#This Row],[P.U. M.N.]]*Tabla1[[#This Row],[CANTIDADES DE REFERENCIA]]</f>
        <v>0</v>
      </c>
      <c r="J2308" s="35">
        <f>Tabla1[[#This Row],[P.U. USD]]*Tabla1[[#This Row],[CANTIDADES DE REFERENCIA]]</f>
        <v>0</v>
      </c>
      <c r="K2308" s="36"/>
      <c r="L2308" s="36"/>
      <c r="M2308" s="36"/>
      <c r="N2308" s="37"/>
      <c r="O2308" s="37"/>
      <c r="P2308" s="39"/>
      <c r="Q2308" s="37" t="s">
        <v>5003</v>
      </c>
      <c r="R2308" s="37"/>
      <c r="S2308" s="37" t="s">
        <v>4687</v>
      </c>
      <c r="T2308" s="31"/>
    </row>
    <row r="2309" spans="1:20">
      <c r="A2309" s="31"/>
      <c r="B2309" s="32"/>
      <c r="C2309" s="33"/>
      <c r="D2309" s="32" t="s">
        <v>5004</v>
      </c>
      <c r="E2309" s="33" t="s">
        <v>4701</v>
      </c>
      <c r="F2309" s="34">
        <v>1</v>
      </c>
      <c r="G2309" s="35">
        <v>0</v>
      </c>
      <c r="H2309" s="35">
        <v>0</v>
      </c>
      <c r="I2309" s="35">
        <f>Tabla1[[#This Row],[P.U. M.N.]]*Tabla1[[#This Row],[CANTIDADES DE REFERENCIA]]</f>
        <v>0</v>
      </c>
      <c r="J2309" s="35">
        <f>Tabla1[[#This Row],[P.U. USD]]*Tabla1[[#This Row],[CANTIDADES DE REFERENCIA]]</f>
        <v>0</v>
      </c>
      <c r="K2309" s="36"/>
      <c r="L2309" s="36"/>
      <c r="M2309" s="36"/>
      <c r="N2309" s="37"/>
      <c r="O2309" s="37"/>
      <c r="P2309" s="39"/>
      <c r="Q2309" s="37" t="s">
        <v>5005</v>
      </c>
      <c r="R2309" s="37"/>
      <c r="S2309" s="37" t="s">
        <v>4687</v>
      </c>
      <c r="T2309" s="31"/>
    </row>
    <row r="2310" spans="1:20">
      <c r="A2310" s="31"/>
      <c r="B2310" s="32"/>
      <c r="C2310" s="33"/>
      <c r="D2310" s="32" t="s">
        <v>5006</v>
      </c>
      <c r="E2310" s="33" t="s">
        <v>4701</v>
      </c>
      <c r="F2310" s="34">
        <v>1</v>
      </c>
      <c r="G2310" s="35">
        <v>0</v>
      </c>
      <c r="H2310" s="35">
        <v>0</v>
      </c>
      <c r="I2310" s="35">
        <f>Tabla1[[#This Row],[P.U. M.N.]]*Tabla1[[#This Row],[CANTIDADES DE REFERENCIA]]</f>
        <v>0</v>
      </c>
      <c r="J2310" s="35">
        <f>Tabla1[[#This Row],[P.U. USD]]*Tabla1[[#This Row],[CANTIDADES DE REFERENCIA]]</f>
        <v>0</v>
      </c>
      <c r="K2310" s="36"/>
      <c r="L2310" s="36"/>
      <c r="M2310" s="36"/>
      <c r="N2310" s="37"/>
      <c r="O2310" s="37"/>
      <c r="P2310" s="39"/>
      <c r="Q2310" s="37" t="s">
        <v>5007</v>
      </c>
      <c r="R2310" s="37"/>
      <c r="S2310" s="37" t="s">
        <v>4687</v>
      </c>
      <c r="T2310" s="31"/>
    </row>
    <row r="2311" spans="1:20">
      <c r="A2311" s="31"/>
      <c r="B2311" s="32"/>
      <c r="C2311" s="33"/>
      <c r="D2311" s="32" t="s">
        <v>5008</v>
      </c>
      <c r="E2311" s="33" t="s">
        <v>23</v>
      </c>
      <c r="F2311" s="34">
        <v>1</v>
      </c>
      <c r="G2311" s="35">
        <v>0</v>
      </c>
      <c r="H2311" s="35">
        <v>0</v>
      </c>
      <c r="I2311" s="35">
        <f>Tabla1[[#This Row],[P.U. M.N.]]*Tabla1[[#This Row],[CANTIDADES DE REFERENCIA]]</f>
        <v>0</v>
      </c>
      <c r="J2311" s="35">
        <f>Tabla1[[#This Row],[P.U. USD]]*Tabla1[[#This Row],[CANTIDADES DE REFERENCIA]]</f>
        <v>0</v>
      </c>
      <c r="K2311" s="36"/>
      <c r="L2311" s="36"/>
      <c r="M2311" s="36"/>
      <c r="N2311" s="37"/>
      <c r="O2311" s="37"/>
      <c r="P2311" s="39"/>
      <c r="Q2311" s="37" t="s">
        <v>5009</v>
      </c>
      <c r="R2311" s="37"/>
      <c r="S2311" s="37" t="s">
        <v>4687</v>
      </c>
      <c r="T2311" s="31"/>
    </row>
    <row r="2312" spans="1:20">
      <c r="A2312" s="31"/>
      <c r="B2312" s="32"/>
      <c r="C2312" s="33"/>
      <c r="D2312" s="32" t="s">
        <v>5010</v>
      </c>
      <c r="E2312" s="33" t="s">
        <v>23</v>
      </c>
      <c r="F2312" s="34">
        <v>1</v>
      </c>
      <c r="G2312" s="35">
        <v>0</v>
      </c>
      <c r="H2312" s="35">
        <v>0</v>
      </c>
      <c r="I2312" s="35">
        <f>Tabla1[[#This Row],[P.U. M.N.]]*Tabla1[[#This Row],[CANTIDADES DE REFERENCIA]]</f>
        <v>0</v>
      </c>
      <c r="J2312" s="35">
        <f>Tabla1[[#This Row],[P.U. USD]]*Tabla1[[#This Row],[CANTIDADES DE REFERENCIA]]</f>
        <v>0</v>
      </c>
      <c r="K2312" s="36"/>
      <c r="L2312" s="36"/>
      <c r="M2312" s="36"/>
      <c r="N2312" s="37"/>
      <c r="O2312" s="37"/>
      <c r="P2312" s="39"/>
      <c r="Q2312" s="37" t="s">
        <v>5011</v>
      </c>
      <c r="R2312" s="37"/>
      <c r="S2312" s="37" t="s">
        <v>4687</v>
      </c>
      <c r="T2312" s="31"/>
    </row>
    <row r="2313" spans="1:20">
      <c r="A2313" s="31"/>
      <c r="B2313" s="32"/>
      <c r="C2313" s="33"/>
      <c r="D2313" s="32" t="s">
        <v>5012</v>
      </c>
      <c r="E2313" s="33" t="s">
        <v>23</v>
      </c>
      <c r="F2313" s="34">
        <v>1</v>
      </c>
      <c r="G2313" s="35">
        <v>0</v>
      </c>
      <c r="H2313" s="35">
        <v>0</v>
      </c>
      <c r="I2313" s="35">
        <f>Tabla1[[#This Row],[P.U. M.N.]]*Tabla1[[#This Row],[CANTIDADES DE REFERENCIA]]</f>
        <v>0</v>
      </c>
      <c r="J2313" s="35">
        <f>Tabla1[[#This Row],[P.U. USD]]*Tabla1[[#This Row],[CANTIDADES DE REFERENCIA]]</f>
        <v>0</v>
      </c>
      <c r="K2313" s="36"/>
      <c r="L2313" s="36"/>
      <c r="M2313" s="36"/>
      <c r="N2313" s="37"/>
      <c r="O2313" s="37"/>
      <c r="P2313" s="39"/>
      <c r="Q2313" s="37" t="s">
        <v>5013</v>
      </c>
      <c r="R2313" s="37"/>
      <c r="S2313" s="37" t="s">
        <v>4687</v>
      </c>
      <c r="T2313" s="31"/>
    </row>
    <row r="2314" spans="1:20">
      <c r="A2314" s="31"/>
      <c r="B2314" s="32"/>
      <c r="C2314" s="33"/>
      <c r="D2314" s="32" t="s">
        <v>5014</v>
      </c>
      <c r="E2314" s="33" t="s">
        <v>130</v>
      </c>
      <c r="F2314" s="34">
        <v>1</v>
      </c>
      <c r="G2314" s="35">
        <v>0</v>
      </c>
      <c r="H2314" s="35">
        <v>0</v>
      </c>
      <c r="I2314" s="35">
        <f>Tabla1[[#This Row],[P.U. M.N.]]*Tabla1[[#This Row],[CANTIDADES DE REFERENCIA]]</f>
        <v>0</v>
      </c>
      <c r="J2314" s="35">
        <f>Tabla1[[#This Row],[P.U. USD]]*Tabla1[[#This Row],[CANTIDADES DE REFERENCIA]]</f>
        <v>0</v>
      </c>
      <c r="K2314" s="36"/>
      <c r="L2314" s="36"/>
      <c r="M2314" s="36"/>
      <c r="N2314" s="37"/>
      <c r="O2314" s="37"/>
      <c r="P2314" s="39"/>
      <c r="Q2314" s="37" t="s">
        <v>5015</v>
      </c>
      <c r="R2314" s="37"/>
      <c r="S2314" s="37" t="s">
        <v>4687</v>
      </c>
      <c r="T2314" s="31"/>
    </row>
    <row r="2315" spans="1:20">
      <c r="A2315" s="31"/>
      <c r="B2315" s="32"/>
      <c r="C2315" s="33"/>
      <c r="D2315" s="32" t="s">
        <v>5016</v>
      </c>
      <c r="E2315" s="33" t="s">
        <v>130</v>
      </c>
      <c r="F2315" s="34">
        <v>1</v>
      </c>
      <c r="G2315" s="35">
        <v>0</v>
      </c>
      <c r="H2315" s="35">
        <v>0</v>
      </c>
      <c r="I2315" s="35">
        <f>Tabla1[[#This Row],[P.U. M.N.]]*Tabla1[[#This Row],[CANTIDADES DE REFERENCIA]]</f>
        <v>0</v>
      </c>
      <c r="J2315" s="35">
        <f>Tabla1[[#This Row],[P.U. USD]]*Tabla1[[#This Row],[CANTIDADES DE REFERENCIA]]</f>
        <v>0</v>
      </c>
      <c r="K2315" s="36"/>
      <c r="L2315" s="36"/>
      <c r="M2315" s="36"/>
      <c r="N2315" s="37"/>
      <c r="O2315" s="37"/>
      <c r="P2315" s="39"/>
      <c r="Q2315" s="37" t="s">
        <v>5017</v>
      </c>
      <c r="R2315" s="37"/>
      <c r="S2315" s="37" t="s">
        <v>4687</v>
      </c>
      <c r="T2315" s="31"/>
    </row>
    <row r="2316" spans="1:20">
      <c r="A2316" s="31"/>
      <c r="B2316" s="32"/>
      <c r="C2316" s="33"/>
      <c r="D2316" s="32" t="s">
        <v>5018</v>
      </c>
      <c r="E2316" s="33" t="s">
        <v>1058</v>
      </c>
      <c r="F2316" s="34">
        <v>1</v>
      </c>
      <c r="G2316" s="35">
        <v>0</v>
      </c>
      <c r="H2316" s="35">
        <v>0</v>
      </c>
      <c r="I2316" s="35">
        <f>Tabla1[[#This Row],[P.U. M.N.]]*Tabla1[[#This Row],[CANTIDADES DE REFERENCIA]]</f>
        <v>0</v>
      </c>
      <c r="J2316" s="35">
        <f>Tabla1[[#This Row],[P.U. USD]]*Tabla1[[#This Row],[CANTIDADES DE REFERENCIA]]</f>
        <v>0</v>
      </c>
      <c r="K2316" s="36"/>
      <c r="L2316" s="36"/>
      <c r="M2316" s="36"/>
      <c r="N2316" s="37"/>
      <c r="O2316" s="37"/>
      <c r="P2316" s="39"/>
      <c r="Q2316" s="37" t="s">
        <v>5019</v>
      </c>
      <c r="R2316" s="37"/>
      <c r="S2316" s="37" t="s">
        <v>4687</v>
      </c>
      <c r="T2316" s="31"/>
    </row>
    <row r="2317" spans="1:20">
      <c r="A2317" s="31"/>
      <c r="B2317" s="32"/>
      <c r="C2317" s="33"/>
      <c r="D2317" s="32" t="s">
        <v>5020</v>
      </c>
      <c r="E2317" s="33" t="s">
        <v>130</v>
      </c>
      <c r="F2317" s="34">
        <v>1</v>
      </c>
      <c r="G2317" s="35">
        <v>0</v>
      </c>
      <c r="H2317" s="35">
        <v>0</v>
      </c>
      <c r="I2317" s="35">
        <f>Tabla1[[#This Row],[P.U. M.N.]]*Tabla1[[#This Row],[CANTIDADES DE REFERENCIA]]</f>
        <v>0</v>
      </c>
      <c r="J2317" s="35">
        <f>Tabla1[[#This Row],[P.U. USD]]*Tabla1[[#This Row],[CANTIDADES DE REFERENCIA]]</f>
        <v>0</v>
      </c>
      <c r="K2317" s="36"/>
      <c r="L2317" s="36"/>
      <c r="M2317" s="36"/>
      <c r="N2317" s="37"/>
      <c r="O2317" s="37"/>
      <c r="P2317" s="39"/>
      <c r="Q2317" s="37" t="s">
        <v>5021</v>
      </c>
      <c r="R2317" s="37"/>
      <c r="S2317" s="37" t="s">
        <v>4687</v>
      </c>
      <c r="T2317" s="31"/>
    </row>
    <row r="2318" spans="1:20">
      <c r="A2318" s="31"/>
      <c r="B2318" s="32"/>
      <c r="C2318" s="33"/>
      <c r="D2318" s="32" t="s">
        <v>5022</v>
      </c>
      <c r="E2318" s="33" t="s">
        <v>130</v>
      </c>
      <c r="F2318" s="34">
        <v>1</v>
      </c>
      <c r="G2318" s="35">
        <v>0</v>
      </c>
      <c r="H2318" s="35">
        <v>0</v>
      </c>
      <c r="I2318" s="35">
        <f>Tabla1[[#This Row],[P.U. M.N.]]*Tabla1[[#This Row],[CANTIDADES DE REFERENCIA]]</f>
        <v>0</v>
      </c>
      <c r="J2318" s="35">
        <f>Tabla1[[#This Row],[P.U. USD]]*Tabla1[[#This Row],[CANTIDADES DE REFERENCIA]]</f>
        <v>0</v>
      </c>
      <c r="K2318" s="36"/>
      <c r="L2318" s="36"/>
      <c r="M2318" s="36"/>
      <c r="N2318" s="37"/>
      <c r="O2318" s="37"/>
      <c r="P2318" s="39"/>
      <c r="Q2318" s="37" t="s">
        <v>5023</v>
      </c>
      <c r="R2318" s="37"/>
      <c r="S2318" s="37" t="s">
        <v>4687</v>
      </c>
      <c r="T2318" s="31"/>
    </row>
    <row r="2319" spans="1:20">
      <c r="A2319" s="31"/>
      <c r="B2319" s="32"/>
      <c r="C2319" s="33"/>
      <c r="D2319" s="32" t="s">
        <v>5024</v>
      </c>
      <c r="E2319" s="33" t="s">
        <v>130</v>
      </c>
      <c r="F2319" s="34">
        <v>1</v>
      </c>
      <c r="G2319" s="35">
        <v>0</v>
      </c>
      <c r="H2319" s="35">
        <v>0</v>
      </c>
      <c r="I2319" s="35">
        <f>Tabla1[[#This Row],[P.U. M.N.]]*Tabla1[[#This Row],[CANTIDADES DE REFERENCIA]]</f>
        <v>0</v>
      </c>
      <c r="J2319" s="35">
        <f>Tabla1[[#This Row],[P.U. USD]]*Tabla1[[#This Row],[CANTIDADES DE REFERENCIA]]</f>
        <v>0</v>
      </c>
      <c r="K2319" s="36"/>
      <c r="L2319" s="36"/>
      <c r="M2319" s="36"/>
      <c r="N2319" s="37"/>
      <c r="O2319" s="37"/>
      <c r="P2319" s="39"/>
      <c r="Q2319" s="37" t="s">
        <v>5025</v>
      </c>
      <c r="R2319" s="37"/>
      <c r="S2319" s="37" t="s">
        <v>4687</v>
      </c>
      <c r="T2319" s="31"/>
    </row>
    <row r="2320" spans="1:20">
      <c r="A2320" s="31"/>
      <c r="B2320" s="32"/>
      <c r="C2320" s="33"/>
      <c r="D2320" s="32" t="s">
        <v>5026</v>
      </c>
      <c r="E2320" s="33" t="s">
        <v>130</v>
      </c>
      <c r="F2320" s="34">
        <v>1</v>
      </c>
      <c r="G2320" s="35">
        <v>0</v>
      </c>
      <c r="H2320" s="35">
        <v>0</v>
      </c>
      <c r="I2320" s="35">
        <f>Tabla1[[#This Row],[P.U. M.N.]]*Tabla1[[#This Row],[CANTIDADES DE REFERENCIA]]</f>
        <v>0</v>
      </c>
      <c r="J2320" s="35">
        <f>Tabla1[[#This Row],[P.U. USD]]*Tabla1[[#This Row],[CANTIDADES DE REFERENCIA]]</f>
        <v>0</v>
      </c>
      <c r="K2320" s="36"/>
      <c r="L2320" s="36"/>
      <c r="M2320" s="36"/>
      <c r="N2320" s="37"/>
      <c r="O2320" s="37"/>
      <c r="P2320" s="39"/>
      <c r="Q2320" s="37" t="s">
        <v>5027</v>
      </c>
      <c r="R2320" s="37"/>
      <c r="S2320" s="37" t="s">
        <v>4687</v>
      </c>
      <c r="T2320" s="31"/>
    </row>
    <row r="2321" spans="1:20">
      <c r="A2321" s="31"/>
      <c r="B2321" s="32"/>
      <c r="C2321" s="33"/>
      <c r="D2321" s="32" t="s">
        <v>5028</v>
      </c>
      <c r="E2321" s="33" t="s">
        <v>130</v>
      </c>
      <c r="F2321" s="34">
        <v>1</v>
      </c>
      <c r="G2321" s="35">
        <v>0</v>
      </c>
      <c r="H2321" s="35">
        <v>0</v>
      </c>
      <c r="I2321" s="35">
        <f>Tabla1[[#This Row],[P.U. M.N.]]*Tabla1[[#This Row],[CANTIDADES DE REFERENCIA]]</f>
        <v>0</v>
      </c>
      <c r="J2321" s="35">
        <f>Tabla1[[#This Row],[P.U. USD]]*Tabla1[[#This Row],[CANTIDADES DE REFERENCIA]]</f>
        <v>0</v>
      </c>
      <c r="K2321" s="36"/>
      <c r="L2321" s="36"/>
      <c r="M2321" s="36"/>
      <c r="N2321" s="37"/>
      <c r="O2321" s="37"/>
      <c r="P2321" s="39"/>
      <c r="Q2321" s="37" t="s">
        <v>5029</v>
      </c>
      <c r="R2321" s="37"/>
      <c r="S2321" s="37" t="s">
        <v>4687</v>
      </c>
      <c r="T2321" s="31"/>
    </row>
    <row r="2322" spans="1:20">
      <c r="A2322" s="31"/>
      <c r="B2322" s="32"/>
      <c r="C2322" s="33"/>
      <c r="D2322" s="32" t="s">
        <v>5030</v>
      </c>
      <c r="E2322" s="33" t="s">
        <v>130</v>
      </c>
      <c r="F2322" s="34">
        <v>1</v>
      </c>
      <c r="G2322" s="35">
        <v>0</v>
      </c>
      <c r="H2322" s="35">
        <v>0</v>
      </c>
      <c r="I2322" s="35">
        <f>Tabla1[[#This Row],[P.U. M.N.]]*Tabla1[[#This Row],[CANTIDADES DE REFERENCIA]]</f>
        <v>0</v>
      </c>
      <c r="J2322" s="35">
        <f>Tabla1[[#This Row],[P.U. USD]]*Tabla1[[#This Row],[CANTIDADES DE REFERENCIA]]</f>
        <v>0</v>
      </c>
      <c r="K2322" s="36"/>
      <c r="L2322" s="36"/>
      <c r="M2322" s="36"/>
      <c r="N2322" s="37"/>
      <c r="O2322" s="37"/>
      <c r="P2322" s="39"/>
      <c r="Q2322" s="37" t="s">
        <v>5031</v>
      </c>
      <c r="R2322" s="37"/>
      <c r="S2322" s="37" t="s">
        <v>4687</v>
      </c>
      <c r="T2322" s="31"/>
    </row>
    <row r="2323" spans="1:20">
      <c r="A2323" s="31"/>
      <c r="B2323" s="32"/>
      <c r="C2323" s="33"/>
      <c r="D2323" s="32" t="s">
        <v>5032</v>
      </c>
      <c r="E2323" s="33" t="s">
        <v>130</v>
      </c>
      <c r="F2323" s="34">
        <v>1</v>
      </c>
      <c r="G2323" s="35">
        <v>0</v>
      </c>
      <c r="H2323" s="35">
        <v>0</v>
      </c>
      <c r="I2323" s="35">
        <f>Tabla1[[#This Row],[P.U. M.N.]]*Tabla1[[#This Row],[CANTIDADES DE REFERENCIA]]</f>
        <v>0</v>
      </c>
      <c r="J2323" s="35">
        <f>Tabla1[[#This Row],[P.U. USD]]*Tabla1[[#This Row],[CANTIDADES DE REFERENCIA]]</f>
        <v>0</v>
      </c>
      <c r="K2323" s="36"/>
      <c r="L2323" s="36"/>
      <c r="M2323" s="36"/>
      <c r="N2323" s="37"/>
      <c r="O2323" s="37"/>
      <c r="P2323" s="39"/>
      <c r="Q2323" s="37" t="s">
        <v>5033</v>
      </c>
      <c r="R2323" s="37"/>
      <c r="S2323" s="37" t="s">
        <v>4687</v>
      </c>
      <c r="T2323" s="31"/>
    </row>
    <row r="2324" spans="1:20">
      <c r="A2324" s="31"/>
      <c r="B2324" s="32"/>
      <c r="C2324" s="33"/>
      <c r="D2324" s="32" t="s">
        <v>5034</v>
      </c>
      <c r="E2324" s="33" t="s">
        <v>130</v>
      </c>
      <c r="F2324" s="34">
        <v>1</v>
      </c>
      <c r="G2324" s="35">
        <v>0</v>
      </c>
      <c r="H2324" s="35">
        <v>0</v>
      </c>
      <c r="I2324" s="35">
        <f>Tabla1[[#This Row],[P.U. M.N.]]*Tabla1[[#This Row],[CANTIDADES DE REFERENCIA]]</f>
        <v>0</v>
      </c>
      <c r="J2324" s="35">
        <f>Tabla1[[#This Row],[P.U. USD]]*Tabla1[[#This Row],[CANTIDADES DE REFERENCIA]]</f>
        <v>0</v>
      </c>
      <c r="K2324" s="36"/>
      <c r="L2324" s="36"/>
      <c r="M2324" s="36"/>
      <c r="N2324" s="37"/>
      <c r="O2324" s="37"/>
      <c r="P2324" s="39"/>
      <c r="Q2324" s="37" t="s">
        <v>5035</v>
      </c>
      <c r="R2324" s="37"/>
      <c r="S2324" s="37" t="s">
        <v>4687</v>
      </c>
      <c r="T2324" s="31"/>
    </row>
    <row r="2325" spans="1:20">
      <c r="A2325" s="31"/>
      <c r="B2325" s="32"/>
      <c r="C2325" s="33"/>
      <c r="D2325" s="32" t="s">
        <v>5036</v>
      </c>
      <c r="E2325" s="33" t="s">
        <v>130</v>
      </c>
      <c r="F2325" s="34">
        <v>1</v>
      </c>
      <c r="G2325" s="35">
        <v>0</v>
      </c>
      <c r="H2325" s="35">
        <v>0</v>
      </c>
      <c r="I2325" s="35">
        <f>Tabla1[[#This Row],[P.U. M.N.]]*Tabla1[[#This Row],[CANTIDADES DE REFERENCIA]]</f>
        <v>0</v>
      </c>
      <c r="J2325" s="35">
        <f>Tabla1[[#This Row],[P.U. USD]]*Tabla1[[#This Row],[CANTIDADES DE REFERENCIA]]</f>
        <v>0</v>
      </c>
      <c r="K2325" s="36"/>
      <c r="L2325" s="36"/>
      <c r="M2325" s="36"/>
      <c r="N2325" s="37"/>
      <c r="O2325" s="37"/>
      <c r="P2325" s="39"/>
      <c r="Q2325" s="37" t="s">
        <v>5037</v>
      </c>
      <c r="R2325" s="37"/>
      <c r="S2325" s="37" t="s">
        <v>4687</v>
      </c>
      <c r="T2325" s="31"/>
    </row>
    <row r="2326" spans="1:20">
      <c r="A2326" s="31"/>
      <c r="B2326" s="32"/>
      <c r="C2326" s="33"/>
      <c r="D2326" s="32" t="s">
        <v>5038</v>
      </c>
      <c r="E2326" s="33" t="s">
        <v>130</v>
      </c>
      <c r="F2326" s="34">
        <v>1</v>
      </c>
      <c r="G2326" s="35">
        <v>0</v>
      </c>
      <c r="H2326" s="35">
        <v>0</v>
      </c>
      <c r="I2326" s="35">
        <f>Tabla1[[#This Row],[P.U. M.N.]]*Tabla1[[#This Row],[CANTIDADES DE REFERENCIA]]</f>
        <v>0</v>
      </c>
      <c r="J2326" s="35">
        <f>Tabla1[[#This Row],[P.U. USD]]*Tabla1[[#This Row],[CANTIDADES DE REFERENCIA]]</f>
        <v>0</v>
      </c>
      <c r="K2326" s="36"/>
      <c r="L2326" s="36"/>
      <c r="M2326" s="36"/>
      <c r="N2326" s="37"/>
      <c r="O2326" s="37"/>
      <c r="P2326" s="39"/>
      <c r="Q2326" s="37" t="s">
        <v>5039</v>
      </c>
      <c r="R2326" s="37"/>
      <c r="S2326" s="37" t="s">
        <v>4687</v>
      </c>
      <c r="T2326" s="31"/>
    </row>
    <row r="2327" spans="1:20">
      <c r="A2327" s="31"/>
      <c r="B2327" s="32"/>
      <c r="C2327" s="33"/>
      <c r="D2327" s="32" t="s">
        <v>5040</v>
      </c>
      <c r="E2327" s="33" t="s">
        <v>130</v>
      </c>
      <c r="F2327" s="34">
        <v>1</v>
      </c>
      <c r="G2327" s="35">
        <v>0</v>
      </c>
      <c r="H2327" s="35">
        <v>0</v>
      </c>
      <c r="I2327" s="35">
        <f>Tabla1[[#This Row],[P.U. M.N.]]*Tabla1[[#This Row],[CANTIDADES DE REFERENCIA]]</f>
        <v>0</v>
      </c>
      <c r="J2327" s="35">
        <f>Tabla1[[#This Row],[P.U. USD]]*Tabla1[[#This Row],[CANTIDADES DE REFERENCIA]]</f>
        <v>0</v>
      </c>
      <c r="K2327" s="36"/>
      <c r="L2327" s="36"/>
      <c r="M2327" s="36"/>
      <c r="N2327" s="37"/>
      <c r="O2327" s="37"/>
      <c r="P2327" s="39"/>
      <c r="Q2327" s="37" t="s">
        <v>5041</v>
      </c>
      <c r="R2327" s="37"/>
      <c r="S2327" s="37" t="s">
        <v>4687</v>
      </c>
      <c r="T2327" s="31"/>
    </row>
    <row r="2328" spans="1:20">
      <c r="A2328" s="31"/>
      <c r="B2328" s="32"/>
      <c r="C2328" s="33"/>
      <c r="D2328" s="32" t="s">
        <v>5042</v>
      </c>
      <c r="E2328" s="33" t="s">
        <v>130</v>
      </c>
      <c r="F2328" s="34">
        <v>1</v>
      </c>
      <c r="G2328" s="35">
        <v>0</v>
      </c>
      <c r="H2328" s="35">
        <v>0</v>
      </c>
      <c r="I2328" s="35">
        <f>Tabla1[[#This Row],[P.U. M.N.]]*Tabla1[[#This Row],[CANTIDADES DE REFERENCIA]]</f>
        <v>0</v>
      </c>
      <c r="J2328" s="35">
        <f>Tabla1[[#This Row],[P.U. USD]]*Tabla1[[#This Row],[CANTIDADES DE REFERENCIA]]</f>
        <v>0</v>
      </c>
      <c r="K2328" s="36"/>
      <c r="L2328" s="36"/>
      <c r="M2328" s="36"/>
      <c r="N2328" s="37"/>
      <c r="O2328" s="37"/>
      <c r="P2328" s="39"/>
      <c r="Q2328" s="37" t="s">
        <v>5043</v>
      </c>
      <c r="R2328" s="37"/>
      <c r="S2328" s="37" t="s">
        <v>4687</v>
      </c>
      <c r="T2328" s="31"/>
    </row>
    <row r="2329" spans="1:20">
      <c r="A2329" s="31"/>
      <c r="B2329" s="32"/>
      <c r="C2329" s="33"/>
      <c r="D2329" s="32" t="s">
        <v>5044</v>
      </c>
      <c r="E2329" s="33" t="s">
        <v>130</v>
      </c>
      <c r="F2329" s="34">
        <v>1</v>
      </c>
      <c r="G2329" s="35">
        <v>0</v>
      </c>
      <c r="H2329" s="35">
        <v>0</v>
      </c>
      <c r="I2329" s="35">
        <f>Tabla1[[#This Row],[P.U. M.N.]]*Tabla1[[#This Row],[CANTIDADES DE REFERENCIA]]</f>
        <v>0</v>
      </c>
      <c r="J2329" s="35">
        <f>Tabla1[[#This Row],[P.U. USD]]*Tabla1[[#This Row],[CANTIDADES DE REFERENCIA]]</f>
        <v>0</v>
      </c>
      <c r="K2329" s="36"/>
      <c r="L2329" s="36"/>
      <c r="M2329" s="36"/>
      <c r="N2329" s="37"/>
      <c r="O2329" s="37"/>
      <c r="P2329" s="39"/>
      <c r="Q2329" s="37" t="s">
        <v>5045</v>
      </c>
      <c r="R2329" s="37"/>
      <c r="S2329" s="37" t="s">
        <v>4687</v>
      </c>
      <c r="T2329" s="31"/>
    </row>
    <row r="2330" spans="1:20">
      <c r="A2330" s="31"/>
      <c r="B2330" s="32"/>
      <c r="C2330" s="33"/>
      <c r="D2330" s="32" t="s">
        <v>5046</v>
      </c>
      <c r="E2330" s="33" t="s">
        <v>130</v>
      </c>
      <c r="F2330" s="34">
        <v>1</v>
      </c>
      <c r="G2330" s="35">
        <v>0</v>
      </c>
      <c r="H2330" s="35">
        <v>0</v>
      </c>
      <c r="I2330" s="35">
        <f>Tabla1[[#This Row],[P.U. M.N.]]*Tabla1[[#This Row],[CANTIDADES DE REFERENCIA]]</f>
        <v>0</v>
      </c>
      <c r="J2330" s="35">
        <f>Tabla1[[#This Row],[P.U. USD]]*Tabla1[[#This Row],[CANTIDADES DE REFERENCIA]]</f>
        <v>0</v>
      </c>
      <c r="K2330" s="36"/>
      <c r="L2330" s="36"/>
      <c r="M2330" s="36"/>
      <c r="N2330" s="37"/>
      <c r="O2330" s="37"/>
      <c r="P2330" s="39"/>
      <c r="Q2330" s="37" t="s">
        <v>5047</v>
      </c>
      <c r="R2330" s="37"/>
      <c r="S2330" s="37" t="s">
        <v>4687</v>
      </c>
      <c r="T2330" s="31"/>
    </row>
    <row r="2331" spans="1:20">
      <c r="A2331" s="31"/>
      <c r="B2331" s="32"/>
      <c r="C2331" s="33"/>
      <c r="D2331" s="32" t="s">
        <v>5048</v>
      </c>
      <c r="E2331" s="33" t="s">
        <v>130</v>
      </c>
      <c r="F2331" s="34">
        <v>1</v>
      </c>
      <c r="G2331" s="35">
        <v>0</v>
      </c>
      <c r="H2331" s="35">
        <v>0</v>
      </c>
      <c r="I2331" s="35">
        <f>Tabla1[[#This Row],[P.U. M.N.]]*Tabla1[[#This Row],[CANTIDADES DE REFERENCIA]]</f>
        <v>0</v>
      </c>
      <c r="J2331" s="35">
        <f>Tabla1[[#This Row],[P.U. USD]]*Tabla1[[#This Row],[CANTIDADES DE REFERENCIA]]</f>
        <v>0</v>
      </c>
      <c r="K2331" s="36"/>
      <c r="L2331" s="36"/>
      <c r="M2331" s="36"/>
      <c r="N2331" s="37"/>
      <c r="O2331" s="37"/>
      <c r="P2331" s="39"/>
      <c r="Q2331" s="37" t="s">
        <v>5049</v>
      </c>
      <c r="R2331" s="37"/>
      <c r="S2331" s="37" t="s">
        <v>4687</v>
      </c>
      <c r="T2331" s="31"/>
    </row>
    <row r="2332" spans="1:20">
      <c r="A2332" s="31"/>
      <c r="B2332" s="32"/>
      <c r="C2332" s="33"/>
      <c r="D2332" s="32" t="s">
        <v>5050</v>
      </c>
      <c r="E2332" s="33" t="s">
        <v>130</v>
      </c>
      <c r="F2332" s="34">
        <v>1</v>
      </c>
      <c r="G2332" s="35">
        <v>0</v>
      </c>
      <c r="H2332" s="35">
        <v>0</v>
      </c>
      <c r="I2332" s="35">
        <f>Tabla1[[#This Row],[P.U. M.N.]]*Tabla1[[#This Row],[CANTIDADES DE REFERENCIA]]</f>
        <v>0</v>
      </c>
      <c r="J2332" s="35">
        <f>Tabla1[[#This Row],[P.U. USD]]*Tabla1[[#This Row],[CANTIDADES DE REFERENCIA]]</f>
        <v>0</v>
      </c>
      <c r="K2332" s="36"/>
      <c r="L2332" s="36"/>
      <c r="M2332" s="36"/>
      <c r="N2332" s="37"/>
      <c r="O2332" s="37"/>
      <c r="P2332" s="39"/>
      <c r="Q2332" s="37" t="s">
        <v>5051</v>
      </c>
      <c r="R2332" s="37"/>
      <c r="S2332" s="37" t="s">
        <v>4687</v>
      </c>
      <c r="T2332" s="31"/>
    </row>
    <row r="2333" spans="1:20">
      <c r="A2333" s="31"/>
      <c r="B2333" s="32"/>
      <c r="C2333" s="33"/>
      <c r="D2333" s="32" t="s">
        <v>5052</v>
      </c>
      <c r="E2333" s="33" t="s">
        <v>130</v>
      </c>
      <c r="F2333" s="34">
        <v>1</v>
      </c>
      <c r="G2333" s="35">
        <v>0</v>
      </c>
      <c r="H2333" s="35">
        <v>0</v>
      </c>
      <c r="I2333" s="35">
        <f>Tabla1[[#This Row],[P.U. M.N.]]*Tabla1[[#This Row],[CANTIDADES DE REFERENCIA]]</f>
        <v>0</v>
      </c>
      <c r="J2333" s="35">
        <f>Tabla1[[#This Row],[P.U. USD]]*Tabla1[[#This Row],[CANTIDADES DE REFERENCIA]]</f>
        <v>0</v>
      </c>
      <c r="K2333" s="36"/>
      <c r="L2333" s="36"/>
      <c r="M2333" s="36"/>
      <c r="N2333" s="37"/>
      <c r="O2333" s="37"/>
      <c r="P2333" s="39"/>
      <c r="Q2333" s="37" t="s">
        <v>5053</v>
      </c>
      <c r="R2333" s="37"/>
      <c r="S2333" s="37" t="s">
        <v>4687</v>
      </c>
      <c r="T2333" s="31"/>
    </row>
    <row r="2334" spans="1:20">
      <c r="A2334" s="31"/>
      <c r="B2334" s="32"/>
      <c r="C2334" s="33"/>
      <c r="D2334" s="32" t="s">
        <v>5054</v>
      </c>
      <c r="E2334" s="33" t="s">
        <v>130</v>
      </c>
      <c r="F2334" s="34">
        <v>1</v>
      </c>
      <c r="G2334" s="35">
        <v>0</v>
      </c>
      <c r="H2334" s="35">
        <v>0</v>
      </c>
      <c r="I2334" s="35">
        <f>Tabla1[[#This Row],[P.U. M.N.]]*Tabla1[[#This Row],[CANTIDADES DE REFERENCIA]]</f>
        <v>0</v>
      </c>
      <c r="J2334" s="35">
        <f>Tabla1[[#This Row],[P.U. USD]]*Tabla1[[#This Row],[CANTIDADES DE REFERENCIA]]</f>
        <v>0</v>
      </c>
      <c r="K2334" s="36"/>
      <c r="L2334" s="36"/>
      <c r="M2334" s="36"/>
      <c r="N2334" s="37"/>
      <c r="O2334" s="37"/>
      <c r="P2334" s="39"/>
      <c r="Q2334" s="37" t="s">
        <v>5055</v>
      </c>
      <c r="R2334" s="37"/>
      <c r="S2334" s="37" t="s">
        <v>4687</v>
      </c>
      <c r="T2334" s="31"/>
    </row>
    <row r="2335" spans="1:20">
      <c r="A2335" s="31"/>
      <c r="B2335" s="32"/>
      <c r="C2335" s="33"/>
      <c r="D2335" s="32" t="s">
        <v>5056</v>
      </c>
      <c r="E2335" s="33" t="s">
        <v>130</v>
      </c>
      <c r="F2335" s="34">
        <v>1</v>
      </c>
      <c r="G2335" s="35">
        <v>0</v>
      </c>
      <c r="H2335" s="35">
        <v>0</v>
      </c>
      <c r="I2335" s="35">
        <f>Tabla1[[#This Row],[P.U. M.N.]]*Tabla1[[#This Row],[CANTIDADES DE REFERENCIA]]</f>
        <v>0</v>
      </c>
      <c r="J2335" s="35">
        <f>Tabla1[[#This Row],[P.U. USD]]*Tabla1[[#This Row],[CANTIDADES DE REFERENCIA]]</f>
        <v>0</v>
      </c>
      <c r="K2335" s="36"/>
      <c r="L2335" s="36"/>
      <c r="M2335" s="36"/>
      <c r="N2335" s="37"/>
      <c r="O2335" s="37"/>
      <c r="P2335" s="39"/>
      <c r="Q2335" s="37" t="s">
        <v>5057</v>
      </c>
      <c r="R2335" s="37"/>
      <c r="S2335" s="37" t="s">
        <v>4687</v>
      </c>
      <c r="T2335" s="31"/>
    </row>
    <row r="2336" spans="1:20">
      <c r="A2336" s="31"/>
      <c r="B2336" s="32"/>
      <c r="C2336" s="33"/>
      <c r="D2336" s="32" t="s">
        <v>5058</v>
      </c>
      <c r="E2336" s="33" t="s">
        <v>130</v>
      </c>
      <c r="F2336" s="34">
        <v>1</v>
      </c>
      <c r="G2336" s="35">
        <v>0</v>
      </c>
      <c r="H2336" s="35">
        <v>0</v>
      </c>
      <c r="I2336" s="35">
        <f>Tabla1[[#This Row],[P.U. M.N.]]*Tabla1[[#This Row],[CANTIDADES DE REFERENCIA]]</f>
        <v>0</v>
      </c>
      <c r="J2336" s="35">
        <f>Tabla1[[#This Row],[P.U. USD]]*Tabla1[[#This Row],[CANTIDADES DE REFERENCIA]]</f>
        <v>0</v>
      </c>
      <c r="K2336" s="36"/>
      <c r="L2336" s="36"/>
      <c r="M2336" s="36"/>
      <c r="N2336" s="37"/>
      <c r="O2336" s="37"/>
      <c r="P2336" s="39"/>
      <c r="Q2336" s="37" t="s">
        <v>5059</v>
      </c>
      <c r="R2336" s="37"/>
      <c r="S2336" s="37" t="s">
        <v>4687</v>
      </c>
      <c r="T2336" s="31"/>
    </row>
    <row r="2337" spans="1:20">
      <c r="A2337" s="31"/>
      <c r="B2337" s="32"/>
      <c r="C2337" s="33"/>
      <c r="D2337" s="32" t="s">
        <v>5060</v>
      </c>
      <c r="E2337" s="33" t="s">
        <v>130</v>
      </c>
      <c r="F2337" s="34">
        <v>1</v>
      </c>
      <c r="G2337" s="35">
        <v>0</v>
      </c>
      <c r="H2337" s="35">
        <v>0</v>
      </c>
      <c r="I2337" s="35">
        <f>Tabla1[[#This Row],[P.U. M.N.]]*Tabla1[[#This Row],[CANTIDADES DE REFERENCIA]]</f>
        <v>0</v>
      </c>
      <c r="J2337" s="35">
        <f>Tabla1[[#This Row],[P.U. USD]]*Tabla1[[#This Row],[CANTIDADES DE REFERENCIA]]</f>
        <v>0</v>
      </c>
      <c r="K2337" s="36"/>
      <c r="L2337" s="36"/>
      <c r="M2337" s="36"/>
      <c r="N2337" s="37"/>
      <c r="O2337" s="37"/>
      <c r="P2337" s="39"/>
      <c r="Q2337" s="37" t="s">
        <v>5061</v>
      </c>
      <c r="R2337" s="37"/>
      <c r="S2337" s="37" t="s">
        <v>4687</v>
      </c>
      <c r="T2337" s="31"/>
    </row>
    <row r="2338" spans="1:20">
      <c r="A2338" s="31"/>
      <c r="B2338" s="32"/>
      <c r="C2338" s="33"/>
      <c r="D2338" s="32" t="s">
        <v>5062</v>
      </c>
      <c r="E2338" s="33" t="s">
        <v>130</v>
      </c>
      <c r="F2338" s="34">
        <v>1</v>
      </c>
      <c r="G2338" s="35">
        <v>0</v>
      </c>
      <c r="H2338" s="35">
        <v>0</v>
      </c>
      <c r="I2338" s="35">
        <f>Tabla1[[#This Row],[P.U. M.N.]]*Tabla1[[#This Row],[CANTIDADES DE REFERENCIA]]</f>
        <v>0</v>
      </c>
      <c r="J2338" s="35">
        <f>Tabla1[[#This Row],[P.U. USD]]*Tabla1[[#This Row],[CANTIDADES DE REFERENCIA]]</f>
        <v>0</v>
      </c>
      <c r="K2338" s="36"/>
      <c r="L2338" s="36"/>
      <c r="M2338" s="36"/>
      <c r="N2338" s="37"/>
      <c r="O2338" s="37"/>
      <c r="P2338" s="39"/>
      <c r="Q2338" s="37" t="s">
        <v>5063</v>
      </c>
      <c r="R2338" s="37"/>
      <c r="S2338" s="37" t="s">
        <v>4687</v>
      </c>
      <c r="T2338" s="31"/>
    </row>
    <row r="2339" spans="1:20">
      <c r="A2339" s="31"/>
      <c r="B2339" s="32"/>
      <c r="C2339" s="33"/>
      <c r="D2339" s="32" t="s">
        <v>5064</v>
      </c>
      <c r="E2339" s="33" t="s">
        <v>130</v>
      </c>
      <c r="F2339" s="34">
        <v>1</v>
      </c>
      <c r="G2339" s="35">
        <v>0</v>
      </c>
      <c r="H2339" s="35">
        <v>0</v>
      </c>
      <c r="I2339" s="35">
        <f>Tabla1[[#This Row],[P.U. M.N.]]*Tabla1[[#This Row],[CANTIDADES DE REFERENCIA]]</f>
        <v>0</v>
      </c>
      <c r="J2339" s="35">
        <f>Tabla1[[#This Row],[P.U. USD]]*Tabla1[[#This Row],[CANTIDADES DE REFERENCIA]]</f>
        <v>0</v>
      </c>
      <c r="K2339" s="36"/>
      <c r="L2339" s="36"/>
      <c r="M2339" s="36"/>
      <c r="N2339" s="37"/>
      <c r="O2339" s="37"/>
      <c r="P2339" s="39"/>
      <c r="Q2339" s="37" t="s">
        <v>5065</v>
      </c>
      <c r="R2339" s="37"/>
      <c r="S2339" s="37" t="s">
        <v>4687</v>
      </c>
      <c r="T2339" s="31"/>
    </row>
    <row r="2340" spans="1:20">
      <c r="A2340" s="31"/>
      <c r="B2340" s="32"/>
      <c r="C2340" s="33"/>
      <c r="D2340" s="32" t="s">
        <v>5066</v>
      </c>
      <c r="E2340" s="33" t="s">
        <v>130</v>
      </c>
      <c r="F2340" s="34">
        <v>1</v>
      </c>
      <c r="G2340" s="35">
        <v>0</v>
      </c>
      <c r="H2340" s="35">
        <v>0</v>
      </c>
      <c r="I2340" s="35">
        <f>Tabla1[[#This Row],[P.U. M.N.]]*Tabla1[[#This Row],[CANTIDADES DE REFERENCIA]]</f>
        <v>0</v>
      </c>
      <c r="J2340" s="35">
        <f>Tabla1[[#This Row],[P.U. USD]]*Tabla1[[#This Row],[CANTIDADES DE REFERENCIA]]</f>
        <v>0</v>
      </c>
      <c r="K2340" s="36"/>
      <c r="L2340" s="36"/>
      <c r="M2340" s="36"/>
      <c r="N2340" s="37"/>
      <c r="O2340" s="37"/>
      <c r="P2340" s="39"/>
      <c r="Q2340" s="37" t="s">
        <v>5067</v>
      </c>
      <c r="R2340" s="37"/>
      <c r="S2340" s="37" t="s">
        <v>4687</v>
      </c>
      <c r="T2340" s="31"/>
    </row>
    <row r="2341" spans="1:20">
      <c r="A2341" s="31"/>
      <c r="B2341" s="32"/>
      <c r="C2341" s="33"/>
      <c r="D2341" s="32" t="s">
        <v>5068</v>
      </c>
      <c r="E2341" s="33" t="s">
        <v>130</v>
      </c>
      <c r="F2341" s="34">
        <v>1</v>
      </c>
      <c r="G2341" s="35">
        <v>0</v>
      </c>
      <c r="H2341" s="35">
        <v>0</v>
      </c>
      <c r="I2341" s="35">
        <f>Tabla1[[#This Row],[P.U. M.N.]]*Tabla1[[#This Row],[CANTIDADES DE REFERENCIA]]</f>
        <v>0</v>
      </c>
      <c r="J2341" s="35">
        <f>Tabla1[[#This Row],[P.U. USD]]*Tabla1[[#This Row],[CANTIDADES DE REFERENCIA]]</f>
        <v>0</v>
      </c>
      <c r="K2341" s="36"/>
      <c r="L2341" s="36"/>
      <c r="M2341" s="36"/>
      <c r="N2341" s="37"/>
      <c r="O2341" s="37"/>
      <c r="P2341" s="39"/>
      <c r="Q2341" s="37" t="s">
        <v>5069</v>
      </c>
      <c r="R2341" s="37"/>
      <c r="S2341" s="37" t="s">
        <v>4687</v>
      </c>
      <c r="T2341" s="31"/>
    </row>
    <row r="2342" spans="1:20">
      <c r="A2342" s="31"/>
      <c r="B2342" s="32"/>
      <c r="C2342" s="33"/>
      <c r="D2342" s="32" t="s">
        <v>5070</v>
      </c>
      <c r="E2342" s="33" t="s">
        <v>130</v>
      </c>
      <c r="F2342" s="34">
        <v>1</v>
      </c>
      <c r="G2342" s="35">
        <v>0</v>
      </c>
      <c r="H2342" s="35">
        <v>0</v>
      </c>
      <c r="I2342" s="35">
        <f>Tabla1[[#This Row],[P.U. M.N.]]*Tabla1[[#This Row],[CANTIDADES DE REFERENCIA]]</f>
        <v>0</v>
      </c>
      <c r="J2342" s="35">
        <f>Tabla1[[#This Row],[P.U. USD]]*Tabla1[[#This Row],[CANTIDADES DE REFERENCIA]]</f>
        <v>0</v>
      </c>
      <c r="K2342" s="36"/>
      <c r="L2342" s="36"/>
      <c r="M2342" s="36"/>
      <c r="N2342" s="37"/>
      <c r="O2342" s="37"/>
      <c r="P2342" s="39"/>
      <c r="Q2342" s="37" t="s">
        <v>5071</v>
      </c>
      <c r="R2342" s="37"/>
      <c r="S2342" s="37" t="s">
        <v>4687</v>
      </c>
      <c r="T2342" s="31"/>
    </row>
    <row r="2343" spans="1:20">
      <c r="A2343" s="31"/>
      <c r="B2343" s="32"/>
      <c r="C2343" s="33"/>
      <c r="D2343" s="32" t="s">
        <v>5072</v>
      </c>
      <c r="E2343" s="33" t="s">
        <v>130</v>
      </c>
      <c r="F2343" s="34">
        <v>1</v>
      </c>
      <c r="G2343" s="35">
        <v>0</v>
      </c>
      <c r="H2343" s="35">
        <v>0</v>
      </c>
      <c r="I2343" s="35">
        <f>Tabla1[[#This Row],[P.U. M.N.]]*Tabla1[[#This Row],[CANTIDADES DE REFERENCIA]]</f>
        <v>0</v>
      </c>
      <c r="J2343" s="35">
        <f>Tabla1[[#This Row],[P.U. USD]]*Tabla1[[#This Row],[CANTIDADES DE REFERENCIA]]</f>
        <v>0</v>
      </c>
      <c r="K2343" s="36"/>
      <c r="L2343" s="36"/>
      <c r="M2343" s="36"/>
      <c r="N2343" s="37"/>
      <c r="O2343" s="37"/>
      <c r="P2343" s="39"/>
      <c r="Q2343" s="37" t="s">
        <v>5073</v>
      </c>
      <c r="R2343" s="37"/>
      <c r="S2343" s="37" t="s">
        <v>4687</v>
      </c>
      <c r="T2343" s="31"/>
    </row>
    <row r="2344" spans="1:20">
      <c r="A2344" s="31"/>
      <c r="B2344" s="32"/>
      <c r="C2344" s="33"/>
      <c r="D2344" s="32" t="s">
        <v>5074</v>
      </c>
      <c r="E2344" s="33" t="s">
        <v>130</v>
      </c>
      <c r="F2344" s="34">
        <v>1</v>
      </c>
      <c r="G2344" s="35">
        <v>0</v>
      </c>
      <c r="H2344" s="35">
        <v>0</v>
      </c>
      <c r="I2344" s="35">
        <f>Tabla1[[#This Row],[P.U. M.N.]]*Tabla1[[#This Row],[CANTIDADES DE REFERENCIA]]</f>
        <v>0</v>
      </c>
      <c r="J2344" s="35">
        <f>Tabla1[[#This Row],[P.U. USD]]*Tabla1[[#This Row],[CANTIDADES DE REFERENCIA]]</f>
        <v>0</v>
      </c>
      <c r="K2344" s="36"/>
      <c r="L2344" s="36"/>
      <c r="M2344" s="36"/>
      <c r="N2344" s="37"/>
      <c r="O2344" s="37"/>
      <c r="P2344" s="39"/>
      <c r="Q2344" s="37" t="s">
        <v>5075</v>
      </c>
      <c r="R2344" s="37"/>
      <c r="S2344" s="37" t="s">
        <v>4687</v>
      </c>
      <c r="T2344" s="31"/>
    </row>
    <row r="2345" spans="1:20">
      <c r="A2345" s="31"/>
      <c r="B2345" s="32"/>
      <c r="C2345" s="33"/>
      <c r="D2345" s="32" t="s">
        <v>5076</v>
      </c>
      <c r="E2345" s="33" t="s">
        <v>130</v>
      </c>
      <c r="F2345" s="34">
        <v>1</v>
      </c>
      <c r="G2345" s="35">
        <v>0</v>
      </c>
      <c r="H2345" s="35">
        <v>0</v>
      </c>
      <c r="I2345" s="35">
        <f>Tabla1[[#This Row],[P.U. M.N.]]*Tabla1[[#This Row],[CANTIDADES DE REFERENCIA]]</f>
        <v>0</v>
      </c>
      <c r="J2345" s="35">
        <f>Tabla1[[#This Row],[P.U. USD]]*Tabla1[[#This Row],[CANTIDADES DE REFERENCIA]]</f>
        <v>0</v>
      </c>
      <c r="K2345" s="36"/>
      <c r="L2345" s="36"/>
      <c r="M2345" s="36"/>
      <c r="N2345" s="37"/>
      <c r="O2345" s="37"/>
      <c r="P2345" s="39"/>
      <c r="Q2345" s="37" t="s">
        <v>5077</v>
      </c>
      <c r="R2345" s="37"/>
      <c r="S2345" s="37" t="s">
        <v>4687</v>
      </c>
      <c r="T2345" s="31"/>
    </row>
    <row r="2346" spans="1:20">
      <c r="A2346" s="31"/>
      <c r="B2346" s="32"/>
      <c r="C2346" s="33"/>
      <c r="D2346" s="32" t="s">
        <v>5078</v>
      </c>
      <c r="E2346" s="33" t="s">
        <v>130</v>
      </c>
      <c r="F2346" s="34">
        <v>1</v>
      </c>
      <c r="G2346" s="35">
        <v>0</v>
      </c>
      <c r="H2346" s="35">
        <v>0</v>
      </c>
      <c r="I2346" s="35">
        <f>Tabla1[[#This Row],[P.U. M.N.]]*Tabla1[[#This Row],[CANTIDADES DE REFERENCIA]]</f>
        <v>0</v>
      </c>
      <c r="J2346" s="35">
        <f>Tabla1[[#This Row],[P.U. USD]]*Tabla1[[#This Row],[CANTIDADES DE REFERENCIA]]</f>
        <v>0</v>
      </c>
      <c r="K2346" s="36"/>
      <c r="L2346" s="36"/>
      <c r="M2346" s="36"/>
      <c r="N2346" s="37"/>
      <c r="O2346" s="37"/>
      <c r="P2346" s="39"/>
      <c r="Q2346" s="37" t="s">
        <v>5079</v>
      </c>
      <c r="R2346" s="37"/>
      <c r="S2346" s="37" t="s">
        <v>4687</v>
      </c>
      <c r="T2346" s="31"/>
    </row>
    <row r="2347" spans="1:20">
      <c r="A2347" s="31"/>
      <c r="B2347" s="32"/>
      <c r="C2347" s="33"/>
      <c r="D2347" s="32" t="s">
        <v>5080</v>
      </c>
      <c r="E2347" s="33" t="s">
        <v>130</v>
      </c>
      <c r="F2347" s="34">
        <v>1</v>
      </c>
      <c r="G2347" s="35">
        <v>0</v>
      </c>
      <c r="H2347" s="35">
        <v>0</v>
      </c>
      <c r="I2347" s="35">
        <f>Tabla1[[#This Row],[P.U. M.N.]]*Tabla1[[#This Row],[CANTIDADES DE REFERENCIA]]</f>
        <v>0</v>
      </c>
      <c r="J2347" s="35">
        <f>Tabla1[[#This Row],[P.U. USD]]*Tabla1[[#This Row],[CANTIDADES DE REFERENCIA]]</f>
        <v>0</v>
      </c>
      <c r="K2347" s="36"/>
      <c r="L2347" s="36"/>
      <c r="M2347" s="36"/>
      <c r="N2347" s="37"/>
      <c r="O2347" s="37"/>
      <c r="P2347" s="39"/>
      <c r="Q2347" s="37" t="s">
        <v>5081</v>
      </c>
      <c r="R2347" s="37"/>
      <c r="S2347" s="37" t="s">
        <v>4687</v>
      </c>
      <c r="T2347" s="31"/>
    </row>
    <row r="2348" spans="1:20">
      <c r="A2348" s="31"/>
      <c r="B2348" s="32"/>
      <c r="C2348" s="33"/>
      <c r="D2348" s="32" t="s">
        <v>5082</v>
      </c>
      <c r="E2348" s="33" t="s">
        <v>130</v>
      </c>
      <c r="F2348" s="34">
        <v>1</v>
      </c>
      <c r="G2348" s="35">
        <v>0</v>
      </c>
      <c r="H2348" s="35">
        <v>0</v>
      </c>
      <c r="I2348" s="35">
        <f>Tabla1[[#This Row],[P.U. M.N.]]*Tabla1[[#This Row],[CANTIDADES DE REFERENCIA]]</f>
        <v>0</v>
      </c>
      <c r="J2348" s="35">
        <f>Tabla1[[#This Row],[P.U. USD]]*Tabla1[[#This Row],[CANTIDADES DE REFERENCIA]]</f>
        <v>0</v>
      </c>
      <c r="K2348" s="36"/>
      <c r="L2348" s="36"/>
      <c r="M2348" s="36"/>
      <c r="N2348" s="37"/>
      <c r="O2348" s="37"/>
      <c r="P2348" s="39"/>
      <c r="Q2348" s="37" t="s">
        <v>5083</v>
      </c>
      <c r="R2348" s="37"/>
      <c r="S2348" s="37" t="s">
        <v>4687</v>
      </c>
      <c r="T2348" s="31"/>
    </row>
    <row r="2349" spans="1:20">
      <c r="A2349" s="31"/>
      <c r="B2349" s="32"/>
      <c r="C2349" s="33"/>
      <c r="D2349" s="32" t="s">
        <v>5084</v>
      </c>
      <c r="E2349" s="33" t="s">
        <v>130</v>
      </c>
      <c r="F2349" s="34">
        <v>1</v>
      </c>
      <c r="G2349" s="35">
        <v>0</v>
      </c>
      <c r="H2349" s="35">
        <v>0</v>
      </c>
      <c r="I2349" s="35">
        <f>Tabla1[[#This Row],[P.U. M.N.]]*Tabla1[[#This Row],[CANTIDADES DE REFERENCIA]]</f>
        <v>0</v>
      </c>
      <c r="J2349" s="35">
        <f>Tabla1[[#This Row],[P.U. USD]]*Tabla1[[#This Row],[CANTIDADES DE REFERENCIA]]</f>
        <v>0</v>
      </c>
      <c r="K2349" s="36"/>
      <c r="L2349" s="36"/>
      <c r="M2349" s="36"/>
      <c r="N2349" s="37"/>
      <c r="O2349" s="37"/>
      <c r="P2349" s="39"/>
      <c r="Q2349" s="37" t="s">
        <v>5085</v>
      </c>
      <c r="R2349" s="37"/>
      <c r="S2349" s="37" t="s">
        <v>4687</v>
      </c>
      <c r="T2349" s="31"/>
    </row>
    <row r="2350" spans="1:20">
      <c r="A2350" s="31"/>
      <c r="B2350" s="32"/>
      <c r="C2350" s="33"/>
      <c r="D2350" s="32" t="s">
        <v>5086</v>
      </c>
      <c r="E2350" s="33" t="s">
        <v>130</v>
      </c>
      <c r="F2350" s="34">
        <v>1</v>
      </c>
      <c r="G2350" s="35">
        <v>0</v>
      </c>
      <c r="H2350" s="35">
        <v>0</v>
      </c>
      <c r="I2350" s="35">
        <f>Tabla1[[#This Row],[P.U. M.N.]]*Tabla1[[#This Row],[CANTIDADES DE REFERENCIA]]</f>
        <v>0</v>
      </c>
      <c r="J2350" s="35">
        <f>Tabla1[[#This Row],[P.U. USD]]*Tabla1[[#This Row],[CANTIDADES DE REFERENCIA]]</f>
        <v>0</v>
      </c>
      <c r="K2350" s="36"/>
      <c r="L2350" s="36"/>
      <c r="M2350" s="36"/>
      <c r="N2350" s="37"/>
      <c r="O2350" s="37"/>
      <c r="P2350" s="39"/>
      <c r="Q2350" s="37" t="s">
        <v>5087</v>
      </c>
      <c r="R2350" s="37"/>
      <c r="S2350" s="37" t="s">
        <v>4687</v>
      </c>
      <c r="T2350" s="31"/>
    </row>
    <row r="2351" spans="1:20">
      <c r="A2351" s="31"/>
      <c r="B2351" s="32"/>
      <c r="C2351" s="33"/>
      <c r="D2351" s="32" t="s">
        <v>5088</v>
      </c>
      <c r="E2351" s="33" t="s">
        <v>130</v>
      </c>
      <c r="F2351" s="34">
        <v>1</v>
      </c>
      <c r="G2351" s="35">
        <v>0</v>
      </c>
      <c r="H2351" s="35">
        <v>0</v>
      </c>
      <c r="I2351" s="35">
        <f>Tabla1[[#This Row],[P.U. M.N.]]*Tabla1[[#This Row],[CANTIDADES DE REFERENCIA]]</f>
        <v>0</v>
      </c>
      <c r="J2351" s="35">
        <f>Tabla1[[#This Row],[P.U. USD]]*Tabla1[[#This Row],[CANTIDADES DE REFERENCIA]]</f>
        <v>0</v>
      </c>
      <c r="K2351" s="36"/>
      <c r="L2351" s="36"/>
      <c r="M2351" s="36"/>
      <c r="N2351" s="37"/>
      <c r="O2351" s="37"/>
      <c r="P2351" s="39"/>
      <c r="Q2351" s="37" t="s">
        <v>5089</v>
      </c>
      <c r="R2351" s="37"/>
      <c r="S2351" s="37" t="s">
        <v>4687</v>
      </c>
      <c r="T2351" s="31"/>
    </row>
    <row r="2352" spans="1:20">
      <c r="A2352" s="31"/>
      <c r="B2352" s="32"/>
      <c r="C2352" s="33"/>
      <c r="D2352" s="32" t="s">
        <v>5090</v>
      </c>
      <c r="E2352" s="33" t="s">
        <v>130</v>
      </c>
      <c r="F2352" s="34">
        <v>1</v>
      </c>
      <c r="G2352" s="35">
        <v>0</v>
      </c>
      <c r="H2352" s="35">
        <v>0</v>
      </c>
      <c r="I2352" s="35">
        <f>Tabla1[[#This Row],[P.U. M.N.]]*Tabla1[[#This Row],[CANTIDADES DE REFERENCIA]]</f>
        <v>0</v>
      </c>
      <c r="J2352" s="35">
        <f>Tabla1[[#This Row],[P.U. USD]]*Tabla1[[#This Row],[CANTIDADES DE REFERENCIA]]</f>
        <v>0</v>
      </c>
      <c r="K2352" s="36"/>
      <c r="L2352" s="36"/>
      <c r="M2352" s="36"/>
      <c r="N2352" s="37"/>
      <c r="O2352" s="37"/>
      <c r="P2352" s="39"/>
      <c r="Q2352" s="37" t="s">
        <v>5091</v>
      </c>
      <c r="R2352" s="37"/>
      <c r="S2352" s="37" t="s">
        <v>4687</v>
      </c>
      <c r="T2352" s="31"/>
    </row>
    <row r="2353" spans="1:20">
      <c r="A2353" s="31"/>
      <c r="B2353" s="32"/>
      <c r="C2353" s="33"/>
      <c r="D2353" s="32" t="s">
        <v>5092</v>
      </c>
      <c r="E2353" s="33" t="s">
        <v>130</v>
      </c>
      <c r="F2353" s="34">
        <v>1</v>
      </c>
      <c r="G2353" s="35">
        <v>0</v>
      </c>
      <c r="H2353" s="35">
        <v>0</v>
      </c>
      <c r="I2353" s="35">
        <f>Tabla1[[#This Row],[P.U. M.N.]]*Tabla1[[#This Row],[CANTIDADES DE REFERENCIA]]</f>
        <v>0</v>
      </c>
      <c r="J2353" s="35">
        <f>Tabla1[[#This Row],[P.U. USD]]*Tabla1[[#This Row],[CANTIDADES DE REFERENCIA]]</f>
        <v>0</v>
      </c>
      <c r="K2353" s="36"/>
      <c r="L2353" s="36"/>
      <c r="M2353" s="36"/>
      <c r="N2353" s="37"/>
      <c r="O2353" s="37"/>
      <c r="P2353" s="39"/>
      <c r="Q2353" s="37" t="s">
        <v>5093</v>
      </c>
      <c r="R2353" s="37"/>
      <c r="S2353" s="37" t="s">
        <v>4687</v>
      </c>
      <c r="T2353" s="31"/>
    </row>
    <row r="2354" spans="1:20">
      <c r="A2354" s="31"/>
      <c r="B2354" s="32"/>
      <c r="C2354" s="33"/>
      <c r="D2354" s="32" t="s">
        <v>5094</v>
      </c>
      <c r="E2354" s="33" t="s">
        <v>130</v>
      </c>
      <c r="F2354" s="34">
        <v>1</v>
      </c>
      <c r="G2354" s="35">
        <v>0</v>
      </c>
      <c r="H2354" s="35">
        <v>0</v>
      </c>
      <c r="I2354" s="35">
        <f>Tabla1[[#This Row],[P.U. M.N.]]*Tabla1[[#This Row],[CANTIDADES DE REFERENCIA]]</f>
        <v>0</v>
      </c>
      <c r="J2354" s="35">
        <f>Tabla1[[#This Row],[P.U. USD]]*Tabla1[[#This Row],[CANTIDADES DE REFERENCIA]]</f>
        <v>0</v>
      </c>
      <c r="K2354" s="36"/>
      <c r="L2354" s="36"/>
      <c r="M2354" s="36"/>
      <c r="N2354" s="37"/>
      <c r="O2354" s="37"/>
      <c r="P2354" s="39"/>
      <c r="Q2354" s="37" t="s">
        <v>5095</v>
      </c>
      <c r="R2354" s="37"/>
      <c r="S2354" s="37" t="s">
        <v>4687</v>
      </c>
      <c r="T2354" s="31"/>
    </row>
    <row r="2355" spans="1:20">
      <c r="A2355" s="31"/>
      <c r="B2355" s="32"/>
      <c r="C2355" s="33"/>
      <c r="D2355" s="32" t="s">
        <v>5096</v>
      </c>
      <c r="E2355" s="33" t="s">
        <v>130</v>
      </c>
      <c r="F2355" s="34">
        <v>1</v>
      </c>
      <c r="G2355" s="35">
        <v>0</v>
      </c>
      <c r="H2355" s="35">
        <v>0</v>
      </c>
      <c r="I2355" s="35">
        <f>Tabla1[[#This Row],[P.U. M.N.]]*Tabla1[[#This Row],[CANTIDADES DE REFERENCIA]]</f>
        <v>0</v>
      </c>
      <c r="J2355" s="35">
        <f>Tabla1[[#This Row],[P.U. USD]]*Tabla1[[#This Row],[CANTIDADES DE REFERENCIA]]</f>
        <v>0</v>
      </c>
      <c r="K2355" s="36"/>
      <c r="L2355" s="36"/>
      <c r="M2355" s="36"/>
      <c r="N2355" s="37"/>
      <c r="O2355" s="37"/>
      <c r="P2355" s="39"/>
      <c r="Q2355" s="37" t="s">
        <v>5097</v>
      </c>
      <c r="R2355" s="37"/>
      <c r="S2355" s="37" t="s">
        <v>4687</v>
      </c>
      <c r="T2355" s="31"/>
    </row>
    <row r="2356" spans="1:20">
      <c r="A2356" s="31"/>
      <c r="B2356" s="32"/>
      <c r="C2356" s="33"/>
      <c r="D2356" s="32" t="s">
        <v>5098</v>
      </c>
      <c r="E2356" s="33" t="s">
        <v>130</v>
      </c>
      <c r="F2356" s="34">
        <v>1</v>
      </c>
      <c r="G2356" s="35">
        <v>0</v>
      </c>
      <c r="H2356" s="35">
        <v>0</v>
      </c>
      <c r="I2356" s="35">
        <f>Tabla1[[#This Row],[P.U. M.N.]]*Tabla1[[#This Row],[CANTIDADES DE REFERENCIA]]</f>
        <v>0</v>
      </c>
      <c r="J2356" s="35">
        <f>Tabla1[[#This Row],[P.U. USD]]*Tabla1[[#This Row],[CANTIDADES DE REFERENCIA]]</f>
        <v>0</v>
      </c>
      <c r="K2356" s="36"/>
      <c r="L2356" s="36"/>
      <c r="M2356" s="36"/>
      <c r="N2356" s="37"/>
      <c r="O2356" s="37"/>
      <c r="P2356" s="39"/>
      <c r="Q2356" s="37" t="s">
        <v>5099</v>
      </c>
      <c r="R2356" s="37"/>
      <c r="S2356" s="37" t="s">
        <v>4687</v>
      </c>
      <c r="T2356" s="31"/>
    </row>
    <row r="2357" spans="1:20">
      <c r="A2357" s="31"/>
      <c r="B2357" s="32"/>
      <c r="C2357" s="33"/>
      <c r="D2357" s="32" t="s">
        <v>5100</v>
      </c>
      <c r="E2357" s="33" t="s">
        <v>130</v>
      </c>
      <c r="F2357" s="34">
        <v>1</v>
      </c>
      <c r="G2357" s="35">
        <v>0</v>
      </c>
      <c r="H2357" s="35">
        <v>0</v>
      </c>
      <c r="I2357" s="35">
        <f>Tabla1[[#This Row],[P.U. M.N.]]*Tabla1[[#This Row],[CANTIDADES DE REFERENCIA]]</f>
        <v>0</v>
      </c>
      <c r="J2357" s="35">
        <f>Tabla1[[#This Row],[P.U. USD]]*Tabla1[[#This Row],[CANTIDADES DE REFERENCIA]]</f>
        <v>0</v>
      </c>
      <c r="K2357" s="36"/>
      <c r="L2357" s="36"/>
      <c r="M2357" s="36"/>
      <c r="N2357" s="37"/>
      <c r="O2357" s="37"/>
      <c r="P2357" s="39"/>
      <c r="Q2357" s="37" t="s">
        <v>5101</v>
      </c>
      <c r="R2357" s="37"/>
      <c r="S2357" s="37" t="s">
        <v>4687</v>
      </c>
      <c r="T2357" s="31"/>
    </row>
    <row r="2358" spans="1:20">
      <c r="A2358" s="31"/>
      <c r="B2358" s="32"/>
      <c r="C2358" s="33"/>
      <c r="D2358" s="32" t="s">
        <v>5102</v>
      </c>
      <c r="E2358" s="33" t="s">
        <v>130</v>
      </c>
      <c r="F2358" s="34">
        <v>1</v>
      </c>
      <c r="G2358" s="35">
        <v>0</v>
      </c>
      <c r="H2358" s="35">
        <v>0</v>
      </c>
      <c r="I2358" s="35">
        <f>Tabla1[[#This Row],[P.U. M.N.]]*Tabla1[[#This Row],[CANTIDADES DE REFERENCIA]]</f>
        <v>0</v>
      </c>
      <c r="J2358" s="35">
        <f>Tabla1[[#This Row],[P.U. USD]]*Tabla1[[#This Row],[CANTIDADES DE REFERENCIA]]</f>
        <v>0</v>
      </c>
      <c r="K2358" s="36"/>
      <c r="L2358" s="36"/>
      <c r="M2358" s="36"/>
      <c r="N2358" s="37"/>
      <c r="O2358" s="37"/>
      <c r="P2358" s="39"/>
      <c r="Q2358" s="37" t="s">
        <v>5103</v>
      </c>
      <c r="R2358" s="37"/>
      <c r="S2358" s="37" t="s">
        <v>4687</v>
      </c>
      <c r="T2358" s="31"/>
    </row>
    <row r="2359" spans="1:20">
      <c r="A2359" s="31"/>
      <c r="B2359" s="32"/>
      <c r="C2359" s="33"/>
      <c r="D2359" s="32" t="s">
        <v>5104</v>
      </c>
      <c r="E2359" s="33" t="s">
        <v>130</v>
      </c>
      <c r="F2359" s="34">
        <v>1</v>
      </c>
      <c r="G2359" s="35">
        <v>0</v>
      </c>
      <c r="H2359" s="35">
        <v>0</v>
      </c>
      <c r="I2359" s="35">
        <f>Tabla1[[#This Row],[P.U. M.N.]]*Tabla1[[#This Row],[CANTIDADES DE REFERENCIA]]</f>
        <v>0</v>
      </c>
      <c r="J2359" s="35">
        <f>Tabla1[[#This Row],[P.U. USD]]*Tabla1[[#This Row],[CANTIDADES DE REFERENCIA]]</f>
        <v>0</v>
      </c>
      <c r="K2359" s="36"/>
      <c r="L2359" s="36"/>
      <c r="M2359" s="36"/>
      <c r="N2359" s="37"/>
      <c r="O2359" s="37"/>
      <c r="P2359" s="39"/>
      <c r="Q2359" s="37" t="s">
        <v>5105</v>
      </c>
      <c r="R2359" s="37"/>
      <c r="S2359" s="37" t="s">
        <v>4687</v>
      </c>
      <c r="T2359" s="31"/>
    </row>
    <row r="2360" spans="1:20">
      <c r="A2360" s="31"/>
      <c r="B2360" s="32"/>
      <c r="C2360" s="33"/>
      <c r="D2360" s="32" t="s">
        <v>5106</v>
      </c>
      <c r="E2360" s="33" t="s">
        <v>130</v>
      </c>
      <c r="F2360" s="34">
        <v>1</v>
      </c>
      <c r="G2360" s="35">
        <v>0</v>
      </c>
      <c r="H2360" s="35">
        <v>0</v>
      </c>
      <c r="I2360" s="35">
        <f>Tabla1[[#This Row],[P.U. M.N.]]*Tabla1[[#This Row],[CANTIDADES DE REFERENCIA]]</f>
        <v>0</v>
      </c>
      <c r="J2360" s="35">
        <f>Tabla1[[#This Row],[P.U. USD]]*Tabla1[[#This Row],[CANTIDADES DE REFERENCIA]]</f>
        <v>0</v>
      </c>
      <c r="K2360" s="36"/>
      <c r="L2360" s="36"/>
      <c r="M2360" s="36"/>
      <c r="N2360" s="37"/>
      <c r="O2360" s="37"/>
      <c r="P2360" s="39"/>
      <c r="Q2360" s="37" t="s">
        <v>5107</v>
      </c>
      <c r="R2360" s="37"/>
      <c r="S2360" s="37" t="s">
        <v>4687</v>
      </c>
      <c r="T2360" s="31"/>
    </row>
    <row r="2361" spans="1:20">
      <c r="A2361" s="31"/>
      <c r="B2361" s="32"/>
      <c r="C2361" s="33"/>
      <c r="D2361" s="32" t="s">
        <v>5108</v>
      </c>
      <c r="E2361" s="33" t="s">
        <v>130</v>
      </c>
      <c r="F2361" s="34">
        <v>1</v>
      </c>
      <c r="G2361" s="35">
        <v>0</v>
      </c>
      <c r="H2361" s="35">
        <v>0</v>
      </c>
      <c r="I2361" s="35">
        <f>Tabla1[[#This Row],[P.U. M.N.]]*Tabla1[[#This Row],[CANTIDADES DE REFERENCIA]]</f>
        <v>0</v>
      </c>
      <c r="J2361" s="35">
        <f>Tabla1[[#This Row],[P.U. USD]]*Tabla1[[#This Row],[CANTIDADES DE REFERENCIA]]</f>
        <v>0</v>
      </c>
      <c r="K2361" s="36"/>
      <c r="L2361" s="36"/>
      <c r="M2361" s="36"/>
      <c r="N2361" s="37"/>
      <c r="O2361" s="37"/>
      <c r="P2361" s="39"/>
      <c r="Q2361" s="37" t="s">
        <v>5109</v>
      </c>
      <c r="R2361" s="37"/>
      <c r="S2361" s="37" t="s">
        <v>4687</v>
      </c>
      <c r="T2361" s="31"/>
    </row>
    <row r="2362" spans="1:20">
      <c r="A2362" s="31"/>
      <c r="B2362" s="32"/>
      <c r="C2362" s="33"/>
      <c r="D2362" s="32" t="s">
        <v>5110</v>
      </c>
      <c r="E2362" s="33" t="s">
        <v>130</v>
      </c>
      <c r="F2362" s="34">
        <v>1</v>
      </c>
      <c r="G2362" s="35">
        <v>0</v>
      </c>
      <c r="H2362" s="35">
        <v>0</v>
      </c>
      <c r="I2362" s="35">
        <f>Tabla1[[#This Row],[P.U. M.N.]]*Tabla1[[#This Row],[CANTIDADES DE REFERENCIA]]</f>
        <v>0</v>
      </c>
      <c r="J2362" s="35">
        <f>Tabla1[[#This Row],[P.U. USD]]*Tabla1[[#This Row],[CANTIDADES DE REFERENCIA]]</f>
        <v>0</v>
      </c>
      <c r="K2362" s="36"/>
      <c r="L2362" s="36"/>
      <c r="M2362" s="36"/>
      <c r="N2362" s="37"/>
      <c r="O2362" s="37"/>
      <c r="P2362" s="39"/>
      <c r="Q2362" s="37" t="s">
        <v>5111</v>
      </c>
      <c r="R2362" s="37"/>
      <c r="S2362" s="37" t="s">
        <v>4687</v>
      </c>
      <c r="T2362" s="31"/>
    </row>
    <row r="2363" spans="1:20">
      <c r="A2363" s="31"/>
      <c r="B2363" s="32"/>
      <c r="C2363" s="33"/>
      <c r="D2363" s="32" t="s">
        <v>5112</v>
      </c>
      <c r="E2363" s="33" t="s">
        <v>130</v>
      </c>
      <c r="F2363" s="34">
        <v>1</v>
      </c>
      <c r="G2363" s="35">
        <v>0</v>
      </c>
      <c r="H2363" s="35">
        <v>0</v>
      </c>
      <c r="I2363" s="35">
        <f>Tabla1[[#This Row],[P.U. M.N.]]*Tabla1[[#This Row],[CANTIDADES DE REFERENCIA]]</f>
        <v>0</v>
      </c>
      <c r="J2363" s="35">
        <f>Tabla1[[#This Row],[P.U. USD]]*Tabla1[[#This Row],[CANTIDADES DE REFERENCIA]]</f>
        <v>0</v>
      </c>
      <c r="K2363" s="36"/>
      <c r="L2363" s="36"/>
      <c r="M2363" s="36"/>
      <c r="N2363" s="37"/>
      <c r="O2363" s="37"/>
      <c r="P2363" s="39"/>
      <c r="Q2363" s="37" t="s">
        <v>5113</v>
      </c>
      <c r="R2363" s="37"/>
      <c r="S2363" s="37" t="s">
        <v>4687</v>
      </c>
      <c r="T2363" s="31"/>
    </row>
    <row r="2364" spans="1:20">
      <c r="A2364" s="31"/>
      <c r="B2364" s="32"/>
      <c r="C2364" s="33"/>
      <c r="D2364" s="32" t="s">
        <v>5114</v>
      </c>
      <c r="E2364" s="33" t="s">
        <v>130</v>
      </c>
      <c r="F2364" s="34">
        <v>1</v>
      </c>
      <c r="G2364" s="35">
        <v>0</v>
      </c>
      <c r="H2364" s="35">
        <v>0</v>
      </c>
      <c r="I2364" s="35">
        <f>Tabla1[[#This Row],[P.U. M.N.]]*Tabla1[[#This Row],[CANTIDADES DE REFERENCIA]]</f>
        <v>0</v>
      </c>
      <c r="J2364" s="35">
        <f>Tabla1[[#This Row],[P.U. USD]]*Tabla1[[#This Row],[CANTIDADES DE REFERENCIA]]</f>
        <v>0</v>
      </c>
      <c r="K2364" s="36"/>
      <c r="L2364" s="36"/>
      <c r="M2364" s="36"/>
      <c r="N2364" s="37"/>
      <c r="O2364" s="37"/>
      <c r="P2364" s="39"/>
      <c r="Q2364" s="37" t="s">
        <v>5115</v>
      </c>
      <c r="R2364" s="37"/>
      <c r="S2364" s="37" t="s">
        <v>4687</v>
      </c>
      <c r="T2364" s="31"/>
    </row>
    <row r="2365" spans="1:20">
      <c r="A2365" s="31"/>
      <c r="B2365" s="32"/>
      <c r="C2365" s="33"/>
      <c r="D2365" s="32" t="s">
        <v>5116</v>
      </c>
      <c r="E2365" s="33" t="s">
        <v>130</v>
      </c>
      <c r="F2365" s="34">
        <v>1</v>
      </c>
      <c r="G2365" s="35">
        <v>0</v>
      </c>
      <c r="H2365" s="35">
        <v>0</v>
      </c>
      <c r="I2365" s="35">
        <f>Tabla1[[#This Row],[P.U. M.N.]]*Tabla1[[#This Row],[CANTIDADES DE REFERENCIA]]</f>
        <v>0</v>
      </c>
      <c r="J2365" s="35">
        <f>Tabla1[[#This Row],[P.U. USD]]*Tabla1[[#This Row],[CANTIDADES DE REFERENCIA]]</f>
        <v>0</v>
      </c>
      <c r="K2365" s="36"/>
      <c r="L2365" s="36"/>
      <c r="M2365" s="36"/>
      <c r="N2365" s="37"/>
      <c r="O2365" s="37"/>
      <c r="P2365" s="39"/>
      <c r="Q2365" s="37" t="s">
        <v>5117</v>
      </c>
      <c r="R2365" s="37"/>
      <c r="S2365" s="37" t="s">
        <v>4687</v>
      </c>
      <c r="T2365" s="31"/>
    </row>
    <row r="2366" spans="1:20">
      <c r="A2366" s="31"/>
      <c r="B2366" s="32"/>
      <c r="C2366" s="33"/>
      <c r="D2366" s="32" t="s">
        <v>5118</v>
      </c>
      <c r="E2366" s="33" t="s">
        <v>130</v>
      </c>
      <c r="F2366" s="34">
        <v>1</v>
      </c>
      <c r="G2366" s="35">
        <v>0</v>
      </c>
      <c r="H2366" s="35">
        <v>0</v>
      </c>
      <c r="I2366" s="35">
        <f>Tabla1[[#This Row],[P.U. M.N.]]*Tabla1[[#This Row],[CANTIDADES DE REFERENCIA]]</f>
        <v>0</v>
      </c>
      <c r="J2366" s="35">
        <f>Tabla1[[#This Row],[P.U. USD]]*Tabla1[[#This Row],[CANTIDADES DE REFERENCIA]]</f>
        <v>0</v>
      </c>
      <c r="K2366" s="36"/>
      <c r="L2366" s="36"/>
      <c r="M2366" s="36"/>
      <c r="N2366" s="37"/>
      <c r="O2366" s="37"/>
      <c r="P2366" s="39"/>
      <c r="Q2366" s="37" t="s">
        <v>5119</v>
      </c>
      <c r="R2366" s="37"/>
      <c r="S2366" s="37" t="s">
        <v>4687</v>
      </c>
      <c r="T2366" s="31"/>
    </row>
    <row r="2367" spans="1:20">
      <c r="A2367" s="31"/>
      <c r="B2367" s="32"/>
      <c r="C2367" s="33"/>
      <c r="D2367" s="32" t="s">
        <v>5120</v>
      </c>
      <c r="E2367" s="33" t="s">
        <v>42</v>
      </c>
      <c r="F2367" s="34">
        <v>1</v>
      </c>
      <c r="G2367" s="35">
        <v>0</v>
      </c>
      <c r="H2367" s="35">
        <v>0</v>
      </c>
      <c r="I2367" s="35">
        <f>Tabla1[[#This Row],[P.U. M.N.]]*Tabla1[[#This Row],[CANTIDADES DE REFERENCIA]]</f>
        <v>0</v>
      </c>
      <c r="J2367" s="35">
        <f>Tabla1[[#This Row],[P.U. USD]]*Tabla1[[#This Row],[CANTIDADES DE REFERENCIA]]</f>
        <v>0</v>
      </c>
      <c r="K2367" s="36"/>
      <c r="L2367" s="36"/>
      <c r="M2367" s="36"/>
      <c r="N2367" s="37"/>
      <c r="O2367" s="37"/>
      <c r="P2367" s="39"/>
      <c r="Q2367" s="37" t="s">
        <v>5121</v>
      </c>
      <c r="R2367" s="37"/>
      <c r="S2367" s="37" t="s">
        <v>4687</v>
      </c>
      <c r="T2367" s="31"/>
    </row>
    <row r="2368" spans="1:20">
      <c r="A2368" s="31"/>
      <c r="B2368" s="32"/>
      <c r="C2368" s="33"/>
      <c r="D2368" s="32" t="s">
        <v>5122</v>
      </c>
      <c r="E2368" s="33" t="s">
        <v>130</v>
      </c>
      <c r="F2368" s="34">
        <v>1</v>
      </c>
      <c r="G2368" s="35">
        <v>0</v>
      </c>
      <c r="H2368" s="35">
        <v>0</v>
      </c>
      <c r="I2368" s="35">
        <f>Tabla1[[#This Row],[P.U. M.N.]]*Tabla1[[#This Row],[CANTIDADES DE REFERENCIA]]</f>
        <v>0</v>
      </c>
      <c r="J2368" s="35">
        <f>Tabla1[[#This Row],[P.U. USD]]*Tabla1[[#This Row],[CANTIDADES DE REFERENCIA]]</f>
        <v>0</v>
      </c>
      <c r="K2368" s="36"/>
      <c r="L2368" s="36"/>
      <c r="M2368" s="36"/>
      <c r="N2368" s="37"/>
      <c r="O2368" s="37"/>
      <c r="P2368" s="39"/>
      <c r="Q2368" s="37" t="s">
        <v>5123</v>
      </c>
      <c r="R2368" s="37"/>
      <c r="S2368" s="37" t="s">
        <v>4687</v>
      </c>
      <c r="T2368" s="31"/>
    </row>
    <row r="2369" spans="1:20">
      <c r="A2369" s="31"/>
      <c r="B2369" s="32"/>
      <c r="C2369" s="33"/>
      <c r="D2369" s="32" t="s">
        <v>5124</v>
      </c>
      <c r="E2369" s="33" t="s">
        <v>130</v>
      </c>
      <c r="F2369" s="34">
        <v>1</v>
      </c>
      <c r="G2369" s="35">
        <v>0</v>
      </c>
      <c r="H2369" s="35">
        <v>0</v>
      </c>
      <c r="I2369" s="35">
        <f>Tabla1[[#This Row],[P.U. M.N.]]*Tabla1[[#This Row],[CANTIDADES DE REFERENCIA]]</f>
        <v>0</v>
      </c>
      <c r="J2369" s="35">
        <f>Tabla1[[#This Row],[P.U. USD]]*Tabla1[[#This Row],[CANTIDADES DE REFERENCIA]]</f>
        <v>0</v>
      </c>
      <c r="K2369" s="36"/>
      <c r="L2369" s="36"/>
      <c r="M2369" s="36"/>
      <c r="N2369" s="37"/>
      <c r="O2369" s="37"/>
      <c r="P2369" s="39"/>
      <c r="Q2369" s="37" t="s">
        <v>5125</v>
      </c>
      <c r="R2369" s="37"/>
      <c r="S2369" s="37" t="s">
        <v>4687</v>
      </c>
      <c r="T2369" s="31"/>
    </row>
    <row r="2370" spans="1:20">
      <c r="A2370" s="31"/>
      <c r="B2370" s="32"/>
      <c r="C2370" s="33"/>
      <c r="D2370" s="32" t="s">
        <v>5126</v>
      </c>
      <c r="E2370" s="33" t="s">
        <v>130</v>
      </c>
      <c r="F2370" s="34">
        <v>1</v>
      </c>
      <c r="G2370" s="35">
        <v>0</v>
      </c>
      <c r="H2370" s="35">
        <v>0</v>
      </c>
      <c r="I2370" s="35">
        <f>Tabla1[[#This Row],[P.U. M.N.]]*Tabla1[[#This Row],[CANTIDADES DE REFERENCIA]]</f>
        <v>0</v>
      </c>
      <c r="J2370" s="35">
        <f>Tabla1[[#This Row],[P.U. USD]]*Tabla1[[#This Row],[CANTIDADES DE REFERENCIA]]</f>
        <v>0</v>
      </c>
      <c r="K2370" s="36"/>
      <c r="L2370" s="36"/>
      <c r="M2370" s="36"/>
      <c r="N2370" s="37"/>
      <c r="O2370" s="37"/>
      <c r="P2370" s="39"/>
      <c r="Q2370" s="37" t="s">
        <v>5127</v>
      </c>
      <c r="R2370" s="37"/>
      <c r="S2370" s="37" t="s">
        <v>4687</v>
      </c>
      <c r="T2370" s="31"/>
    </row>
    <row r="2371" spans="1:20">
      <c r="A2371" s="31"/>
      <c r="B2371" s="32"/>
      <c r="C2371" s="33"/>
      <c r="D2371" s="32" t="s">
        <v>5128</v>
      </c>
      <c r="E2371" s="33" t="s">
        <v>130</v>
      </c>
      <c r="F2371" s="34">
        <v>1</v>
      </c>
      <c r="G2371" s="35">
        <v>0</v>
      </c>
      <c r="H2371" s="35">
        <v>0</v>
      </c>
      <c r="I2371" s="35">
        <f>Tabla1[[#This Row],[P.U. M.N.]]*Tabla1[[#This Row],[CANTIDADES DE REFERENCIA]]</f>
        <v>0</v>
      </c>
      <c r="J2371" s="35">
        <f>Tabla1[[#This Row],[P.U. USD]]*Tabla1[[#This Row],[CANTIDADES DE REFERENCIA]]</f>
        <v>0</v>
      </c>
      <c r="K2371" s="36"/>
      <c r="L2371" s="36"/>
      <c r="M2371" s="36"/>
      <c r="N2371" s="37"/>
      <c r="O2371" s="37"/>
      <c r="P2371" s="39"/>
      <c r="Q2371" s="37" t="s">
        <v>5129</v>
      </c>
      <c r="R2371" s="37"/>
      <c r="S2371" s="37" t="s">
        <v>4687</v>
      </c>
      <c r="T2371" s="31"/>
    </row>
    <row r="2372" spans="1:20">
      <c r="A2372" s="31"/>
      <c r="B2372" s="32"/>
      <c r="C2372" s="33"/>
      <c r="D2372" s="32" t="s">
        <v>5130</v>
      </c>
      <c r="E2372" s="33" t="s">
        <v>130</v>
      </c>
      <c r="F2372" s="34">
        <v>1</v>
      </c>
      <c r="G2372" s="35">
        <v>0</v>
      </c>
      <c r="H2372" s="35">
        <v>0</v>
      </c>
      <c r="I2372" s="35">
        <f>Tabla1[[#This Row],[P.U. M.N.]]*Tabla1[[#This Row],[CANTIDADES DE REFERENCIA]]</f>
        <v>0</v>
      </c>
      <c r="J2372" s="35">
        <f>Tabla1[[#This Row],[P.U. USD]]*Tabla1[[#This Row],[CANTIDADES DE REFERENCIA]]</f>
        <v>0</v>
      </c>
      <c r="K2372" s="36"/>
      <c r="L2372" s="36"/>
      <c r="M2372" s="36"/>
      <c r="N2372" s="37"/>
      <c r="O2372" s="37"/>
      <c r="P2372" s="39"/>
      <c r="Q2372" s="37" t="s">
        <v>5131</v>
      </c>
      <c r="R2372" s="37"/>
      <c r="S2372" s="37" t="s">
        <v>4687</v>
      </c>
      <c r="T2372" s="31"/>
    </row>
    <row r="2373" spans="1:20">
      <c r="A2373" s="31"/>
      <c r="B2373" s="32"/>
      <c r="C2373" s="33"/>
      <c r="D2373" s="32" t="s">
        <v>5132</v>
      </c>
      <c r="E2373" s="33" t="s">
        <v>130</v>
      </c>
      <c r="F2373" s="34">
        <v>1</v>
      </c>
      <c r="G2373" s="35">
        <v>0</v>
      </c>
      <c r="H2373" s="35">
        <v>0</v>
      </c>
      <c r="I2373" s="35">
        <f>Tabla1[[#This Row],[P.U. M.N.]]*Tabla1[[#This Row],[CANTIDADES DE REFERENCIA]]</f>
        <v>0</v>
      </c>
      <c r="J2373" s="35">
        <f>Tabla1[[#This Row],[P.U. USD]]*Tabla1[[#This Row],[CANTIDADES DE REFERENCIA]]</f>
        <v>0</v>
      </c>
      <c r="K2373" s="36"/>
      <c r="L2373" s="36"/>
      <c r="M2373" s="36"/>
      <c r="N2373" s="37"/>
      <c r="O2373" s="37"/>
      <c r="P2373" s="39"/>
      <c r="Q2373" s="37" t="s">
        <v>5133</v>
      </c>
      <c r="R2373" s="37"/>
      <c r="S2373" s="37" t="s">
        <v>4687</v>
      </c>
      <c r="T2373" s="31"/>
    </row>
    <row r="2374" spans="1:20">
      <c r="A2374" s="31"/>
      <c r="B2374" s="32"/>
      <c r="C2374" s="33"/>
      <c r="D2374" s="32" t="s">
        <v>5134</v>
      </c>
      <c r="E2374" s="33" t="s">
        <v>130</v>
      </c>
      <c r="F2374" s="34">
        <v>1</v>
      </c>
      <c r="G2374" s="35">
        <v>0</v>
      </c>
      <c r="H2374" s="35">
        <v>0</v>
      </c>
      <c r="I2374" s="35">
        <f>Tabla1[[#This Row],[P.U. M.N.]]*Tabla1[[#This Row],[CANTIDADES DE REFERENCIA]]</f>
        <v>0</v>
      </c>
      <c r="J2374" s="35">
        <f>Tabla1[[#This Row],[P.U. USD]]*Tabla1[[#This Row],[CANTIDADES DE REFERENCIA]]</f>
        <v>0</v>
      </c>
      <c r="K2374" s="36"/>
      <c r="L2374" s="36"/>
      <c r="M2374" s="36"/>
      <c r="N2374" s="37"/>
      <c r="O2374" s="37"/>
      <c r="P2374" s="39"/>
      <c r="Q2374" s="37" t="s">
        <v>5135</v>
      </c>
      <c r="R2374" s="37"/>
      <c r="S2374" s="37" t="s">
        <v>4687</v>
      </c>
      <c r="T2374" s="31"/>
    </row>
    <row r="2375" spans="1:20">
      <c r="A2375" s="31"/>
      <c r="B2375" s="32"/>
      <c r="C2375" s="33"/>
      <c r="D2375" s="32" t="s">
        <v>5136</v>
      </c>
      <c r="E2375" s="33" t="s">
        <v>130</v>
      </c>
      <c r="F2375" s="34">
        <v>1</v>
      </c>
      <c r="G2375" s="35">
        <v>0</v>
      </c>
      <c r="H2375" s="35">
        <v>0</v>
      </c>
      <c r="I2375" s="35">
        <f>Tabla1[[#This Row],[P.U. M.N.]]*Tabla1[[#This Row],[CANTIDADES DE REFERENCIA]]</f>
        <v>0</v>
      </c>
      <c r="J2375" s="35">
        <f>Tabla1[[#This Row],[P.U. USD]]*Tabla1[[#This Row],[CANTIDADES DE REFERENCIA]]</f>
        <v>0</v>
      </c>
      <c r="K2375" s="36"/>
      <c r="L2375" s="36"/>
      <c r="M2375" s="36"/>
      <c r="N2375" s="37"/>
      <c r="O2375" s="37"/>
      <c r="P2375" s="39"/>
      <c r="Q2375" s="37" t="s">
        <v>5137</v>
      </c>
      <c r="R2375" s="37"/>
      <c r="S2375" s="37" t="s">
        <v>4687</v>
      </c>
      <c r="T2375" s="31"/>
    </row>
    <row r="2376" spans="1:20">
      <c r="A2376" s="31"/>
      <c r="B2376" s="32"/>
      <c r="C2376" s="33"/>
      <c r="D2376" s="32" t="s">
        <v>5138</v>
      </c>
      <c r="E2376" s="33" t="s">
        <v>130</v>
      </c>
      <c r="F2376" s="34">
        <v>1</v>
      </c>
      <c r="G2376" s="35">
        <v>0</v>
      </c>
      <c r="H2376" s="35">
        <v>0</v>
      </c>
      <c r="I2376" s="35">
        <f>Tabla1[[#This Row],[P.U. M.N.]]*Tabla1[[#This Row],[CANTIDADES DE REFERENCIA]]</f>
        <v>0</v>
      </c>
      <c r="J2376" s="35">
        <f>Tabla1[[#This Row],[P.U. USD]]*Tabla1[[#This Row],[CANTIDADES DE REFERENCIA]]</f>
        <v>0</v>
      </c>
      <c r="K2376" s="36"/>
      <c r="L2376" s="36"/>
      <c r="M2376" s="36"/>
      <c r="N2376" s="37"/>
      <c r="O2376" s="37"/>
      <c r="P2376" s="39"/>
      <c r="Q2376" s="37" t="s">
        <v>5139</v>
      </c>
      <c r="R2376" s="37"/>
      <c r="S2376" s="37" t="s">
        <v>4687</v>
      </c>
      <c r="T2376" s="31"/>
    </row>
    <row r="2377" spans="1:20">
      <c r="A2377" s="31"/>
      <c r="B2377" s="32"/>
      <c r="C2377" s="33"/>
      <c r="D2377" s="32" t="s">
        <v>5140</v>
      </c>
      <c r="E2377" s="33" t="s">
        <v>1058</v>
      </c>
      <c r="F2377" s="34">
        <v>1</v>
      </c>
      <c r="G2377" s="35">
        <v>0</v>
      </c>
      <c r="H2377" s="35">
        <v>0</v>
      </c>
      <c r="I2377" s="35">
        <f>Tabla1[[#This Row],[P.U. M.N.]]*Tabla1[[#This Row],[CANTIDADES DE REFERENCIA]]</f>
        <v>0</v>
      </c>
      <c r="J2377" s="35">
        <f>Tabla1[[#This Row],[P.U. USD]]*Tabla1[[#This Row],[CANTIDADES DE REFERENCIA]]</f>
        <v>0</v>
      </c>
      <c r="K2377" s="36"/>
      <c r="L2377" s="36"/>
      <c r="M2377" s="36"/>
      <c r="N2377" s="37"/>
      <c r="O2377" s="37"/>
      <c r="P2377" s="39"/>
      <c r="Q2377" s="37" t="s">
        <v>5141</v>
      </c>
      <c r="R2377" s="37"/>
      <c r="S2377" s="37" t="s">
        <v>4687</v>
      </c>
      <c r="T2377" s="31"/>
    </row>
    <row r="2378" spans="1:20">
      <c r="A2378" s="31"/>
      <c r="B2378" s="32"/>
      <c r="C2378" s="33"/>
      <c r="D2378" s="32" t="s">
        <v>5142</v>
      </c>
      <c r="E2378" s="33" t="s">
        <v>1058</v>
      </c>
      <c r="F2378" s="34">
        <v>1</v>
      </c>
      <c r="G2378" s="35">
        <v>0</v>
      </c>
      <c r="H2378" s="35">
        <v>0</v>
      </c>
      <c r="I2378" s="35">
        <f>Tabla1[[#This Row],[P.U. M.N.]]*Tabla1[[#This Row],[CANTIDADES DE REFERENCIA]]</f>
        <v>0</v>
      </c>
      <c r="J2378" s="35">
        <f>Tabla1[[#This Row],[P.U. USD]]*Tabla1[[#This Row],[CANTIDADES DE REFERENCIA]]</f>
        <v>0</v>
      </c>
      <c r="K2378" s="36"/>
      <c r="L2378" s="36"/>
      <c r="M2378" s="36"/>
      <c r="N2378" s="37"/>
      <c r="O2378" s="37"/>
      <c r="P2378" s="39"/>
      <c r="Q2378" s="37" t="s">
        <v>5143</v>
      </c>
      <c r="R2378" s="37"/>
      <c r="S2378" s="37" t="s">
        <v>4687</v>
      </c>
      <c r="T2378" s="31"/>
    </row>
    <row r="2379" spans="1:20">
      <c r="A2379" s="31"/>
      <c r="B2379" s="32"/>
      <c r="C2379" s="33"/>
      <c r="D2379" s="32" t="s">
        <v>5144</v>
      </c>
      <c r="E2379" s="33" t="s">
        <v>130</v>
      </c>
      <c r="F2379" s="34">
        <v>1</v>
      </c>
      <c r="G2379" s="35">
        <v>0</v>
      </c>
      <c r="H2379" s="35">
        <v>0</v>
      </c>
      <c r="I2379" s="35">
        <f>Tabla1[[#This Row],[P.U. M.N.]]*Tabla1[[#This Row],[CANTIDADES DE REFERENCIA]]</f>
        <v>0</v>
      </c>
      <c r="J2379" s="35">
        <f>Tabla1[[#This Row],[P.U. USD]]*Tabla1[[#This Row],[CANTIDADES DE REFERENCIA]]</f>
        <v>0</v>
      </c>
      <c r="K2379" s="36"/>
      <c r="L2379" s="36"/>
      <c r="M2379" s="36"/>
      <c r="N2379" s="37"/>
      <c r="O2379" s="37"/>
      <c r="P2379" s="39"/>
      <c r="Q2379" s="37" t="s">
        <v>5145</v>
      </c>
      <c r="R2379" s="37"/>
      <c r="S2379" s="37" t="s">
        <v>4687</v>
      </c>
      <c r="T2379" s="31"/>
    </row>
    <row r="2380" spans="1:20">
      <c r="A2380" s="31"/>
      <c r="B2380" s="32"/>
      <c r="C2380" s="33"/>
      <c r="D2380" s="32" t="s">
        <v>5146</v>
      </c>
      <c r="E2380" s="33" t="s">
        <v>130</v>
      </c>
      <c r="F2380" s="34">
        <v>1</v>
      </c>
      <c r="G2380" s="35">
        <v>0</v>
      </c>
      <c r="H2380" s="35">
        <v>0</v>
      </c>
      <c r="I2380" s="35">
        <f>Tabla1[[#This Row],[P.U. M.N.]]*Tabla1[[#This Row],[CANTIDADES DE REFERENCIA]]</f>
        <v>0</v>
      </c>
      <c r="J2380" s="35">
        <f>Tabla1[[#This Row],[P.U. USD]]*Tabla1[[#This Row],[CANTIDADES DE REFERENCIA]]</f>
        <v>0</v>
      </c>
      <c r="K2380" s="36"/>
      <c r="L2380" s="36"/>
      <c r="M2380" s="36"/>
      <c r="N2380" s="37"/>
      <c r="O2380" s="37"/>
      <c r="P2380" s="39"/>
      <c r="Q2380" s="37" t="s">
        <v>5147</v>
      </c>
      <c r="R2380" s="37"/>
      <c r="S2380" s="37" t="s">
        <v>4687</v>
      </c>
      <c r="T2380" s="31"/>
    </row>
    <row r="2381" spans="1:20">
      <c r="A2381" s="31"/>
      <c r="B2381" s="32"/>
      <c r="C2381" s="33"/>
      <c r="D2381" s="32" t="s">
        <v>5148</v>
      </c>
      <c r="E2381" s="33" t="s">
        <v>130</v>
      </c>
      <c r="F2381" s="34">
        <v>1</v>
      </c>
      <c r="G2381" s="35">
        <v>0</v>
      </c>
      <c r="H2381" s="35">
        <v>0</v>
      </c>
      <c r="I2381" s="35">
        <f>Tabla1[[#This Row],[P.U. M.N.]]*Tabla1[[#This Row],[CANTIDADES DE REFERENCIA]]</f>
        <v>0</v>
      </c>
      <c r="J2381" s="35">
        <f>Tabla1[[#This Row],[P.U. USD]]*Tabla1[[#This Row],[CANTIDADES DE REFERENCIA]]</f>
        <v>0</v>
      </c>
      <c r="K2381" s="36"/>
      <c r="L2381" s="36"/>
      <c r="M2381" s="36"/>
      <c r="N2381" s="37"/>
      <c r="O2381" s="37"/>
      <c r="P2381" s="39"/>
      <c r="Q2381" s="37" t="s">
        <v>5149</v>
      </c>
      <c r="R2381" s="37"/>
      <c r="S2381" s="37" t="s">
        <v>4687</v>
      </c>
      <c r="T2381" s="31"/>
    </row>
    <row r="2382" spans="1:20">
      <c r="A2382" s="31"/>
      <c r="B2382" s="32"/>
      <c r="C2382" s="33"/>
      <c r="D2382" s="32" t="s">
        <v>5150</v>
      </c>
      <c r="E2382" s="33" t="s">
        <v>5151</v>
      </c>
      <c r="F2382" s="34">
        <v>1</v>
      </c>
      <c r="G2382" s="35">
        <v>0</v>
      </c>
      <c r="H2382" s="35">
        <v>0</v>
      </c>
      <c r="I2382" s="35">
        <f>Tabla1[[#This Row],[P.U. M.N.]]*Tabla1[[#This Row],[CANTIDADES DE REFERENCIA]]</f>
        <v>0</v>
      </c>
      <c r="J2382" s="35">
        <f>Tabla1[[#This Row],[P.U. USD]]*Tabla1[[#This Row],[CANTIDADES DE REFERENCIA]]</f>
        <v>0</v>
      </c>
      <c r="K2382" s="36"/>
      <c r="L2382" s="36"/>
      <c r="M2382" s="36"/>
      <c r="N2382" s="37"/>
      <c r="O2382" s="37"/>
      <c r="P2382" s="39"/>
      <c r="Q2382" s="37" t="s">
        <v>5152</v>
      </c>
      <c r="R2382" s="37"/>
      <c r="S2382" s="37" t="s">
        <v>4687</v>
      </c>
      <c r="T2382" s="31"/>
    </row>
    <row r="2383" spans="1:20">
      <c r="A2383" s="31"/>
      <c r="B2383" s="32"/>
      <c r="C2383" s="33"/>
      <c r="D2383" s="32" t="s">
        <v>5153</v>
      </c>
      <c r="E2383" s="33" t="s">
        <v>1058</v>
      </c>
      <c r="F2383" s="34">
        <v>1</v>
      </c>
      <c r="G2383" s="35">
        <v>0</v>
      </c>
      <c r="H2383" s="35">
        <v>0</v>
      </c>
      <c r="I2383" s="35">
        <f>Tabla1[[#This Row],[P.U. M.N.]]*Tabla1[[#This Row],[CANTIDADES DE REFERENCIA]]</f>
        <v>0</v>
      </c>
      <c r="J2383" s="35">
        <f>Tabla1[[#This Row],[P.U. USD]]*Tabla1[[#This Row],[CANTIDADES DE REFERENCIA]]</f>
        <v>0</v>
      </c>
      <c r="K2383" s="36"/>
      <c r="L2383" s="36"/>
      <c r="M2383" s="36"/>
      <c r="N2383" s="37"/>
      <c r="O2383" s="37"/>
      <c r="P2383" s="39"/>
      <c r="Q2383" s="37" t="s">
        <v>5154</v>
      </c>
      <c r="R2383" s="37"/>
      <c r="S2383" s="37" t="s">
        <v>4687</v>
      </c>
      <c r="T2383" s="31"/>
    </row>
    <row r="2384" spans="1:20">
      <c r="A2384" s="31"/>
      <c r="B2384" s="32"/>
      <c r="C2384" s="33"/>
      <c r="D2384" s="32" t="s">
        <v>5155</v>
      </c>
      <c r="E2384" s="33" t="s">
        <v>1058</v>
      </c>
      <c r="F2384" s="34">
        <v>1</v>
      </c>
      <c r="G2384" s="35">
        <v>0</v>
      </c>
      <c r="H2384" s="35">
        <v>0</v>
      </c>
      <c r="I2384" s="35">
        <f>Tabla1[[#This Row],[P.U. M.N.]]*Tabla1[[#This Row],[CANTIDADES DE REFERENCIA]]</f>
        <v>0</v>
      </c>
      <c r="J2384" s="35">
        <f>Tabla1[[#This Row],[P.U. USD]]*Tabla1[[#This Row],[CANTIDADES DE REFERENCIA]]</f>
        <v>0</v>
      </c>
      <c r="K2384" s="36"/>
      <c r="L2384" s="36"/>
      <c r="M2384" s="36"/>
      <c r="N2384" s="37"/>
      <c r="O2384" s="37"/>
      <c r="P2384" s="39"/>
      <c r="Q2384" s="37" t="s">
        <v>5156</v>
      </c>
      <c r="R2384" s="37"/>
      <c r="S2384" s="37" t="s">
        <v>4687</v>
      </c>
      <c r="T2384" s="31"/>
    </row>
    <row r="2385" spans="1:20">
      <c r="A2385" s="31"/>
      <c r="B2385" s="32"/>
      <c r="C2385" s="33"/>
      <c r="D2385" s="32" t="s">
        <v>5157</v>
      </c>
      <c r="E2385" s="33" t="s">
        <v>130</v>
      </c>
      <c r="F2385" s="34">
        <v>1</v>
      </c>
      <c r="G2385" s="35">
        <v>0</v>
      </c>
      <c r="H2385" s="35">
        <v>0</v>
      </c>
      <c r="I2385" s="35">
        <f>Tabla1[[#This Row],[P.U. M.N.]]*Tabla1[[#This Row],[CANTIDADES DE REFERENCIA]]</f>
        <v>0</v>
      </c>
      <c r="J2385" s="35">
        <f>Tabla1[[#This Row],[P.U. USD]]*Tabla1[[#This Row],[CANTIDADES DE REFERENCIA]]</f>
        <v>0</v>
      </c>
      <c r="K2385" s="36"/>
      <c r="L2385" s="36"/>
      <c r="M2385" s="36"/>
      <c r="N2385" s="37"/>
      <c r="O2385" s="37"/>
      <c r="P2385" s="39"/>
      <c r="Q2385" s="37" t="s">
        <v>5158</v>
      </c>
      <c r="R2385" s="37"/>
      <c r="S2385" s="37" t="s">
        <v>4687</v>
      </c>
      <c r="T2385" s="31"/>
    </row>
    <row r="2386" spans="1:20">
      <c r="A2386" s="31"/>
      <c r="B2386" s="32"/>
      <c r="C2386" s="33"/>
      <c r="D2386" s="32" t="s">
        <v>5159</v>
      </c>
      <c r="E2386" s="33" t="s">
        <v>130</v>
      </c>
      <c r="F2386" s="34">
        <v>1</v>
      </c>
      <c r="G2386" s="35">
        <v>0</v>
      </c>
      <c r="H2386" s="35">
        <v>0</v>
      </c>
      <c r="I2386" s="35">
        <f>Tabla1[[#This Row],[P.U. M.N.]]*Tabla1[[#This Row],[CANTIDADES DE REFERENCIA]]</f>
        <v>0</v>
      </c>
      <c r="J2386" s="35">
        <f>Tabla1[[#This Row],[P.U. USD]]*Tabla1[[#This Row],[CANTIDADES DE REFERENCIA]]</f>
        <v>0</v>
      </c>
      <c r="K2386" s="36"/>
      <c r="L2386" s="36"/>
      <c r="M2386" s="36"/>
      <c r="N2386" s="37"/>
      <c r="O2386" s="37"/>
      <c r="P2386" s="39"/>
      <c r="Q2386" s="37" t="s">
        <v>5160</v>
      </c>
      <c r="R2386" s="37"/>
      <c r="S2386" s="37" t="s">
        <v>4687</v>
      </c>
      <c r="T2386" s="31"/>
    </row>
    <row r="2387" spans="1:20">
      <c r="A2387" s="31"/>
      <c r="B2387" s="32"/>
      <c r="C2387" s="33"/>
      <c r="D2387" s="32" t="s">
        <v>5161</v>
      </c>
      <c r="E2387" s="33" t="s">
        <v>130</v>
      </c>
      <c r="F2387" s="34">
        <v>1</v>
      </c>
      <c r="G2387" s="35">
        <v>0</v>
      </c>
      <c r="H2387" s="35">
        <v>0</v>
      </c>
      <c r="I2387" s="35">
        <f>Tabla1[[#This Row],[P.U. M.N.]]*Tabla1[[#This Row],[CANTIDADES DE REFERENCIA]]</f>
        <v>0</v>
      </c>
      <c r="J2387" s="35">
        <f>Tabla1[[#This Row],[P.U. USD]]*Tabla1[[#This Row],[CANTIDADES DE REFERENCIA]]</f>
        <v>0</v>
      </c>
      <c r="K2387" s="36"/>
      <c r="L2387" s="36"/>
      <c r="M2387" s="36"/>
      <c r="N2387" s="37"/>
      <c r="O2387" s="37"/>
      <c r="P2387" s="39"/>
      <c r="Q2387" s="37" t="s">
        <v>5162</v>
      </c>
      <c r="R2387" s="37"/>
      <c r="S2387" s="37" t="s">
        <v>4687</v>
      </c>
      <c r="T2387" s="31"/>
    </row>
    <row r="2388" spans="1:20">
      <c r="A2388" s="31"/>
      <c r="B2388" s="32"/>
      <c r="C2388" s="33"/>
      <c r="D2388" s="32" t="s">
        <v>5163</v>
      </c>
      <c r="E2388" s="33" t="s">
        <v>5151</v>
      </c>
      <c r="F2388" s="34">
        <v>1</v>
      </c>
      <c r="G2388" s="35">
        <v>0</v>
      </c>
      <c r="H2388" s="35">
        <v>0</v>
      </c>
      <c r="I2388" s="35">
        <f>Tabla1[[#This Row],[P.U. M.N.]]*Tabla1[[#This Row],[CANTIDADES DE REFERENCIA]]</f>
        <v>0</v>
      </c>
      <c r="J2388" s="35">
        <f>Tabla1[[#This Row],[P.U. USD]]*Tabla1[[#This Row],[CANTIDADES DE REFERENCIA]]</f>
        <v>0</v>
      </c>
      <c r="K2388" s="36"/>
      <c r="L2388" s="36"/>
      <c r="M2388" s="36"/>
      <c r="N2388" s="37"/>
      <c r="O2388" s="37"/>
      <c r="P2388" s="39"/>
      <c r="Q2388" s="37" t="s">
        <v>5164</v>
      </c>
      <c r="R2388" s="37"/>
      <c r="S2388" s="37" t="s">
        <v>4687</v>
      </c>
      <c r="T2388" s="31"/>
    </row>
    <row r="2389" spans="1:20">
      <c r="A2389" s="31"/>
      <c r="B2389" s="32"/>
      <c r="C2389" s="33"/>
      <c r="D2389" s="32" t="s">
        <v>5165</v>
      </c>
      <c r="E2389" s="33" t="s">
        <v>1058</v>
      </c>
      <c r="F2389" s="34">
        <v>1</v>
      </c>
      <c r="G2389" s="35">
        <v>0</v>
      </c>
      <c r="H2389" s="35">
        <v>0</v>
      </c>
      <c r="I2389" s="35">
        <f>Tabla1[[#This Row],[P.U. M.N.]]*Tabla1[[#This Row],[CANTIDADES DE REFERENCIA]]</f>
        <v>0</v>
      </c>
      <c r="J2389" s="35">
        <f>Tabla1[[#This Row],[P.U. USD]]*Tabla1[[#This Row],[CANTIDADES DE REFERENCIA]]</f>
        <v>0</v>
      </c>
      <c r="K2389" s="36"/>
      <c r="L2389" s="36"/>
      <c r="M2389" s="36"/>
      <c r="N2389" s="37"/>
      <c r="O2389" s="37"/>
      <c r="P2389" s="39"/>
      <c r="Q2389" s="37" t="s">
        <v>5166</v>
      </c>
      <c r="R2389" s="37"/>
      <c r="S2389" s="37" t="s">
        <v>4687</v>
      </c>
      <c r="T2389" s="31"/>
    </row>
    <row r="2390" spans="1:20">
      <c r="A2390" s="31"/>
      <c r="B2390" s="32"/>
      <c r="C2390" s="33"/>
      <c r="D2390" s="32" t="s">
        <v>5167</v>
      </c>
      <c r="E2390" s="33" t="s">
        <v>23</v>
      </c>
      <c r="F2390" s="34">
        <v>1</v>
      </c>
      <c r="G2390" s="35">
        <v>0</v>
      </c>
      <c r="H2390" s="35">
        <v>0</v>
      </c>
      <c r="I2390" s="35">
        <f>Tabla1[[#This Row],[P.U. M.N.]]*Tabla1[[#This Row],[CANTIDADES DE REFERENCIA]]</f>
        <v>0</v>
      </c>
      <c r="J2390" s="35">
        <f>Tabla1[[#This Row],[P.U. USD]]*Tabla1[[#This Row],[CANTIDADES DE REFERENCIA]]</f>
        <v>0</v>
      </c>
      <c r="K2390" s="36"/>
      <c r="L2390" s="36"/>
      <c r="M2390" s="36"/>
      <c r="N2390" s="37"/>
      <c r="O2390" s="37"/>
      <c r="P2390" s="39"/>
      <c r="Q2390" s="37" t="s">
        <v>5168</v>
      </c>
      <c r="R2390" s="37"/>
      <c r="S2390" s="37" t="s">
        <v>4687</v>
      </c>
      <c r="T2390" s="31"/>
    </row>
    <row r="2391" spans="1:20">
      <c r="A2391" s="31"/>
      <c r="B2391" s="32"/>
      <c r="C2391" s="33"/>
      <c r="D2391" s="32" t="s">
        <v>5169</v>
      </c>
      <c r="E2391" s="33" t="s">
        <v>23</v>
      </c>
      <c r="F2391" s="34">
        <v>1</v>
      </c>
      <c r="G2391" s="35">
        <v>0</v>
      </c>
      <c r="H2391" s="35">
        <v>0</v>
      </c>
      <c r="I2391" s="35">
        <f>Tabla1[[#This Row],[P.U. M.N.]]*Tabla1[[#This Row],[CANTIDADES DE REFERENCIA]]</f>
        <v>0</v>
      </c>
      <c r="J2391" s="35">
        <f>Tabla1[[#This Row],[P.U. USD]]*Tabla1[[#This Row],[CANTIDADES DE REFERENCIA]]</f>
        <v>0</v>
      </c>
      <c r="K2391" s="36"/>
      <c r="L2391" s="36"/>
      <c r="M2391" s="36"/>
      <c r="N2391" s="37"/>
      <c r="O2391" s="37"/>
      <c r="P2391" s="39"/>
      <c r="Q2391" s="37" t="s">
        <v>5170</v>
      </c>
      <c r="R2391" s="37"/>
      <c r="S2391" s="37" t="s">
        <v>4687</v>
      </c>
      <c r="T2391" s="31"/>
    </row>
    <row r="2392" spans="1:20">
      <c r="A2392" s="31"/>
      <c r="B2392" s="32"/>
      <c r="C2392" s="33"/>
      <c r="D2392" s="32" t="s">
        <v>5171</v>
      </c>
      <c r="E2392" s="33" t="s">
        <v>23</v>
      </c>
      <c r="F2392" s="34">
        <v>1</v>
      </c>
      <c r="G2392" s="35">
        <v>0</v>
      </c>
      <c r="H2392" s="35">
        <v>0</v>
      </c>
      <c r="I2392" s="35">
        <f>Tabla1[[#This Row],[P.U. M.N.]]*Tabla1[[#This Row],[CANTIDADES DE REFERENCIA]]</f>
        <v>0</v>
      </c>
      <c r="J2392" s="35">
        <f>Tabla1[[#This Row],[P.U. USD]]*Tabla1[[#This Row],[CANTIDADES DE REFERENCIA]]</f>
        <v>0</v>
      </c>
      <c r="K2392" s="36"/>
      <c r="L2392" s="36"/>
      <c r="M2392" s="36"/>
      <c r="N2392" s="37"/>
      <c r="O2392" s="37"/>
      <c r="P2392" s="39"/>
      <c r="Q2392" s="37" t="s">
        <v>5172</v>
      </c>
      <c r="R2392" s="37"/>
      <c r="S2392" s="37" t="s">
        <v>4687</v>
      </c>
      <c r="T2392" s="31"/>
    </row>
    <row r="2393" spans="1:20">
      <c r="A2393" s="31"/>
      <c r="B2393" s="32"/>
      <c r="C2393" s="33"/>
      <c r="D2393" s="32" t="s">
        <v>5173</v>
      </c>
      <c r="E2393" s="33" t="s">
        <v>4701</v>
      </c>
      <c r="F2393" s="34">
        <v>1</v>
      </c>
      <c r="G2393" s="35">
        <v>0</v>
      </c>
      <c r="H2393" s="35">
        <v>0</v>
      </c>
      <c r="I2393" s="35">
        <f>Tabla1[[#This Row],[P.U. M.N.]]*Tabla1[[#This Row],[CANTIDADES DE REFERENCIA]]</f>
        <v>0</v>
      </c>
      <c r="J2393" s="35">
        <f>Tabla1[[#This Row],[P.U. USD]]*Tabla1[[#This Row],[CANTIDADES DE REFERENCIA]]</f>
        <v>0</v>
      </c>
      <c r="K2393" s="36"/>
      <c r="L2393" s="36"/>
      <c r="M2393" s="36"/>
      <c r="N2393" s="37"/>
      <c r="O2393" s="37"/>
      <c r="P2393" s="39"/>
      <c r="Q2393" s="37" t="s">
        <v>5174</v>
      </c>
      <c r="R2393" s="37"/>
      <c r="S2393" s="37" t="s">
        <v>4687</v>
      </c>
      <c r="T2393" s="31"/>
    </row>
    <row r="2394" spans="1:20">
      <c r="A2394" s="31"/>
      <c r="B2394" s="32"/>
      <c r="C2394" s="33"/>
      <c r="D2394" s="32" t="s">
        <v>5175</v>
      </c>
      <c r="E2394" s="33" t="s">
        <v>4701</v>
      </c>
      <c r="F2394" s="34">
        <v>1</v>
      </c>
      <c r="G2394" s="35">
        <v>0</v>
      </c>
      <c r="H2394" s="35">
        <v>0</v>
      </c>
      <c r="I2394" s="35">
        <f>Tabla1[[#This Row],[P.U. M.N.]]*Tabla1[[#This Row],[CANTIDADES DE REFERENCIA]]</f>
        <v>0</v>
      </c>
      <c r="J2394" s="35">
        <f>Tabla1[[#This Row],[P.U. USD]]*Tabla1[[#This Row],[CANTIDADES DE REFERENCIA]]</f>
        <v>0</v>
      </c>
      <c r="K2394" s="36"/>
      <c r="L2394" s="36"/>
      <c r="M2394" s="36"/>
      <c r="N2394" s="37"/>
      <c r="O2394" s="37"/>
      <c r="P2394" s="39"/>
      <c r="Q2394" s="37" t="s">
        <v>5176</v>
      </c>
      <c r="R2394" s="37"/>
      <c r="S2394" s="37" t="s">
        <v>4687</v>
      </c>
      <c r="T2394" s="31"/>
    </row>
    <row r="2395" spans="1:20">
      <c r="A2395" s="31"/>
      <c r="B2395" s="32"/>
      <c r="C2395" s="33"/>
      <c r="D2395" s="32" t="s">
        <v>5177</v>
      </c>
      <c r="E2395" s="33" t="s">
        <v>4701</v>
      </c>
      <c r="F2395" s="34">
        <v>1</v>
      </c>
      <c r="G2395" s="35">
        <v>0</v>
      </c>
      <c r="H2395" s="35">
        <v>0</v>
      </c>
      <c r="I2395" s="35">
        <f>Tabla1[[#This Row],[P.U. M.N.]]*Tabla1[[#This Row],[CANTIDADES DE REFERENCIA]]</f>
        <v>0</v>
      </c>
      <c r="J2395" s="35">
        <f>Tabla1[[#This Row],[P.U. USD]]*Tabla1[[#This Row],[CANTIDADES DE REFERENCIA]]</f>
        <v>0</v>
      </c>
      <c r="K2395" s="36"/>
      <c r="L2395" s="36"/>
      <c r="M2395" s="36"/>
      <c r="N2395" s="37"/>
      <c r="O2395" s="37"/>
      <c r="P2395" s="39"/>
      <c r="Q2395" s="37" t="s">
        <v>5178</v>
      </c>
      <c r="R2395" s="37"/>
      <c r="S2395" s="37" t="s">
        <v>4687</v>
      </c>
      <c r="T2395" s="31"/>
    </row>
    <row r="2396" spans="1:20">
      <c r="A2396" s="31"/>
      <c r="B2396" s="32"/>
      <c r="C2396" s="33"/>
      <c r="D2396" s="32" t="s">
        <v>5179</v>
      </c>
      <c r="E2396" s="33" t="s">
        <v>4701</v>
      </c>
      <c r="F2396" s="34">
        <v>1</v>
      </c>
      <c r="G2396" s="35">
        <v>0</v>
      </c>
      <c r="H2396" s="35">
        <v>0</v>
      </c>
      <c r="I2396" s="35">
        <f>Tabla1[[#This Row],[P.U. M.N.]]*Tabla1[[#This Row],[CANTIDADES DE REFERENCIA]]</f>
        <v>0</v>
      </c>
      <c r="J2396" s="35">
        <f>Tabla1[[#This Row],[P.U. USD]]*Tabla1[[#This Row],[CANTIDADES DE REFERENCIA]]</f>
        <v>0</v>
      </c>
      <c r="K2396" s="36"/>
      <c r="L2396" s="36"/>
      <c r="M2396" s="36"/>
      <c r="N2396" s="37"/>
      <c r="O2396" s="37"/>
      <c r="P2396" s="39"/>
      <c r="Q2396" s="37" t="s">
        <v>5180</v>
      </c>
      <c r="R2396" s="37"/>
      <c r="S2396" s="37" t="s">
        <v>4687</v>
      </c>
      <c r="T2396" s="31"/>
    </row>
    <row r="2397" spans="1:20">
      <c r="A2397" s="31"/>
      <c r="B2397" s="32"/>
      <c r="C2397" s="33"/>
      <c r="D2397" s="32" t="s">
        <v>5181</v>
      </c>
      <c r="E2397" s="33" t="s">
        <v>4701</v>
      </c>
      <c r="F2397" s="34">
        <v>1</v>
      </c>
      <c r="G2397" s="35">
        <v>0</v>
      </c>
      <c r="H2397" s="35">
        <v>0</v>
      </c>
      <c r="I2397" s="35">
        <f>Tabla1[[#This Row],[P.U. M.N.]]*Tabla1[[#This Row],[CANTIDADES DE REFERENCIA]]</f>
        <v>0</v>
      </c>
      <c r="J2397" s="35">
        <f>Tabla1[[#This Row],[P.U. USD]]*Tabla1[[#This Row],[CANTIDADES DE REFERENCIA]]</f>
        <v>0</v>
      </c>
      <c r="K2397" s="36"/>
      <c r="L2397" s="36"/>
      <c r="M2397" s="36"/>
      <c r="N2397" s="37"/>
      <c r="O2397" s="37"/>
      <c r="P2397" s="39"/>
      <c r="Q2397" s="37" t="s">
        <v>5182</v>
      </c>
      <c r="R2397" s="37"/>
      <c r="S2397" s="37" t="s">
        <v>4687</v>
      </c>
      <c r="T2397" s="31"/>
    </row>
    <row r="2398" spans="1:20">
      <c r="A2398" s="31"/>
      <c r="B2398" s="32"/>
      <c r="C2398" s="33"/>
      <c r="D2398" s="32" t="s">
        <v>5183</v>
      </c>
      <c r="E2398" s="33" t="s">
        <v>42</v>
      </c>
      <c r="F2398" s="34">
        <v>1</v>
      </c>
      <c r="G2398" s="35">
        <v>0</v>
      </c>
      <c r="H2398" s="35">
        <v>0</v>
      </c>
      <c r="I2398" s="35">
        <f>Tabla1[[#This Row],[P.U. M.N.]]*Tabla1[[#This Row],[CANTIDADES DE REFERENCIA]]</f>
        <v>0</v>
      </c>
      <c r="J2398" s="35">
        <f>Tabla1[[#This Row],[P.U. USD]]*Tabla1[[#This Row],[CANTIDADES DE REFERENCIA]]</f>
        <v>0</v>
      </c>
      <c r="K2398" s="36"/>
      <c r="L2398" s="36"/>
      <c r="M2398" s="36"/>
      <c r="N2398" s="37"/>
      <c r="O2398" s="37"/>
      <c r="P2398" s="39"/>
      <c r="Q2398" s="37" t="s">
        <v>5184</v>
      </c>
      <c r="R2398" s="37"/>
      <c r="S2398" s="37" t="s">
        <v>4687</v>
      </c>
      <c r="T2398" s="31"/>
    </row>
    <row r="2399" spans="1:20">
      <c r="A2399" s="31"/>
      <c r="B2399" s="32"/>
      <c r="C2399" s="33"/>
      <c r="D2399" s="32" t="s">
        <v>5185</v>
      </c>
      <c r="E2399" s="33" t="s">
        <v>42</v>
      </c>
      <c r="F2399" s="34">
        <v>1</v>
      </c>
      <c r="G2399" s="35">
        <v>0</v>
      </c>
      <c r="H2399" s="35">
        <v>0</v>
      </c>
      <c r="I2399" s="35">
        <f>Tabla1[[#This Row],[P.U. M.N.]]*Tabla1[[#This Row],[CANTIDADES DE REFERENCIA]]</f>
        <v>0</v>
      </c>
      <c r="J2399" s="35">
        <f>Tabla1[[#This Row],[P.U. USD]]*Tabla1[[#This Row],[CANTIDADES DE REFERENCIA]]</f>
        <v>0</v>
      </c>
      <c r="K2399" s="36"/>
      <c r="L2399" s="36"/>
      <c r="M2399" s="36"/>
      <c r="N2399" s="37"/>
      <c r="O2399" s="37"/>
      <c r="P2399" s="39"/>
      <c r="Q2399" s="37" t="s">
        <v>5186</v>
      </c>
      <c r="R2399" s="37"/>
      <c r="S2399" s="37" t="s">
        <v>4687</v>
      </c>
      <c r="T2399" s="31"/>
    </row>
    <row r="2400" spans="1:20">
      <c r="A2400" s="31"/>
      <c r="B2400" s="32"/>
      <c r="C2400" s="33"/>
      <c r="D2400" s="32" t="s">
        <v>5187</v>
      </c>
      <c r="E2400" s="33" t="s">
        <v>135</v>
      </c>
      <c r="F2400" s="34">
        <v>1</v>
      </c>
      <c r="G2400" s="35">
        <v>0</v>
      </c>
      <c r="H2400" s="35">
        <v>0</v>
      </c>
      <c r="I2400" s="35">
        <f>Tabla1[[#This Row],[P.U. M.N.]]*Tabla1[[#This Row],[CANTIDADES DE REFERENCIA]]</f>
        <v>0</v>
      </c>
      <c r="J2400" s="35">
        <f>Tabla1[[#This Row],[P.U. USD]]*Tabla1[[#This Row],[CANTIDADES DE REFERENCIA]]</f>
        <v>0</v>
      </c>
      <c r="K2400" s="36"/>
      <c r="L2400" s="36"/>
      <c r="M2400" s="36"/>
      <c r="N2400" s="37" t="s">
        <v>392</v>
      </c>
      <c r="O2400" s="37" t="s">
        <v>393</v>
      </c>
      <c r="P2400" s="39"/>
      <c r="Q2400" s="37" t="s">
        <v>5188</v>
      </c>
      <c r="R2400" s="37" t="s">
        <v>389</v>
      </c>
      <c r="S2400" s="37" t="s">
        <v>5189</v>
      </c>
      <c r="T2400" s="31"/>
    </row>
    <row r="2401" spans="1:20">
      <c r="A2401" s="31"/>
      <c r="B2401" s="32"/>
      <c r="C2401" s="33"/>
      <c r="D2401" s="32" t="s">
        <v>5190</v>
      </c>
      <c r="E2401" s="33" t="s">
        <v>135</v>
      </c>
      <c r="F2401" s="34">
        <v>1</v>
      </c>
      <c r="G2401" s="35">
        <v>0</v>
      </c>
      <c r="H2401" s="35">
        <v>0</v>
      </c>
      <c r="I2401" s="35">
        <f>Tabla1[[#This Row],[P.U. M.N.]]*Tabla1[[#This Row],[CANTIDADES DE REFERENCIA]]</f>
        <v>0</v>
      </c>
      <c r="J2401" s="35">
        <f>Tabla1[[#This Row],[P.U. USD]]*Tabla1[[#This Row],[CANTIDADES DE REFERENCIA]]</f>
        <v>0</v>
      </c>
      <c r="K2401" s="36"/>
      <c r="L2401" s="36"/>
      <c r="M2401" s="36"/>
      <c r="N2401" s="37" t="s">
        <v>392</v>
      </c>
      <c r="O2401" s="37" t="s">
        <v>393</v>
      </c>
      <c r="P2401" s="39"/>
      <c r="Q2401" s="37" t="s">
        <v>5191</v>
      </c>
      <c r="R2401" s="37" t="s">
        <v>389</v>
      </c>
      <c r="S2401" s="37" t="s">
        <v>5189</v>
      </c>
      <c r="T2401" s="31"/>
    </row>
    <row r="2402" spans="1:20">
      <c r="A2402" s="31"/>
      <c r="B2402" s="32"/>
      <c r="C2402" s="33"/>
      <c r="D2402" s="32" t="s">
        <v>5192</v>
      </c>
      <c r="E2402" s="33" t="s">
        <v>116</v>
      </c>
      <c r="F2402" s="34">
        <v>1</v>
      </c>
      <c r="G2402" s="35">
        <v>0</v>
      </c>
      <c r="H2402" s="35">
        <v>0</v>
      </c>
      <c r="I2402" s="35">
        <f>Tabla1[[#This Row],[P.U. M.N.]]*Tabla1[[#This Row],[CANTIDADES DE REFERENCIA]]</f>
        <v>0</v>
      </c>
      <c r="J2402" s="35">
        <f>Tabla1[[#This Row],[P.U. USD]]*Tabla1[[#This Row],[CANTIDADES DE REFERENCIA]]</f>
        <v>0</v>
      </c>
      <c r="K2402" s="36"/>
      <c r="L2402" s="36"/>
      <c r="M2402" s="36"/>
      <c r="N2402" s="37" t="s">
        <v>392</v>
      </c>
      <c r="O2402" s="37" t="s">
        <v>393</v>
      </c>
      <c r="P2402" s="39"/>
      <c r="Q2402" s="37" t="s">
        <v>5193</v>
      </c>
      <c r="R2402" s="37" t="s">
        <v>389</v>
      </c>
      <c r="S2402" s="37" t="s">
        <v>5189</v>
      </c>
      <c r="T2402" s="31"/>
    </row>
    <row r="2403" spans="1:20">
      <c r="A2403" s="31"/>
      <c r="B2403" s="32"/>
      <c r="C2403" s="33"/>
      <c r="D2403" s="32" t="s">
        <v>5194</v>
      </c>
      <c r="E2403" s="33" t="s">
        <v>116</v>
      </c>
      <c r="F2403" s="34">
        <v>1</v>
      </c>
      <c r="G2403" s="35">
        <v>0</v>
      </c>
      <c r="H2403" s="35">
        <v>0</v>
      </c>
      <c r="I2403" s="35">
        <f>Tabla1[[#This Row],[P.U. M.N.]]*Tabla1[[#This Row],[CANTIDADES DE REFERENCIA]]</f>
        <v>0</v>
      </c>
      <c r="J2403" s="35">
        <f>Tabla1[[#This Row],[P.U. USD]]*Tabla1[[#This Row],[CANTIDADES DE REFERENCIA]]</f>
        <v>0</v>
      </c>
      <c r="K2403" s="36"/>
      <c r="L2403" s="36"/>
      <c r="M2403" s="36"/>
      <c r="N2403" s="37" t="s">
        <v>392</v>
      </c>
      <c r="O2403" s="37" t="s">
        <v>393</v>
      </c>
      <c r="P2403" s="39"/>
      <c r="Q2403" s="37" t="s">
        <v>5195</v>
      </c>
      <c r="R2403" s="37" t="s">
        <v>389</v>
      </c>
      <c r="S2403" s="37" t="s">
        <v>5189</v>
      </c>
      <c r="T2403" s="31"/>
    </row>
    <row r="2404" spans="1:20">
      <c r="A2404" s="31"/>
      <c r="B2404" s="32"/>
      <c r="C2404" s="33"/>
      <c r="D2404" s="32" t="s">
        <v>5196</v>
      </c>
      <c r="E2404" s="33" t="s">
        <v>116</v>
      </c>
      <c r="F2404" s="34">
        <v>1</v>
      </c>
      <c r="G2404" s="35">
        <v>0</v>
      </c>
      <c r="H2404" s="35">
        <v>0</v>
      </c>
      <c r="I2404" s="35">
        <f>Tabla1[[#This Row],[P.U. M.N.]]*Tabla1[[#This Row],[CANTIDADES DE REFERENCIA]]</f>
        <v>0</v>
      </c>
      <c r="J2404" s="35">
        <f>Tabla1[[#This Row],[P.U. USD]]*Tabla1[[#This Row],[CANTIDADES DE REFERENCIA]]</f>
        <v>0</v>
      </c>
      <c r="K2404" s="36"/>
      <c r="L2404" s="36"/>
      <c r="M2404" s="36"/>
      <c r="N2404" s="37" t="s">
        <v>392</v>
      </c>
      <c r="O2404" s="37" t="s">
        <v>393</v>
      </c>
      <c r="P2404" s="39"/>
      <c r="Q2404" s="37" t="s">
        <v>5197</v>
      </c>
      <c r="R2404" s="37" t="s">
        <v>389</v>
      </c>
      <c r="S2404" s="37" t="s">
        <v>5189</v>
      </c>
      <c r="T2404" s="31"/>
    </row>
    <row r="2405" spans="1:20">
      <c r="A2405" s="31"/>
      <c r="B2405" s="32"/>
      <c r="C2405" s="33"/>
      <c r="D2405" s="32" t="s">
        <v>5198</v>
      </c>
      <c r="E2405" s="33" t="s">
        <v>116</v>
      </c>
      <c r="F2405" s="34">
        <v>1</v>
      </c>
      <c r="G2405" s="35">
        <v>0</v>
      </c>
      <c r="H2405" s="35">
        <v>0</v>
      </c>
      <c r="I2405" s="35">
        <f>Tabla1[[#This Row],[P.U. M.N.]]*Tabla1[[#This Row],[CANTIDADES DE REFERENCIA]]</f>
        <v>0</v>
      </c>
      <c r="J2405" s="35">
        <f>Tabla1[[#This Row],[P.U. USD]]*Tabla1[[#This Row],[CANTIDADES DE REFERENCIA]]</f>
        <v>0</v>
      </c>
      <c r="K2405" s="36"/>
      <c r="L2405" s="36"/>
      <c r="M2405" s="36"/>
      <c r="N2405" s="37" t="s">
        <v>392</v>
      </c>
      <c r="O2405" s="37" t="s">
        <v>393</v>
      </c>
      <c r="P2405" s="39"/>
      <c r="Q2405" s="37" t="s">
        <v>5199</v>
      </c>
      <c r="R2405" s="37" t="s">
        <v>389</v>
      </c>
      <c r="S2405" s="37" t="s">
        <v>5189</v>
      </c>
      <c r="T2405" s="31"/>
    </row>
    <row r="2406" spans="1:20">
      <c r="A2406" s="31"/>
      <c r="B2406" s="32"/>
      <c r="C2406" s="33"/>
      <c r="D2406" s="32" t="s">
        <v>5200</v>
      </c>
      <c r="E2406" s="33" t="s">
        <v>116</v>
      </c>
      <c r="F2406" s="34">
        <v>1</v>
      </c>
      <c r="G2406" s="35">
        <v>0</v>
      </c>
      <c r="H2406" s="35">
        <v>0</v>
      </c>
      <c r="I2406" s="35">
        <f>Tabla1[[#This Row],[P.U. M.N.]]*Tabla1[[#This Row],[CANTIDADES DE REFERENCIA]]</f>
        <v>0</v>
      </c>
      <c r="J2406" s="35">
        <f>Tabla1[[#This Row],[P.U. USD]]*Tabla1[[#This Row],[CANTIDADES DE REFERENCIA]]</f>
        <v>0</v>
      </c>
      <c r="K2406" s="36"/>
      <c r="L2406" s="36"/>
      <c r="M2406" s="36"/>
      <c r="N2406" s="37" t="s">
        <v>392</v>
      </c>
      <c r="O2406" s="37" t="s">
        <v>393</v>
      </c>
      <c r="P2406" s="39"/>
      <c r="Q2406" s="37" t="s">
        <v>5201</v>
      </c>
      <c r="R2406" s="37" t="s">
        <v>389</v>
      </c>
      <c r="S2406" s="37" t="s">
        <v>5189</v>
      </c>
      <c r="T2406" s="31"/>
    </row>
    <row r="2407" spans="1:20">
      <c r="A2407" s="31"/>
      <c r="B2407" s="32"/>
      <c r="C2407" s="33"/>
      <c r="D2407" s="32" t="s">
        <v>5202</v>
      </c>
      <c r="E2407" s="33" t="s">
        <v>116</v>
      </c>
      <c r="F2407" s="34">
        <v>1</v>
      </c>
      <c r="G2407" s="35">
        <v>0</v>
      </c>
      <c r="H2407" s="35">
        <v>0</v>
      </c>
      <c r="I2407" s="35">
        <f>Tabla1[[#This Row],[P.U. M.N.]]*Tabla1[[#This Row],[CANTIDADES DE REFERENCIA]]</f>
        <v>0</v>
      </c>
      <c r="J2407" s="35">
        <f>Tabla1[[#This Row],[P.U. USD]]*Tabla1[[#This Row],[CANTIDADES DE REFERENCIA]]</f>
        <v>0</v>
      </c>
      <c r="K2407" s="36"/>
      <c r="L2407" s="36"/>
      <c r="M2407" s="36"/>
      <c r="N2407" s="37" t="s">
        <v>392</v>
      </c>
      <c r="O2407" s="37" t="s">
        <v>393</v>
      </c>
      <c r="P2407" s="39"/>
      <c r="Q2407" s="37" t="s">
        <v>5203</v>
      </c>
      <c r="R2407" s="37" t="s">
        <v>389</v>
      </c>
      <c r="S2407" s="37" t="s">
        <v>5189</v>
      </c>
      <c r="T2407" s="31"/>
    </row>
    <row r="2408" spans="1:20">
      <c r="A2408" s="31"/>
      <c r="B2408" s="32"/>
      <c r="C2408" s="33"/>
      <c r="D2408" s="32" t="s">
        <v>5204</v>
      </c>
      <c r="E2408" s="33" t="s">
        <v>116</v>
      </c>
      <c r="F2408" s="34">
        <v>1</v>
      </c>
      <c r="G2408" s="35">
        <v>0</v>
      </c>
      <c r="H2408" s="35">
        <v>0</v>
      </c>
      <c r="I2408" s="35">
        <f>Tabla1[[#This Row],[P.U. M.N.]]*Tabla1[[#This Row],[CANTIDADES DE REFERENCIA]]</f>
        <v>0</v>
      </c>
      <c r="J2408" s="35">
        <f>Tabla1[[#This Row],[P.U. USD]]*Tabla1[[#This Row],[CANTIDADES DE REFERENCIA]]</f>
        <v>0</v>
      </c>
      <c r="K2408" s="36"/>
      <c r="L2408" s="36"/>
      <c r="M2408" s="36"/>
      <c r="N2408" s="37" t="s">
        <v>392</v>
      </c>
      <c r="O2408" s="37" t="s">
        <v>393</v>
      </c>
      <c r="P2408" s="39"/>
      <c r="Q2408" s="37" t="s">
        <v>5205</v>
      </c>
      <c r="R2408" s="37" t="s">
        <v>389</v>
      </c>
      <c r="S2408" s="37" t="s">
        <v>5189</v>
      </c>
      <c r="T2408" s="31"/>
    </row>
    <row r="2409" spans="1:20">
      <c r="A2409" s="31"/>
      <c r="B2409" s="32"/>
      <c r="C2409" s="33"/>
      <c r="D2409" s="32" t="s">
        <v>5206</v>
      </c>
      <c r="E2409" s="33" t="s">
        <v>116</v>
      </c>
      <c r="F2409" s="34">
        <v>1</v>
      </c>
      <c r="G2409" s="35">
        <v>0</v>
      </c>
      <c r="H2409" s="35">
        <v>0</v>
      </c>
      <c r="I2409" s="35">
        <f>Tabla1[[#This Row],[P.U. M.N.]]*Tabla1[[#This Row],[CANTIDADES DE REFERENCIA]]</f>
        <v>0</v>
      </c>
      <c r="J2409" s="35">
        <f>Tabla1[[#This Row],[P.U. USD]]*Tabla1[[#This Row],[CANTIDADES DE REFERENCIA]]</f>
        <v>0</v>
      </c>
      <c r="K2409" s="36"/>
      <c r="L2409" s="36"/>
      <c r="M2409" s="36"/>
      <c r="N2409" s="37" t="s">
        <v>392</v>
      </c>
      <c r="O2409" s="37" t="s">
        <v>393</v>
      </c>
      <c r="P2409" s="39"/>
      <c r="Q2409" s="37" t="s">
        <v>5207</v>
      </c>
      <c r="R2409" s="37" t="s">
        <v>389</v>
      </c>
      <c r="S2409" s="37" t="s">
        <v>5189</v>
      </c>
      <c r="T2409" s="31"/>
    </row>
    <row r="2410" spans="1:20">
      <c r="A2410" s="31"/>
      <c r="B2410" s="32"/>
      <c r="C2410" s="33"/>
      <c r="D2410" s="32" t="s">
        <v>5208</v>
      </c>
      <c r="E2410" s="33" t="s">
        <v>116</v>
      </c>
      <c r="F2410" s="34">
        <v>1</v>
      </c>
      <c r="G2410" s="35">
        <v>0</v>
      </c>
      <c r="H2410" s="35">
        <v>0</v>
      </c>
      <c r="I2410" s="35">
        <f>Tabla1[[#This Row],[P.U. M.N.]]*Tabla1[[#This Row],[CANTIDADES DE REFERENCIA]]</f>
        <v>0</v>
      </c>
      <c r="J2410" s="35">
        <f>Tabla1[[#This Row],[P.U. USD]]*Tabla1[[#This Row],[CANTIDADES DE REFERENCIA]]</f>
        <v>0</v>
      </c>
      <c r="K2410" s="36"/>
      <c r="L2410" s="36"/>
      <c r="M2410" s="36"/>
      <c r="N2410" s="37" t="s">
        <v>392</v>
      </c>
      <c r="O2410" s="37" t="s">
        <v>393</v>
      </c>
      <c r="P2410" s="39"/>
      <c r="Q2410" s="37" t="s">
        <v>5209</v>
      </c>
      <c r="R2410" s="37" t="s">
        <v>389</v>
      </c>
      <c r="S2410" s="37" t="s">
        <v>5189</v>
      </c>
      <c r="T2410" s="31"/>
    </row>
    <row r="2411" spans="1:20">
      <c r="A2411" s="31"/>
      <c r="B2411" s="32"/>
      <c r="C2411" s="33"/>
      <c r="D2411" s="32" t="s">
        <v>5210</v>
      </c>
      <c r="E2411" s="33" t="s">
        <v>116</v>
      </c>
      <c r="F2411" s="34">
        <v>1</v>
      </c>
      <c r="G2411" s="35">
        <v>0</v>
      </c>
      <c r="H2411" s="35">
        <v>0</v>
      </c>
      <c r="I2411" s="35">
        <f>Tabla1[[#This Row],[P.U. M.N.]]*Tabla1[[#This Row],[CANTIDADES DE REFERENCIA]]</f>
        <v>0</v>
      </c>
      <c r="J2411" s="35">
        <f>Tabla1[[#This Row],[P.U. USD]]*Tabla1[[#This Row],[CANTIDADES DE REFERENCIA]]</f>
        <v>0</v>
      </c>
      <c r="K2411" s="36"/>
      <c r="L2411" s="36"/>
      <c r="M2411" s="36"/>
      <c r="N2411" s="37" t="s">
        <v>392</v>
      </c>
      <c r="O2411" s="37" t="s">
        <v>393</v>
      </c>
      <c r="P2411" s="39"/>
      <c r="Q2411" s="37" t="s">
        <v>5211</v>
      </c>
      <c r="R2411" s="37" t="s">
        <v>389</v>
      </c>
      <c r="S2411" s="37" t="s">
        <v>5189</v>
      </c>
      <c r="T2411" s="31"/>
    </row>
    <row r="2412" spans="1:20">
      <c r="A2412" s="31"/>
      <c r="B2412" s="32"/>
      <c r="C2412" s="33"/>
      <c r="D2412" s="32" t="s">
        <v>5212</v>
      </c>
      <c r="E2412" s="33" t="s">
        <v>116</v>
      </c>
      <c r="F2412" s="34">
        <v>1</v>
      </c>
      <c r="G2412" s="35">
        <v>0</v>
      </c>
      <c r="H2412" s="35">
        <v>0</v>
      </c>
      <c r="I2412" s="35">
        <f>Tabla1[[#This Row],[P.U. M.N.]]*Tabla1[[#This Row],[CANTIDADES DE REFERENCIA]]</f>
        <v>0</v>
      </c>
      <c r="J2412" s="35">
        <f>Tabla1[[#This Row],[P.U. USD]]*Tabla1[[#This Row],[CANTIDADES DE REFERENCIA]]</f>
        <v>0</v>
      </c>
      <c r="K2412" s="36"/>
      <c r="L2412" s="36"/>
      <c r="M2412" s="36"/>
      <c r="N2412" s="37" t="s">
        <v>392</v>
      </c>
      <c r="O2412" s="37" t="s">
        <v>393</v>
      </c>
      <c r="P2412" s="39"/>
      <c r="Q2412" s="37" t="s">
        <v>5213</v>
      </c>
      <c r="R2412" s="37" t="s">
        <v>389</v>
      </c>
      <c r="S2412" s="37" t="s">
        <v>5189</v>
      </c>
      <c r="T2412" s="31"/>
    </row>
    <row r="2413" spans="1:20">
      <c r="A2413" s="31"/>
      <c r="B2413" s="32"/>
      <c r="C2413" s="33"/>
      <c r="D2413" s="32" t="s">
        <v>5214</v>
      </c>
      <c r="E2413" s="33" t="s">
        <v>116</v>
      </c>
      <c r="F2413" s="34">
        <v>1</v>
      </c>
      <c r="G2413" s="35">
        <v>0</v>
      </c>
      <c r="H2413" s="35">
        <v>0</v>
      </c>
      <c r="I2413" s="35">
        <f>Tabla1[[#This Row],[P.U. M.N.]]*Tabla1[[#This Row],[CANTIDADES DE REFERENCIA]]</f>
        <v>0</v>
      </c>
      <c r="J2413" s="35">
        <f>Tabla1[[#This Row],[P.U. USD]]*Tabla1[[#This Row],[CANTIDADES DE REFERENCIA]]</f>
        <v>0</v>
      </c>
      <c r="K2413" s="36"/>
      <c r="L2413" s="36"/>
      <c r="M2413" s="36"/>
      <c r="N2413" s="37" t="s">
        <v>392</v>
      </c>
      <c r="O2413" s="37" t="s">
        <v>393</v>
      </c>
      <c r="P2413" s="39"/>
      <c r="Q2413" s="37" t="s">
        <v>5215</v>
      </c>
      <c r="R2413" s="37" t="s">
        <v>389</v>
      </c>
      <c r="S2413" s="37" t="s">
        <v>5189</v>
      </c>
      <c r="T2413" s="31"/>
    </row>
    <row r="2414" spans="1:20">
      <c r="A2414" s="31"/>
      <c r="B2414" s="32"/>
      <c r="C2414" s="33"/>
      <c r="D2414" s="32" t="s">
        <v>5216</v>
      </c>
      <c r="E2414" s="33" t="s">
        <v>116</v>
      </c>
      <c r="F2414" s="34">
        <v>1</v>
      </c>
      <c r="G2414" s="35">
        <v>0</v>
      </c>
      <c r="H2414" s="35">
        <v>0</v>
      </c>
      <c r="I2414" s="35">
        <f>Tabla1[[#This Row],[P.U. M.N.]]*Tabla1[[#This Row],[CANTIDADES DE REFERENCIA]]</f>
        <v>0</v>
      </c>
      <c r="J2414" s="35">
        <f>Tabla1[[#This Row],[P.U. USD]]*Tabla1[[#This Row],[CANTIDADES DE REFERENCIA]]</f>
        <v>0</v>
      </c>
      <c r="K2414" s="36"/>
      <c r="L2414" s="36"/>
      <c r="M2414" s="36"/>
      <c r="N2414" s="37" t="s">
        <v>961</v>
      </c>
      <c r="O2414" s="37" t="s">
        <v>962</v>
      </c>
      <c r="P2414" s="39"/>
      <c r="Q2414" s="37" t="s">
        <v>5217</v>
      </c>
      <c r="R2414" s="37"/>
      <c r="S2414" s="37" t="s">
        <v>987</v>
      </c>
      <c r="T2414" s="31"/>
    </row>
    <row r="2415" spans="1:20">
      <c r="A2415" s="31"/>
      <c r="B2415" s="32"/>
      <c r="C2415" s="33"/>
      <c r="D2415" s="32" t="s">
        <v>5218</v>
      </c>
      <c r="E2415" s="33" t="s">
        <v>42</v>
      </c>
      <c r="F2415" s="34">
        <v>1</v>
      </c>
      <c r="G2415" s="35">
        <v>0</v>
      </c>
      <c r="H2415" s="35">
        <v>0</v>
      </c>
      <c r="I2415" s="35">
        <f>Tabla1[[#This Row],[P.U. M.N.]]*Tabla1[[#This Row],[CANTIDADES DE REFERENCIA]]</f>
        <v>0</v>
      </c>
      <c r="J2415" s="35">
        <f>Tabla1[[#This Row],[P.U. USD]]*Tabla1[[#This Row],[CANTIDADES DE REFERENCIA]]</f>
        <v>0</v>
      </c>
      <c r="K2415" s="36"/>
      <c r="L2415" s="36"/>
      <c r="M2415" s="36"/>
      <c r="N2415" s="37" t="s">
        <v>3790</v>
      </c>
      <c r="O2415" s="37" t="s">
        <v>3791</v>
      </c>
      <c r="P2415" s="39"/>
      <c r="Q2415" s="37" t="s">
        <v>5219</v>
      </c>
      <c r="R2415" s="37" t="s">
        <v>389</v>
      </c>
      <c r="S2415" s="37" t="s">
        <v>5220</v>
      </c>
      <c r="T2415" s="31"/>
    </row>
    <row r="2416" spans="1:20">
      <c r="A2416" s="31"/>
      <c r="B2416" s="32"/>
      <c r="C2416" s="33"/>
      <c r="D2416" s="32" t="s">
        <v>5221</v>
      </c>
      <c r="E2416" s="33" t="s">
        <v>42</v>
      </c>
      <c r="F2416" s="34">
        <v>1</v>
      </c>
      <c r="G2416" s="35">
        <v>0</v>
      </c>
      <c r="H2416" s="35">
        <v>0</v>
      </c>
      <c r="I2416" s="35">
        <f>Tabla1[[#This Row],[P.U. M.N.]]*Tabla1[[#This Row],[CANTIDADES DE REFERENCIA]]</f>
        <v>0</v>
      </c>
      <c r="J2416" s="35">
        <f>Tabla1[[#This Row],[P.U. USD]]*Tabla1[[#This Row],[CANTIDADES DE REFERENCIA]]</f>
        <v>0</v>
      </c>
      <c r="K2416" s="36"/>
      <c r="L2416" s="36"/>
      <c r="M2416" s="36"/>
      <c r="N2416" s="37" t="s">
        <v>3790</v>
      </c>
      <c r="O2416" s="37" t="s">
        <v>3791</v>
      </c>
      <c r="P2416" s="39"/>
      <c r="Q2416" s="37" t="s">
        <v>5222</v>
      </c>
      <c r="R2416" s="37" t="s">
        <v>389</v>
      </c>
      <c r="S2416" s="37" t="s">
        <v>5220</v>
      </c>
      <c r="T2416" s="31"/>
    </row>
    <row r="2417" spans="1:20">
      <c r="A2417" s="31"/>
      <c r="B2417" s="32"/>
      <c r="C2417" s="33"/>
      <c r="D2417" s="32" t="s">
        <v>5223</v>
      </c>
      <c r="E2417" s="33" t="s">
        <v>42</v>
      </c>
      <c r="F2417" s="34">
        <v>1</v>
      </c>
      <c r="G2417" s="35">
        <v>0</v>
      </c>
      <c r="H2417" s="35">
        <v>0</v>
      </c>
      <c r="I2417" s="35">
        <f>Tabla1[[#This Row],[P.U. M.N.]]*Tabla1[[#This Row],[CANTIDADES DE REFERENCIA]]</f>
        <v>0</v>
      </c>
      <c r="J2417" s="35">
        <f>Tabla1[[#This Row],[P.U. USD]]*Tabla1[[#This Row],[CANTIDADES DE REFERENCIA]]</f>
        <v>0</v>
      </c>
      <c r="K2417" s="36"/>
      <c r="L2417" s="36"/>
      <c r="M2417" s="36"/>
      <c r="N2417" s="37" t="s">
        <v>3790</v>
      </c>
      <c r="O2417" s="37" t="s">
        <v>3791</v>
      </c>
      <c r="P2417" s="39"/>
      <c r="Q2417" s="37" t="s">
        <v>5224</v>
      </c>
      <c r="R2417" s="37" t="s">
        <v>389</v>
      </c>
      <c r="S2417" s="37" t="s">
        <v>5220</v>
      </c>
      <c r="T2417" s="31"/>
    </row>
    <row r="2418" spans="1:20">
      <c r="A2418" s="31"/>
      <c r="B2418" s="32"/>
      <c r="C2418" s="33"/>
      <c r="D2418" s="32" t="s">
        <v>5225</v>
      </c>
      <c r="E2418" s="33" t="s">
        <v>42</v>
      </c>
      <c r="F2418" s="34">
        <v>1</v>
      </c>
      <c r="G2418" s="35">
        <v>0</v>
      </c>
      <c r="H2418" s="35">
        <v>0</v>
      </c>
      <c r="I2418" s="35">
        <f>Tabla1[[#This Row],[P.U. M.N.]]*Tabla1[[#This Row],[CANTIDADES DE REFERENCIA]]</f>
        <v>0</v>
      </c>
      <c r="J2418" s="35">
        <f>Tabla1[[#This Row],[P.U. USD]]*Tabla1[[#This Row],[CANTIDADES DE REFERENCIA]]</f>
        <v>0</v>
      </c>
      <c r="K2418" s="36"/>
      <c r="L2418" s="36"/>
      <c r="M2418" s="36"/>
      <c r="N2418" s="37" t="s">
        <v>3790</v>
      </c>
      <c r="O2418" s="37" t="s">
        <v>3791</v>
      </c>
      <c r="P2418" s="39"/>
      <c r="Q2418" s="37" t="s">
        <v>5226</v>
      </c>
      <c r="R2418" s="37" t="s">
        <v>389</v>
      </c>
      <c r="S2418" s="37" t="s">
        <v>5220</v>
      </c>
      <c r="T2418" s="31"/>
    </row>
    <row r="2419" spans="1:20">
      <c r="A2419" s="31"/>
      <c r="B2419" s="32"/>
      <c r="C2419" s="33"/>
      <c r="D2419" s="32" t="s">
        <v>5227</v>
      </c>
      <c r="E2419" s="33" t="s">
        <v>116</v>
      </c>
      <c r="F2419" s="34">
        <v>1</v>
      </c>
      <c r="G2419" s="35">
        <v>0</v>
      </c>
      <c r="H2419" s="35">
        <v>0</v>
      </c>
      <c r="I2419" s="35">
        <f>Tabla1[[#This Row],[P.U. M.N.]]*Tabla1[[#This Row],[CANTIDADES DE REFERENCIA]]</f>
        <v>0</v>
      </c>
      <c r="J2419" s="35">
        <f>Tabla1[[#This Row],[P.U. USD]]*Tabla1[[#This Row],[CANTIDADES DE REFERENCIA]]</f>
        <v>0</v>
      </c>
      <c r="K2419" s="36"/>
      <c r="L2419" s="36"/>
      <c r="M2419" s="36"/>
      <c r="N2419" s="37" t="s">
        <v>3790</v>
      </c>
      <c r="O2419" s="37" t="s">
        <v>3791</v>
      </c>
      <c r="P2419" s="39"/>
      <c r="Q2419" s="37" t="s">
        <v>5228</v>
      </c>
      <c r="R2419" s="37" t="s">
        <v>389</v>
      </c>
      <c r="S2419" s="37" t="s">
        <v>5220</v>
      </c>
      <c r="T2419" s="31"/>
    </row>
    <row r="2420" spans="1:20">
      <c r="A2420" s="31"/>
      <c r="B2420" s="32"/>
      <c r="C2420" s="33"/>
      <c r="D2420" s="32" t="s">
        <v>5229</v>
      </c>
      <c r="E2420" s="33" t="s">
        <v>42</v>
      </c>
      <c r="F2420" s="34">
        <v>1</v>
      </c>
      <c r="G2420" s="35">
        <v>0</v>
      </c>
      <c r="H2420" s="35">
        <v>0</v>
      </c>
      <c r="I2420" s="35">
        <f>Tabla1[[#This Row],[P.U. M.N.]]*Tabla1[[#This Row],[CANTIDADES DE REFERENCIA]]</f>
        <v>0</v>
      </c>
      <c r="J2420" s="35">
        <f>Tabla1[[#This Row],[P.U. USD]]*Tabla1[[#This Row],[CANTIDADES DE REFERENCIA]]</f>
        <v>0</v>
      </c>
      <c r="K2420" s="36"/>
      <c r="L2420" s="36"/>
      <c r="M2420" s="36"/>
      <c r="N2420" s="37" t="s">
        <v>961</v>
      </c>
      <c r="O2420" s="37" t="s">
        <v>962</v>
      </c>
      <c r="P2420" s="39"/>
      <c r="Q2420" s="37" t="s">
        <v>5230</v>
      </c>
      <c r="R2420" s="37" t="s">
        <v>389</v>
      </c>
      <c r="S2420" s="37" t="s">
        <v>5231</v>
      </c>
      <c r="T2420" s="31"/>
    </row>
    <row r="2421" spans="1:20">
      <c r="A2421" s="31"/>
      <c r="B2421" s="32"/>
      <c r="C2421" s="33"/>
      <c r="D2421" s="32" t="s">
        <v>5232</v>
      </c>
      <c r="E2421" s="33" t="s">
        <v>42</v>
      </c>
      <c r="F2421" s="34">
        <v>1</v>
      </c>
      <c r="G2421" s="35">
        <v>0</v>
      </c>
      <c r="H2421" s="35">
        <v>0</v>
      </c>
      <c r="I2421" s="35">
        <f>Tabla1[[#This Row],[P.U. M.N.]]*Tabla1[[#This Row],[CANTIDADES DE REFERENCIA]]</f>
        <v>0</v>
      </c>
      <c r="J2421" s="35">
        <f>Tabla1[[#This Row],[P.U. USD]]*Tabla1[[#This Row],[CANTIDADES DE REFERENCIA]]</f>
        <v>0</v>
      </c>
      <c r="K2421" s="36"/>
      <c r="L2421" s="36"/>
      <c r="M2421" s="36"/>
      <c r="N2421" s="37"/>
      <c r="O2421" s="37"/>
      <c r="P2421" s="39"/>
      <c r="Q2421" s="37" t="s">
        <v>5233</v>
      </c>
      <c r="R2421" s="37" t="s">
        <v>389</v>
      </c>
      <c r="S2421" s="37"/>
      <c r="T2421" s="31"/>
    </row>
    <row r="2422" spans="1:20">
      <c r="A2422" s="31"/>
      <c r="B2422" s="32"/>
      <c r="C2422" s="33"/>
      <c r="D2422" s="32" t="s">
        <v>5234</v>
      </c>
      <c r="E2422" s="33" t="s">
        <v>42</v>
      </c>
      <c r="F2422" s="34">
        <v>1</v>
      </c>
      <c r="G2422" s="35">
        <v>0</v>
      </c>
      <c r="H2422" s="35">
        <v>0</v>
      </c>
      <c r="I2422" s="35">
        <f>Tabla1[[#This Row],[P.U. M.N.]]*Tabla1[[#This Row],[CANTIDADES DE REFERENCIA]]</f>
        <v>0</v>
      </c>
      <c r="J2422" s="35">
        <f>Tabla1[[#This Row],[P.U. USD]]*Tabla1[[#This Row],[CANTIDADES DE REFERENCIA]]</f>
        <v>0</v>
      </c>
      <c r="K2422" s="36"/>
      <c r="L2422" s="36"/>
      <c r="M2422" s="36"/>
      <c r="N2422" s="37"/>
      <c r="O2422" s="37"/>
      <c r="P2422" s="39"/>
      <c r="Q2422" s="37" t="s">
        <v>5235</v>
      </c>
      <c r="R2422" s="37" t="s">
        <v>389</v>
      </c>
      <c r="S2422" s="37"/>
      <c r="T2422" s="31"/>
    </row>
    <row r="2423" spans="1:20">
      <c r="A2423" s="31"/>
      <c r="B2423" s="32"/>
      <c r="C2423" s="33"/>
      <c r="D2423" s="32" t="s">
        <v>5236</v>
      </c>
      <c r="E2423" s="33" t="s">
        <v>42</v>
      </c>
      <c r="F2423" s="34">
        <v>1</v>
      </c>
      <c r="G2423" s="35">
        <v>0</v>
      </c>
      <c r="H2423" s="35">
        <v>0</v>
      </c>
      <c r="I2423" s="35">
        <f>Tabla1[[#This Row],[P.U. M.N.]]*Tabla1[[#This Row],[CANTIDADES DE REFERENCIA]]</f>
        <v>0</v>
      </c>
      <c r="J2423" s="35">
        <f>Tabla1[[#This Row],[P.U. USD]]*Tabla1[[#This Row],[CANTIDADES DE REFERENCIA]]</f>
        <v>0</v>
      </c>
      <c r="K2423" s="36"/>
      <c r="L2423" s="36"/>
      <c r="M2423" s="36"/>
      <c r="N2423" s="37"/>
      <c r="O2423" s="37"/>
      <c r="P2423" s="39"/>
      <c r="Q2423" s="37" t="s">
        <v>5237</v>
      </c>
      <c r="R2423" s="37" t="s">
        <v>389</v>
      </c>
      <c r="S2423" s="37"/>
      <c r="T2423" s="31"/>
    </row>
    <row r="2424" spans="1:20">
      <c r="A2424" s="31"/>
      <c r="B2424" s="32"/>
      <c r="C2424" s="33"/>
      <c r="D2424" s="32" t="s">
        <v>5238</v>
      </c>
      <c r="E2424" s="33" t="s">
        <v>42</v>
      </c>
      <c r="F2424" s="34">
        <v>1</v>
      </c>
      <c r="G2424" s="35">
        <v>0</v>
      </c>
      <c r="H2424" s="35">
        <v>0</v>
      </c>
      <c r="I2424" s="35">
        <f>Tabla1[[#This Row],[P.U. M.N.]]*Tabla1[[#This Row],[CANTIDADES DE REFERENCIA]]</f>
        <v>0</v>
      </c>
      <c r="J2424" s="35">
        <f>Tabla1[[#This Row],[P.U. USD]]*Tabla1[[#This Row],[CANTIDADES DE REFERENCIA]]</f>
        <v>0</v>
      </c>
      <c r="K2424" s="36"/>
      <c r="L2424" s="36"/>
      <c r="M2424" s="36"/>
      <c r="N2424" s="37"/>
      <c r="O2424" s="37"/>
      <c r="P2424" s="39"/>
      <c r="Q2424" s="37" t="s">
        <v>5239</v>
      </c>
      <c r="R2424" s="37" t="s">
        <v>389</v>
      </c>
      <c r="S2424" s="37"/>
      <c r="T2424" s="31"/>
    </row>
    <row r="2425" spans="1:20">
      <c r="A2425" s="31"/>
      <c r="B2425" s="32"/>
      <c r="C2425" s="33"/>
      <c r="D2425" s="32" t="s">
        <v>5240</v>
      </c>
      <c r="E2425" s="33" t="s">
        <v>42</v>
      </c>
      <c r="F2425" s="34">
        <v>1</v>
      </c>
      <c r="G2425" s="35">
        <v>0</v>
      </c>
      <c r="H2425" s="35">
        <v>0</v>
      </c>
      <c r="I2425" s="35">
        <f>Tabla1[[#This Row],[P.U. M.N.]]*Tabla1[[#This Row],[CANTIDADES DE REFERENCIA]]</f>
        <v>0</v>
      </c>
      <c r="J2425" s="35">
        <f>Tabla1[[#This Row],[P.U. USD]]*Tabla1[[#This Row],[CANTIDADES DE REFERENCIA]]</f>
        <v>0</v>
      </c>
      <c r="K2425" s="36"/>
      <c r="L2425" s="36"/>
      <c r="M2425" s="36"/>
      <c r="N2425" s="37"/>
      <c r="O2425" s="37"/>
      <c r="P2425" s="39"/>
      <c r="Q2425" s="37" t="s">
        <v>5241</v>
      </c>
      <c r="R2425" s="37" t="s">
        <v>389</v>
      </c>
      <c r="S2425" s="37"/>
      <c r="T2425" s="31"/>
    </row>
    <row r="2426" spans="1:20">
      <c r="A2426" s="31"/>
      <c r="B2426" s="32"/>
      <c r="C2426" s="33"/>
      <c r="D2426" s="32" t="s">
        <v>5242</v>
      </c>
      <c r="E2426" s="33" t="s">
        <v>5151</v>
      </c>
      <c r="F2426" s="34">
        <v>1</v>
      </c>
      <c r="G2426" s="35">
        <v>0</v>
      </c>
      <c r="H2426" s="35">
        <v>0</v>
      </c>
      <c r="I2426" s="35">
        <f>Tabla1[[#This Row],[P.U. M.N.]]*Tabla1[[#This Row],[CANTIDADES DE REFERENCIA]]</f>
        <v>0</v>
      </c>
      <c r="J2426" s="35">
        <f>Tabla1[[#This Row],[P.U. USD]]*Tabla1[[#This Row],[CANTIDADES DE REFERENCIA]]</f>
        <v>0</v>
      </c>
      <c r="K2426" s="36"/>
      <c r="L2426" s="36"/>
      <c r="M2426" s="36"/>
      <c r="N2426" s="37" t="s">
        <v>3790</v>
      </c>
      <c r="O2426" s="37" t="s">
        <v>3791</v>
      </c>
      <c r="P2426" s="39"/>
      <c r="Q2426" s="37" t="s">
        <v>5243</v>
      </c>
      <c r="R2426" s="37" t="s">
        <v>389</v>
      </c>
      <c r="S2426" s="37" t="s">
        <v>5220</v>
      </c>
      <c r="T2426" s="31"/>
    </row>
    <row r="2427" spans="1:20">
      <c r="A2427" s="31"/>
      <c r="B2427" s="32"/>
      <c r="C2427" s="33"/>
      <c r="D2427" s="32" t="s">
        <v>5244</v>
      </c>
      <c r="E2427" s="33" t="s">
        <v>5151</v>
      </c>
      <c r="F2427" s="34">
        <v>1</v>
      </c>
      <c r="G2427" s="35">
        <v>0</v>
      </c>
      <c r="H2427" s="35">
        <v>0</v>
      </c>
      <c r="I2427" s="35">
        <f>Tabla1[[#This Row],[P.U. M.N.]]*Tabla1[[#This Row],[CANTIDADES DE REFERENCIA]]</f>
        <v>0</v>
      </c>
      <c r="J2427" s="35">
        <f>Tabla1[[#This Row],[P.U. USD]]*Tabla1[[#This Row],[CANTIDADES DE REFERENCIA]]</f>
        <v>0</v>
      </c>
      <c r="K2427" s="36"/>
      <c r="L2427" s="36"/>
      <c r="M2427" s="36"/>
      <c r="N2427" s="37" t="s">
        <v>3790</v>
      </c>
      <c r="O2427" s="37" t="s">
        <v>3791</v>
      </c>
      <c r="P2427" s="39"/>
      <c r="Q2427" s="37" t="s">
        <v>5245</v>
      </c>
      <c r="R2427" s="37" t="s">
        <v>389</v>
      </c>
      <c r="S2427" s="37" t="s">
        <v>5220</v>
      </c>
      <c r="T2427" s="31"/>
    </row>
    <row r="2428" spans="1:20">
      <c r="A2428" s="31"/>
      <c r="B2428" s="32"/>
      <c r="C2428" s="33"/>
      <c r="D2428" s="32" t="s">
        <v>5246</v>
      </c>
      <c r="E2428" s="33" t="s">
        <v>5151</v>
      </c>
      <c r="F2428" s="34">
        <v>1</v>
      </c>
      <c r="G2428" s="35">
        <v>0</v>
      </c>
      <c r="H2428" s="35">
        <v>0</v>
      </c>
      <c r="I2428" s="35">
        <f>Tabla1[[#This Row],[P.U. M.N.]]*Tabla1[[#This Row],[CANTIDADES DE REFERENCIA]]</f>
        <v>0</v>
      </c>
      <c r="J2428" s="35">
        <f>Tabla1[[#This Row],[P.U. USD]]*Tabla1[[#This Row],[CANTIDADES DE REFERENCIA]]</f>
        <v>0</v>
      </c>
      <c r="K2428" s="36"/>
      <c r="L2428" s="36"/>
      <c r="M2428" s="36"/>
      <c r="N2428" s="37" t="s">
        <v>3790</v>
      </c>
      <c r="O2428" s="37" t="s">
        <v>3791</v>
      </c>
      <c r="P2428" s="39"/>
      <c r="Q2428" s="37" t="s">
        <v>5247</v>
      </c>
      <c r="R2428" s="37" t="s">
        <v>389</v>
      </c>
      <c r="S2428" s="37" t="s">
        <v>5220</v>
      </c>
      <c r="T2428" s="31"/>
    </row>
    <row r="2429" spans="1:20">
      <c r="A2429" s="31"/>
      <c r="B2429" s="32"/>
      <c r="C2429" s="33"/>
      <c r="D2429" s="32" t="s">
        <v>5248</v>
      </c>
      <c r="E2429" s="33" t="s">
        <v>5151</v>
      </c>
      <c r="F2429" s="34">
        <v>1</v>
      </c>
      <c r="G2429" s="35">
        <v>0</v>
      </c>
      <c r="H2429" s="35">
        <v>0</v>
      </c>
      <c r="I2429" s="35">
        <f>Tabla1[[#This Row],[P.U. M.N.]]*Tabla1[[#This Row],[CANTIDADES DE REFERENCIA]]</f>
        <v>0</v>
      </c>
      <c r="J2429" s="35">
        <f>Tabla1[[#This Row],[P.U. USD]]*Tabla1[[#This Row],[CANTIDADES DE REFERENCIA]]</f>
        <v>0</v>
      </c>
      <c r="K2429" s="36"/>
      <c r="L2429" s="36"/>
      <c r="M2429" s="36"/>
      <c r="N2429" s="37" t="s">
        <v>3790</v>
      </c>
      <c r="O2429" s="37" t="s">
        <v>3791</v>
      </c>
      <c r="P2429" s="39"/>
      <c r="Q2429" s="37" t="s">
        <v>5249</v>
      </c>
      <c r="R2429" s="37" t="s">
        <v>389</v>
      </c>
      <c r="S2429" s="37" t="s">
        <v>5220</v>
      </c>
      <c r="T2429" s="31"/>
    </row>
    <row r="2430" spans="1:20">
      <c r="A2430" s="31"/>
      <c r="B2430" s="32"/>
      <c r="C2430" s="33"/>
      <c r="D2430" s="32" t="s">
        <v>5250</v>
      </c>
      <c r="E2430" s="33" t="s">
        <v>5151</v>
      </c>
      <c r="F2430" s="34">
        <v>1</v>
      </c>
      <c r="G2430" s="35">
        <v>0</v>
      </c>
      <c r="H2430" s="35">
        <v>0</v>
      </c>
      <c r="I2430" s="35">
        <f>Tabla1[[#This Row],[P.U. M.N.]]*Tabla1[[#This Row],[CANTIDADES DE REFERENCIA]]</f>
        <v>0</v>
      </c>
      <c r="J2430" s="35">
        <f>Tabla1[[#This Row],[P.U. USD]]*Tabla1[[#This Row],[CANTIDADES DE REFERENCIA]]</f>
        <v>0</v>
      </c>
      <c r="K2430" s="36"/>
      <c r="L2430" s="36"/>
      <c r="M2430" s="36"/>
      <c r="N2430" s="37" t="s">
        <v>3790</v>
      </c>
      <c r="O2430" s="37" t="s">
        <v>3791</v>
      </c>
      <c r="P2430" s="39"/>
      <c r="Q2430" s="37" t="s">
        <v>5251</v>
      </c>
      <c r="R2430" s="37" t="s">
        <v>389</v>
      </c>
      <c r="S2430" s="37" t="s">
        <v>5220</v>
      </c>
      <c r="T2430" s="31"/>
    </row>
    <row r="2431" spans="1:20">
      <c r="A2431" s="31"/>
      <c r="B2431" s="32"/>
      <c r="C2431" s="33"/>
      <c r="D2431" s="32" t="s">
        <v>5252</v>
      </c>
      <c r="E2431" s="33" t="s">
        <v>61</v>
      </c>
      <c r="F2431" s="34">
        <v>1</v>
      </c>
      <c r="G2431" s="35">
        <v>0</v>
      </c>
      <c r="H2431" s="35">
        <v>0</v>
      </c>
      <c r="I2431" s="35">
        <f>Tabla1[[#This Row],[P.U. M.N.]]*Tabla1[[#This Row],[CANTIDADES DE REFERENCIA]]</f>
        <v>0</v>
      </c>
      <c r="J2431" s="35">
        <f>Tabla1[[#This Row],[P.U. USD]]*Tabla1[[#This Row],[CANTIDADES DE REFERENCIA]]</f>
        <v>0</v>
      </c>
      <c r="K2431" s="36"/>
      <c r="L2431" s="36"/>
      <c r="M2431" s="36"/>
      <c r="N2431" s="37"/>
      <c r="O2431" s="37"/>
      <c r="P2431" s="39"/>
      <c r="Q2431" s="37" t="s">
        <v>5253</v>
      </c>
      <c r="R2431" s="37" t="s">
        <v>389</v>
      </c>
      <c r="S2431" s="37"/>
      <c r="T2431" s="31"/>
    </row>
    <row r="2432" spans="1:20">
      <c r="A2432" s="31"/>
      <c r="B2432" s="32"/>
      <c r="C2432" s="33"/>
      <c r="D2432" s="32" t="s">
        <v>5254</v>
      </c>
      <c r="E2432" s="33" t="s">
        <v>61</v>
      </c>
      <c r="F2432" s="34">
        <v>1</v>
      </c>
      <c r="G2432" s="35">
        <v>0</v>
      </c>
      <c r="H2432" s="35">
        <v>0</v>
      </c>
      <c r="I2432" s="35">
        <f>Tabla1[[#This Row],[P.U. M.N.]]*Tabla1[[#This Row],[CANTIDADES DE REFERENCIA]]</f>
        <v>0</v>
      </c>
      <c r="J2432" s="35">
        <f>Tabla1[[#This Row],[P.U. USD]]*Tabla1[[#This Row],[CANTIDADES DE REFERENCIA]]</f>
        <v>0</v>
      </c>
      <c r="K2432" s="36"/>
      <c r="L2432" s="36"/>
      <c r="M2432" s="36"/>
      <c r="N2432" s="37"/>
      <c r="O2432" s="37"/>
      <c r="P2432" s="39"/>
      <c r="Q2432" s="37" t="s">
        <v>5255</v>
      </c>
      <c r="R2432" s="37" t="s">
        <v>389</v>
      </c>
      <c r="S2432" s="37"/>
      <c r="T2432" s="31"/>
    </row>
    <row r="2433" spans="1:20">
      <c r="A2433" s="31"/>
      <c r="B2433" s="32"/>
      <c r="C2433" s="33"/>
      <c r="D2433" s="32" t="s">
        <v>5256</v>
      </c>
      <c r="E2433" s="33" t="s">
        <v>61</v>
      </c>
      <c r="F2433" s="34">
        <v>1</v>
      </c>
      <c r="G2433" s="35">
        <v>0</v>
      </c>
      <c r="H2433" s="35">
        <v>0</v>
      </c>
      <c r="I2433" s="35">
        <f>Tabla1[[#This Row],[P.U. M.N.]]*Tabla1[[#This Row],[CANTIDADES DE REFERENCIA]]</f>
        <v>0</v>
      </c>
      <c r="J2433" s="35">
        <f>Tabla1[[#This Row],[P.U. USD]]*Tabla1[[#This Row],[CANTIDADES DE REFERENCIA]]</f>
        <v>0</v>
      </c>
      <c r="K2433" s="36"/>
      <c r="L2433" s="36"/>
      <c r="M2433" s="36"/>
      <c r="N2433" s="37" t="s">
        <v>5257</v>
      </c>
      <c r="O2433" s="37"/>
      <c r="P2433" s="39"/>
      <c r="Q2433" s="37" t="s">
        <v>5258</v>
      </c>
      <c r="R2433" s="37" t="s">
        <v>389</v>
      </c>
      <c r="S2433" s="37"/>
      <c r="T2433" s="31"/>
    </row>
    <row r="2434" spans="1:20">
      <c r="A2434" s="31"/>
      <c r="B2434" s="32"/>
      <c r="C2434" s="33"/>
      <c r="D2434" s="32" t="s">
        <v>5259</v>
      </c>
      <c r="E2434" s="33" t="s">
        <v>61</v>
      </c>
      <c r="F2434" s="34">
        <v>1</v>
      </c>
      <c r="G2434" s="35">
        <v>0</v>
      </c>
      <c r="H2434" s="35">
        <v>0</v>
      </c>
      <c r="I2434" s="35">
        <f>Tabla1[[#This Row],[P.U. M.N.]]*Tabla1[[#This Row],[CANTIDADES DE REFERENCIA]]</f>
        <v>0</v>
      </c>
      <c r="J2434" s="35">
        <f>Tabla1[[#This Row],[P.U. USD]]*Tabla1[[#This Row],[CANTIDADES DE REFERENCIA]]</f>
        <v>0</v>
      </c>
      <c r="K2434" s="36"/>
      <c r="L2434" s="36"/>
      <c r="M2434" s="36"/>
      <c r="N2434" s="37"/>
      <c r="O2434" s="37"/>
      <c r="P2434" s="39"/>
      <c r="Q2434" s="37" t="s">
        <v>5260</v>
      </c>
      <c r="R2434" s="37" t="s">
        <v>389</v>
      </c>
      <c r="S2434" s="37"/>
      <c r="T2434" s="31"/>
    </row>
    <row r="2435" spans="1:20">
      <c r="A2435" s="31"/>
      <c r="B2435" s="32"/>
      <c r="C2435" s="33"/>
      <c r="D2435" s="32" t="s">
        <v>5261</v>
      </c>
      <c r="E2435" s="33" t="s">
        <v>61</v>
      </c>
      <c r="F2435" s="34">
        <v>1</v>
      </c>
      <c r="G2435" s="35">
        <v>0</v>
      </c>
      <c r="H2435" s="35">
        <v>0</v>
      </c>
      <c r="I2435" s="35">
        <f>Tabla1[[#This Row],[P.U. M.N.]]*Tabla1[[#This Row],[CANTIDADES DE REFERENCIA]]</f>
        <v>0</v>
      </c>
      <c r="J2435" s="35">
        <f>Tabla1[[#This Row],[P.U. USD]]*Tabla1[[#This Row],[CANTIDADES DE REFERENCIA]]</f>
        <v>0</v>
      </c>
      <c r="K2435" s="36"/>
      <c r="L2435" s="36"/>
      <c r="M2435" s="36"/>
      <c r="N2435" s="37" t="s">
        <v>5257</v>
      </c>
      <c r="O2435" s="37"/>
      <c r="P2435" s="39"/>
      <c r="Q2435" s="37" t="s">
        <v>5262</v>
      </c>
      <c r="R2435" s="37" t="s">
        <v>389</v>
      </c>
      <c r="S2435" s="37"/>
      <c r="T2435" s="31"/>
    </row>
    <row r="2436" spans="1:20">
      <c r="A2436" s="31"/>
      <c r="B2436" s="32"/>
      <c r="C2436" s="33"/>
      <c r="D2436" s="32" t="s">
        <v>5263</v>
      </c>
      <c r="E2436" s="33" t="s">
        <v>42</v>
      </c>
      <c r="F2436" s="34">
        <v>1</v>
      </c>
      <c r="G2436" s="35">
        <v>0</v>
      </c>
      <c r="H2436" s="35">
        <v>0</v>
      </c>
      <c r="I2436" s="35">
        <f>Tabla1[[#This Row],[P.U. M.N.]]*Tabla1[[#This Row],[CANTIDADES DE REFERENCIA]]</f>
        <v>0</v>
      </c>
      <c r="J2436" s="35">
        <f>Tabla1[[#This Row],[P.U. USD]]*Tabla1[[#This Row],[CANTIDADES DE REFERENCIA]]</f>
        <v>0</v>
      </c>
      <c r="K2436" s="36"/>
      <c r="L2436" s="36"/>
      <c r="M2436" s="36"/>
      <c r="N2436" s="37"/>
      <c r="O2436" s="37"/>
      <c r="P2436" s="39"/>
      <c r="Q2436" s="37" t="s">
        <v>5264</v>
      </c>
      <c r="R2436" s="37" t="s">
        <v>389</v>
      </c>
      <c r="S2436" s="37"/>
      <c r="T2436" s="31"/>
    </row>
    <row r="2437" spans="1:20">
      <c r="A2437" s="31"/>
      <c r="B2437" s="32"/>
      <c r="C2437" s="33"/>
      <c r="D2437" s="32" t="s">
        <v>5265</v>
      </c>
      <c r="E2437" s="33" t="s">
        <v>42</v>
      </c>
      <c r="F2437" s="34">
        <v>1</v>
      </c>
      <c r="G2437" s="35">
        <v>0</v>
      </c>
      <c r="H2437" s="35">
        <v>0</v>
      </c>
      <c r="I2437" s="35">
        <f>Tabla1[[#This Row],[P.U. M.N.]]*Tabla1[[#This Row],[CANTIDADES DE REFERENCIA]]</f>
        <v>0</v>
      </c>
      <c r="J2437" s="35">
        <f>Tabla1[[#This Row],[P.U. USD]]*Tabla1[[#This Row],[CANTIDADES DE REFERENCIA]]</f>
        <v>0</v>
      </c>
      <c r="K2437" s="36"/>
      <c r="L2437" s="36"/>
      <c r="M2437" s="36"/>
      <c r="N2437" s="37"/>
      <c r="O2437" s="37"/>
      <c r="P2437" s="39"/>
      <c r="Q2437" s="37" t="s">
        <v>5266</v>
      </c>
      <c r="R2437" s="37" t="s">
        <v>389</v>
      </c>
      <c r="S2437" s="37"/>
      <c r="T2437" s="31"/>
    </row>
    <row r="2438" spans="1:20">
      <c r="A2438" s="31"/>
      <c r="B2438" s="32"/>
      <c r="C2438" s="33"/>
      <c r="D2438" s="32" t="s">
        <v>5267</v>
      </c>
      <c r="E2438" s="33" t="s">
        <v>42</v>
      </c>
      <c r="F2438" s="34">
        <v>1</v>
      </c>
      <c r="G2438" s="35">
        <v>0</v>
      </c>
      <c r="H2438" s="35">
        <v>0</v>
      </c>
      <c r="I2438" s="35">
        <f>Tabla1[[#This Row],[P.U. M.N.]]*Tabla1[[#This Row],[CANTIDADES DE REFERENCIA]]</f>
        <v>0</v>
      </c>
      <c r="J2438" s="35">
        <f>Tabla1[[#This Row],[P.U. USD]]*Tabla1[[#This Row],[CANTIDADES DE REFERENCIA]]</f>
        <v>0</v>
      </c>
      <c r="K2438" s="36"/>
      <c r="L2438" s="36"/>
      <c r="M2438" s="36"/>
      <c r="N2438" s="37"/>
      <c r="O2438" s="37"/>
      <c r="P2438" s="39"/>
      <c r="Q2438" s="37" t="s">
        <v>5268</v>
      </c>
      <c r="R2438" s="37" t="s">
        <v>389</v>
      </c>
      <c r="S2438" s="37"/>
      <c r="T2438" s="31"/>
    </row>
    <row r="2439" spans="1:20">
      <c r="A2439" s="31"/>
      <c r="B2439" s="32"/>
      <c r="C2439" s="33"/>
      <c r="D2439" s="32" t="s">
        <v>5269</v>
      </c>
      <c r="E2439" s="33" t="s">
        <v>42</v>
      </c>
      <c r="F2439" s="34">
        <v>1</v>
      </c>
      <c r="G2439" s="35">
        <v>0</v>
      </c>
      <c r="H2439" s="35">
        <v>0</v>
      </c>
      <c r="I2439" s="35">
        <f>Tabla1[[#This Row],[P.U. M.N.]]*Tabla1[[#This Row],[CANTIDADES DE REFERENCIA]]</f>
        <v>0</v>
      </c>
      <c r="J2439" s="35">
        <f>Tabla1[[#This Row],[P.U. USD]]*Tabla1[[#This Row],[CANTIDADES DE REFERENCIA]]</f>
        <v>0</v>
      </c>
      <c r="K2439" s="36"/>
      <c r="L2439" s="36"/>
      <c r="M2439" s="36"/>
      <c r="N2439" s="37"/>
      <c r="O2439" s="37"/>
      <c r="P2439" s="39"/>
      <c r="Q2439" s="37" t="s">
        <v>5270</v>
      </c>
      <c r="R2439" s="37" t="s">
        <v>389</v>
      </c>
      <c r="S2439" s="37"/>
      <c r="T2439" s="31"/>
    </row>
    <row r="2440" spans="1:20">
      <c r="A2440" s="31"/>
      <c r="B2440" s="32"/>
      <c r="C2440" s="33"/>
      <c r="D2440" s="32" t="s">
        <v>5271</v>
      </c>
      <c r="E2440" s="33" t="s">
        <v>42</v>
      </c>
      <c r="F2440" s="34">
        <v>1</v>
      </c>
      <c r="G2440" s="35">
        <v>0</v>
      </c>
      <c r="H2440" s="35">
        <v>0</v>
      </c>
      <c r="I2440" s="35">
        <f>Tabla1[[#This Row],[P.U. M.N.]]*Tabla1[[#This Row],[CANTIDADES DE REFERENCIA]]</f>
        <v>0</v>
      </c>
      <c r="J2440" s="35">
        <f>Tabla1[[#This Row],[P.U. USD]]*Tabla1[[#This Row],[CANTIDADES DE REFERENCIA]]</f>
        <v>0</v>
      </c>
      <c r="K2440" s="36"/>
      <c r="L2440" s="36"/>
      <c r="M2440" s="36"/>
      <c r="N2440" s="37"/>
      <c r="O2440" s="37"/>
      <c r="P2440" s="39"/>
      <c r="Q2440" s="37" t="s">
        <v>5272</v>
      </c>
      <c r="R2440" s="37" t="s">
        <v>389</v>
      </c>
      <c r="S2440" s="37"/>
      <c r="T2440" s="31"/>
    </row>
    <row r="2441" spans="1:20">
      <c r="A2441" s="31"/>
      <c r="B2441" s="32"/>
      <c r="C2441" s="33"/>
      <c r="D2441" s="32" t="s">
        <v>5273</v>
      </c>
      <c r="E2441" s="33" t="s">
        <v>42</v>
      </c>
      <c r="F2441" s="34">
        <v>1</v>
      </c>
      <c r="G2441" s="35">
        <v>0</v>
      </c>
      <c r="H2441" s="35">
        <v>0</v>
      </c>
      <c r="I2441" s="35">
        <f>Tabla1[[#This Row],[P.U. M.N.]]*Tabla1[[#This Row],[CANTIDADES DE REFERENCIA]]</f>
        <v>0</v>
      </c>
      <c r="J2441" s="35">
        <f>Tabla1[[#This Row],[P.U. USD]]*Tabla1[[#This Row],[CANTIDADES DE REFERENCIA]]</f>
        <v>0</v>
      </c>
      <c r="K2441" s="36"/>
      <c r="L2441" s="36"/>
      <c r="M2441" s="36"/>
      <c r="N2441" s="37"/>
      <c r="O2441" s="37"/>
      <c r="P2441" s="39"/>
      <c r="Q2441" s="37" t="s">
        <v>5274</v>
      </c>
      <c r="R2441" s="37" t="s">
        <v>389</v>
      </c>
      <c r="S2441" s="37"/>
      <c r="T2441" s="31"/>
    </row>
    <row r="2442" spans="1:20">
      <c r="A2442" s="31"/>
      <c r="B2442" s="32"/>
      <c r="C2442" s="33"/>
      <c r="D2442" s="32" t="s">
        <v>5275</v>
      </c>
      <c r="E2442" s="33" t="s">
        <v>42</v>
      </c>
      <c r="F2442" s="34">
        <v>1</v>
      </c>
      <c r="G2442" s="35">
        <v>0</v>
      </c>
      <c r="H2442" s="35">
        <v>0</v>
      </c>
      <c r="I2442" s="35">
        <f>Tabla1[[#This Row],[P.U. M.N.]]*Tabla1[[#This Row],[CANTIDADES DE REFERENCIA]]</f>
        <v>0</v>
      </c>
      <c r="J2442" s="35">
        <f>Tabla1[[#This Row],[P.U. USD]]*Tabla1[[#This Row],[CANTIDADES DE REFERENCIA]]</f>
        <v>0</v>
      </c>
      <c r="K2442" s="36"/>
      <c r="L2442" s="36"/>
      <c r="M2442" s="36"/>
      <c r="N2442" s="37"/>
      <c r="O2442" s="37"/>
      <c r="P2442" s="39"/>
      <c r="Q2442" s="37" t="s">
        <v>5276</v>
      </c>
      <c r="R2442" s="37" t="s">
        <v>389</v>
      </c>
      <c r="S2442" s="37"/>
      <c r="T2442" s="31"/>
    </row>
    <row r="2443" spans="1:20">
      <c r="A2443" s="31"/>
      <c r="B2443" s="32"/>
      <c r="C2443" s="33"/>
      <c r="D2443" s="32" t="s">
        <v>5277</v>
      </c>
      <c r="E2443" s="33" t="s">
        <v>42</v>
      </c>
      <c r="F2443" s="34">
        <v>1</v>
      </c>
      <c r="G2443" s="35">
        <v>0</v>
      </c>
      <c r="H2443" s="35">
        <v>0</v>
      </c>
      <c r="I2443" s="35">
        <f>Tabla1[[#This Row],[P.U. M.N.]]*Tabla1[[#This Row],[CANTIDADES DE REFERENCIA]]</f>
        <v>0</v>
      </c>
      <c r="J2443" s="35">
        <f>Tabla1[[#This Row],[P.U. USD]]*Tabla1[[#This Row],[CANTIDADES DE REFERENCIA]]</f>
        <v>0</v>
      </c>
      <c r="K2443" s="36"/>
      <c r="L2443" s="36"/>
      <c r="M2443" s="36"/>
      <c r="N2443" s="37"/>
      <c r="O2443" s="37"/>
      <c r="P2443" s="39"/>
      <c r="Q2443" s="37" t="s">
        <v>5278</v>
      </c>
      <c r="R2443" s="37" t="s">
        <v>389</v>
      </c>
      <c r="S2443" s="37"/>
      <c r="T2443" s="31"/>
    </row>
    <row r="2444" spans="1:20">
      <c r="A2444" s="31"/>
      <c r="B2444" s="32"/>
      <c r="C2444" s="33"/>
      <c r="D2444" s="32" t="s">
        <v>5279</v>
      </c>
      <c r="E2444" s="33" t="s">
        <v>42</v>
      </c>
      <c r="F2444" s="34">
        <v>1</v>
      </c>
      <c r="G2444" s="35">
        <v>0</v>
      </c>
      <c r="H2444" s="35">
        <v>0</v>
      </c>
      <c r="I2444" s="35">
        <f>Tabla1[[#This Row],[P.U. M.N.]]*Tabla1[[#This Row],[CANTIDADES DE REFERENCIA]]</f>
        <v>0</v>
      </c>
      <c r="J2444" s="35">
        <f>Tabla1[[#This Row],[P.U. USD]]*Tabla1[[#This Row],[CANTIDADES DE REFERENCIA]]</f>
        <v>0</v>
      </c>
      <c r="K2444" s="36"/>
      <c r="L2444" s="36"/>
      <c r="M2444" s="36"/>
      <c r="N2444" s="37"/>
      <c r="O2444" s="37"/>
      <c r="P2444" s="39"/>
      <c r="Q2444" s="37" t="s">
        <v>5280</v>
      </c>
      <c r="R2444" s="37" t="s">
        <v>389</v>
      </c>
      <c r="S2444" s="37"/>
      <c r="T2444" s="31"/>
    </row>
    <row r="2445" spans="1:20">
      <c r="A2445" s="31"/>
      <c r="B2445" s="32"/>
      <c r="C2445" s="33"/>
      <c r="D2445" s="32" t="s">
        <v>5281</v>
      </c>
      <c r="E2445" s="33" t="s">
        <v>42</v>
      </c>
      <c r="F2445" s="34">
        <v>1</v>
      </c>
      <c r="G2445" s="35">
        <v>0</v>
      </c>
      <c r="H2445" s="35">
        <v>0</v>
      </c>
      <c r="I2445" s="35">
        <f>Tabla1[[#This Row],[P.U. M.N.]]*Tabla1[[#This Row],[CANTIDADES DE REFERENCIA]]</f>
        <v>0</v>
      </c>
      <c r="J2445" s="35">
        <f>Tabla1[[#This Row],[P.U. USD]]*Tabla1[[#This Row],[CANTIDADES DE REFERENCIA]]</f>
        <v>0</v>
      </c>
      <c r="K2445" s="36"/>
      <c r="L2445" s="36"/>
      <c r="M2445" s="36"/>
      <c r="N2445" s="37"/>
      <c r="O2445" s="37"/>
      <c r="P2445" s="39"/>
      <c r="Q2445" s="37" t="s">
        <v>5282</v>
      </c>
      <c r="R2445" s="37" t="s">
        <v>389</v>
      </c>
      <c r="S2445" s="37"/>
      <c r="T2445" s="31"/>
    </row>
    <row r="2446" spans="1:20">
      <c r="A2446" s="31"/>
      <c r="B2446" s="32"/>
      <c r="C2446" s="33"/>
      <c r="D2446" s="32" t="s">
        <v>5283</v>
      </c>
      <c r="E2446" s="33" t="s">
        <v>42</v>
      </c>
      <c r="F2446" s="34">
        <v>1</v>
      </c>
      <c r="G2446" s="35">
        <v>0</v>
      </c>
      <c r="H2446" s="35">
        <v>0</v>
      </c>
      <c r="I2446" s="35">
        <f>Tabla1[[#This Row],[P.U. M.N.]]*Tabla1[[#This Row],[CANTIDADES DE REFERENCIA]]</f>
        <v>0</v>
      </c>
      <c r="J2446" s="35">
        <f>Tabla1[[#This Row],[P.U. USD]]*Tabla1[[#This Row],[CANTIDADES DE REFERENCIA]]</f>
        <v>0</v>
      </c>
      <c r="K2446" s="36"/>
      <c r="L2446" s="36"/>
      <c r="M2446" s="36"/>
      <c r="N2446" s="37"/>
      <c r="O2446" s="37"/>
      <c r="P2446" s="39"/>
      <c r="Q2446" s="37" t="s">
        <v>5284</v>
      </c>
      <c r="R2446" s="37" t="s">
        <v>389</v>
      </c>
      <c r="S2446" s="37"/>
      <c r="T2446" s="31"/>
    </row>
    <row r="2447" spans="1:20">
      <c r="A2447" s="31"/>
      <c r="B2447" s="32"/>
      <c r="C2447" s="33"/>
      <c r="D2447" s="32" t="s">
        <v>5285</v>
      </c>
      <c r="E2447" s="33" t="s">
        <v>42</v>
      </c>
      <c r="F2447" s="34">
        <v>1</v>
      </c>
      <c r="G2447" s="35">
        <v>0</v>
      </c>
      <c r="H2447" s="35">
        <v>0</v>
      </c>
      <c r="I2447" s="35">
        <f>Tabla1[[#This Row],[P.U. M.N.]]*Tabla1[[#This Row],[CANTIDADES DE REFERENCIA]]</f>
        <v>0</v>
      </c>
      <c r="J2447" s="35">
        <f>Tabla1[[#This Row],[P.U. USD]]*Tabla1[[#This Row],[CANTIDADES DE REFERENCIA]]</f>
        <v>0</v>
      </c>
      <c r="K2447" s="36"/>
      <c r="L2447" s="36"/>
      <c r="M2447" s="36"/>
      <c r="N2447" s="37"/>
      <c r="O2447" s="37"/>
      <c r="P2447" s="39"/>
      <c r="Q2447" s="37" t="s">
        <v>5286</v>
      </c>
      <c r="R2447" s="37" t="s">
        <v>389</v>
      </c>
      <c r="S2447" s="37"/>
      <c r="T2447" s="31"/>
    </row>
    <row r="2448" spans="1:20">
      <c r="A2448" s="31"/>
      <c r="B2448" s="32"/>
      <c r="C2448" s="33"/>
      <c r="D2448" s="32" t="s">
        <v>5287</v>
      </c>
      <c r="E2448" s="33" t="s">
        <v>42</v>
      </c>
      <c r="F2448" s="34">
        <v>1</v>
      </c>
      <c r="G2448" s="35">
        <v>0</v>
      </c>
      <c r="H2448" s="35">
        <v>0</v>
      </c>
      <c r="I2448" s="35">
        <f>Tabla1[[#This Row],[P.U. M.N.]]*Tabla1[[#This Row],[CANTIDADES DE REFERENCIA]]</f>
        <v>0</v>
      </c>
      <c r="J2448" s="35">
        <f>Tabla1[[#This Row],[P.U. USD]]*Tabla1[[#This Row],[CANTIDADES DE REFERENCIA]]</f>
        <v>0</v>
      </c>
      <c r="K2448" s="36"/>
      <c r="L2448" s="36"/>
      <c r="M2448" s="36"/>
      <c r="N2448" s="37"/>
      <c r="O2448" s="37"/>
      <c r="P2448" s="39"/>
      <c r="Q2448" s="37" t="s">
        <v>5288</v>
      </c>
      <c r="R2448" s="37" t="s">
        <v>389</v>
      </c>
      <c r="S2448" s="37"/>
      <c r="T2448" s="31"/>
    </row>
    <row r="2449" spans="1:20">
      <c r="A2449" s="31"/>
      <c r="B2449" s="32"/>
      <c r="C2449" s="33"/>
      <c r="D2449" s="32" t="s">
        <v>5289</v>
      </c>
      <c r="E2449" s="33" t="s">
        <v>42</v>
      </c>
      <c r="F2449" s="34">
        <v>1</v>
      </c>
      <c r="G2449" s="35">
        <v>0</v>
      </c>
      <c r="H2449" s="35">
        <v>0</v>
      </c>
      <c r="I2449" s="35">
        <f>Tabla1[[#This Row],[P.U. M.N.]]*Tabla1[[#This Row],[CANTIDADES DE REFERENCIA]]</f>
        <v>0</v>
      </c>
      <c r="J2449" s="35">
        <f>Tabla1[[#This Row],[P.U. USD]]*Tabla1[[#This Row],[CANTIDADES DE REFERENCIA]]</f>
        <v>0</v>
      </c>
      <c r="K2449" s="36"/>
      <c r="L2449" s="36"/>
      <c r="M2449" s="36"/>
      <c r="N2449" s="37"/>
      <c r="O2449" s="37"/>
      <c r="P2449" s="39"/>
      <c r="Q2449" s="37" t="s">
        <v>5290</v>
      </c>
      <c r="R2449" s="37" t="s">
        <v>389</v>
      </c>
      <c r="S2449" s="37"/>
      <c r="T2449" s="31"/>
    </row>
    <row r="2450" spans="1:20">
      <c r="A2450" s="31"/>
      <c r="B2450" s="32"/>
      <c r="C2450" s="33"/>
      <c r="D2450" s="32" t="s">
        <v>5291</v>
      </c>
      <c r="E2450" s="33" t="s">
        <v>42</v>
      </c>
      <c r="F2450" s="34">
        <v>1</v>
      </c>
      <c r="G2450" s="35">
        <v>0</v>
      </c>
      <c r="H2450" s="35">
        <v>0</v>
      </c>
      <c r="I2450" s="35">
        <f>Tabla1[[#This Row],[P.U. M.N.]]*Tabla1[[#This Row],[CANTIDADES DE REFERENCIA]]</f>
        <v>0</v>
      </c>
      <c r="J2450" s="35">
        <f>Tabla1[[#This Row],[P.U. USD]]*Tabla1[[#This Row],[CANTIDADES DE REFERENCIA]]</f>
        <v>0</v>
      </c>
      <c r="K2450" s="36"/>
      <c r="L2450" s="36"/>
      <c r="M2450" s="36"/>
      <c r="N2450" s="37"/>
      <c r="O2450" s="37"/>
      <c r="P2450" s="39"/>
      <c r="Q2450" s="37" t="s">
        <v>5292</v>
      </c>
      <c r="R2450" s="37" t="s">
        <v>389</v>
      </c>
      <c r="S2450" s="37"/>
      <c r="T2450" s="31"/>
    </row>
    <row r="2451" spans="1:20">
      <c r="A2451" s="31"/>
      <c r="B2451" s="32"/>
      <c r="C2451" s="33"/>
      <c r="D2451" s="32" t="s">
        <v>5293</v>
      </c>
      <c r="E2451" s="33" t="s">
        <v>42</v>
      </c>
      <c r="F2451" s="34">
        <v>1</v>
      </c>
      <c r="G2451" s="35">
        <v>0</v>
      </c>
      <c r="H2451" s="35">
        <v>0</v>
      </c>
      <c r="I2451" s="35">
        <f>Tabla1[[#This Row],[P.U. M.N.]]*Tabla1[[#This Row],[CANTIDADES DE REFERENCIA]]</f>
        <v>0</v>
      </c>
      <c r="J2451" s="35">
        <f>Tabla1[[#This Row],[P.U. USD]]*Tabla1[[#This Row],[CANTIDADES DE REFERENCIA]]</f>
        <v>0</v>
      </c>
      <c r="K2451" s="36"/>
      <c r="L2451" s="36"/>
      <c r="M2451" s="36"/>
      <c r="N2451" s="37"/>
      <c r="O2451" s="37"/>
      <c r="P2451" s="39"/>
      <c r="Q2451" s="37" t="s">
        <v>5294</v>
      </c>
      <c r="R2451" s="37" t="s">
        <v>389</v>
      </c>
      <c r="S2451" s="37"/>
      <c r="T2451" s="31"/>
    </row>
    <row r="2452" spans="1:20">
      <c r="A2452" s="31"/>
      <c r="B2452" s="32"/>
      <c r="C2452" s="33"/>
      <c r="D2452" s="32" t="s">
        <v>5295</v>
      </c>
      <c r="E2452" s="33" t="s">
        <v>42</v>
      </c>
      <c r="F2452" s="34">
        <v>1</v>
      </c>
      <c r="G2452" s="35">
        <v>0</v>
      </c>
      <c r="H2452" s="35">
        <v>0</v>
      </c>
      <c r="I2452" s="35">
        <f>Tabla1[[#This Row],[P.U. M.N.]]*Tabla1[[#This Row],[CANTIDADES DE REFERENCIA]]</f>
        <v>0</v>
      </c>
      <c r="J2452" s="35">
        <f>Tabla1[[#This Row],[P.U. USD]]*Tabla1[[#This Row],[CANTIDADES DE REFERENCIA]]</f>
        <v>0</v>
      </c>
      <c r="K2452" s="36"/>
      <c r="L2452" s="36"/>
      <c r="M2452" s="36"/>
      <c r="N2452" s="37"/>
      <c r="O2452" s="37"/>
      <c r="P2452" s="39"/>
      <c r="Q2452" s="37" t="s">
        <v>5296</v>
      </c>
      <c r="R2452" s="37" t="s">
        <v>389</v>
      </c>
      <c r="S2452" s="37"/>
      <c r="T2452" s="31"/>
    </row>
    <row r="2453" spans="1:20">
      <c r="A2453" s="31"/>
      <c r="B2453" s="32"/>
      <c r="C2453" s="33"/>
      <c r="D2453" s="32" t="s">
        <v>5297</v>
      </c>
      <c r="E2453" s="33" t="s">
        <v>42</v>
      </c>
      <c r="F2453" s="34">
        <v>1</v>
      </c>
      <c r="G2453" s="35">
        <v>0</v>
      </c>
      <c r="H2453" s="35">
        <v>0</v>
      </c>
      <c r="I2453" s="35">
        <f>Tabla1[[#This Row],[P.U. M.N.]]*Tabla1[[#This Row],[CANTIDADES DE REFERENCIA]]</f>
        <v>0</v>
      </c>
      <c r="J2453" s="35">
        <f>Tabla1[[#This Row],[P.U. USD]]*Tabla1[[#This Row],[CANTIDADES DE REFERENCIA]]</f>
        <v>0</v>
      </c>
      <c r="K2453" s="36"/>
      <c r="L2453" s="36"/>
      <c r="M2453" s="36"/>
      <c r="N2453" s="37"/>
      <c r="O2453" s="37"/>
      <c r="P2453" s="39"/>
      <c r="Q2453" s="37" t="s">
        <v>5298</v>
      </c>
      <c r="R2453" s="37" t="s">
        <v>389</v>
      </c>
      <c r="S2453" s="37"/>
      <c r="T2453" s="31"/>
    </row>
    <row r="2454" spans="1:20">
      <c r="A2454" s="31"/>
      <c r="B2454" s="32"/>
      <c r="C2454" s="33"/>
      <c r="D2454" s="32" t="s">
        <v>5299</v>
      </c>
      <c r="E2454" s="33" t="s">
        <v>42</v>
      </c>
      <c r="F2454" s="34">
        <v>1</v>
      </c>
      <c r="G2454" s="35">
        <v>0</v>
      </c>
      <c r="H2454" s="35">
        <v>0</v>
      </c>
      <c r="I2454" s="35">
        <f>Tabla1[[#This Row],[P.U. M.N.]]*Tabla1[[#This Row],[CANTIDADES DE REFERENCIA]]</f>
        <v>0</v>
      </c>
      <c r="J2454" s="35">
        <f>Tabla1[[#This Row],[P.U. USD]]*Tabla1[[#This Row],[CANTIDADES DE REFERENCIA]]</f>
        <v>0</v>
      </c>
      <c r="K2454" s="36"/>
      <c r="L2454" s="36"/>
      <c r="M2454" s="36"/>
      <c r="N2454" s="37"/>
      <c r="O2454" s="37"/>
      <c r="P2454" s="39"/>
      <c r="Q2454" s="37" t="s">
        <v>5300</v>
      </c>
      <c r="R2454" s="37" t="s">
        <v>389</v>
      </c>
      <c r="S2454" s="37"/>
      <c r="T2454" s="31"/>
    </row>
    <row r="2455" spans="1:20">
      <c r="A2455" s="31"/>
      <c r="B2455" s="32"/>
      <c r="C2455" s="33"/>
      <c r="D2455" s="32" t="s">
        <v>5301</v>
      </c>
      <c r="E2455" s="33" t="s">
        <v>42</v>
      </c>
      <c r="F2455" s="34">
        <v>1</v>
      </c>
      <c r="G2455" s="35">
        <v>0</v>
      </c>
      <c r="H2455" s="35">
        <v>0</v>
      </c>
      <c r="I2455" s="35">
        <f>Tabla1[[#This Row],[P.U. M.N.]]*Tabla1[[#This Row],[CANTIDADES DE REFERENCIA]]</f>
        <v>0</v>
      </c>
      <c r="J2455" s="35">
        <f>Tabla1[[#This Row],[P.U. USD]]*Tabla1[[#This Row],[CANTIDADES DE REFERENCIA]]</f>
        <v>0</v>
      </c>
      <c r="K2455" s="36"/>
      <c r="L2455" s="36"/>
      <c r="M2455" s="36"/>
      <c r="N2455" s="37"/>
      <c r="O2455" s="37"/>
      <c r="P2455" s="39"/>
      <c r="Q2455" s="37" t="s">
        <v>5302</v>
      </c>
      <c r="R2455" s="37" t="s">
        <v>389</v>
      </c>
      <c r="S2455" s="37"/>
      <c r="T2455" s="31"/>
    </row>
    <row r="2456" spans="1:20">
      <c r="A2456" s="31"/>
      <c r="B2456" s="32"/>
      <c r="C2456" s="33"/>
      <c r="D2456" s="32" t="s">
        <v>5303</v>
      </c>
      <c r="E2456" s="33" t="s">
        <v>61</v>
      </c>
      <c r="F2456" s="34">
        <v>1</v>
      </c>
      <c r="G2456" s="35">
        <v>0</v>
      </c>
      <c r="H2456" s="35">
        <v>0</v>
      </c>
      <c r="I2456" s="35">
        <f>Tabla1[[#This Row],[P.U. M.N.]]*Tabla1[[#This Row],[CANTIDADES DE REFERENCIA]]</f>
        <v>0</v>
      </c>
      <c r="J2456" s="35">
        <f>Tabla1[[#This Row],[P.U. USD]]*Tabla1[[#This Row],[CANTIDADES DE REFERENCIA]]</f>
        <v>0</v>
      </c>
      <c r="K2456" s="36"/>
      <c r="L2456" s="36"/>
      <c r="M2456" s="36"/>
      <c r="N2456" s="37"/>
      <c r="O2456" s="37"/>
      <c r="P2456" s="39"/>
      <c r="Q2456" s="37" t="s">
        <v>5304</v>
      </c>
      <c r="R2456" s="37" t="s">
        <v>389</v>
      </c>
      <c r="S2456" s="37"/>
      <c r="T2456" s="31"/>
    </row>
    <row r="2457" spans="1:20">
      <c r="A2457" s="31"/>
      <c r="B2457" s="32"/>
      <c r="C2457" s="33"/>
      <c r="D2457" s="32" t="s">
        <v>5305</v>
      </c>
      <c r="E2457" s="33" t="s">
        <v>61</v>
      </c>
      <c r="F2457" s="34">
        <v>1</v>
      </c>
      <c r="G2457" s="35">
        <v>0</v>
      </c>
      <c r="H2457" s="35">
        <v>0</v>
      </c>
      <c r="I2457" s="35">
        <f>Tabla1[[#This Row],[P.U. M.N.]]*Tabla1[[#This Row],[CANTIDADES DE REFERENCIA]]</f>
        <v>0</v>
      </c>
      <c r="J2457" s="35">
        <f>Tabla1[[#This Row],[P.U. USD]]*Tabla1[[#This Row],[CANTIDADES DE REFERENCIA]]</f>
        <v>0</v>
      </c>
      <c r="K2457" s="36"/>
      <c r="L2457" s="36"/>
      <c r="M2457" s="36"/>
      <c r="N2457" s="37" t="s">
        <v>3790</v>
      </c>
      <c r="O2457" s="37" t="s">
        <v>3791</v>
      </c>
      <c r="P2457" s="39"/>
      <c r="Q2457" s="37" t="s">
        <v>5306</v>
      </c>
      <c r="R2457" s="37" t="s">
        <v>389</v>
      </c>
      <c r="S2457" s="37" t="s">
        <v>4658</v>
      </c>
      <c r="T2457" s="31"/>
    </row>
    <row r="2458" spans="1:20">
      <c r="A2458" s="31"/>
      <c r="B2458" s="32"/>
      <c r="C2458" s="33"/>
      <c r="D2458" s="32" t="s">
        <v>5307</v>
      </c>
      <c r="E2458" s="33" t="s">
        <v>61</v>
      </c>
      <c r="F2458" s="34">
        <v>1</v>
      </c>
      <c r="G2458" s="35">
        <v>0</v>
      </c>
      <c r="H2458" s="35">
        <v>0</v>
      </c>
      <c r="I2458" s="35">
        <f>Tabla1[[#This Row],[P.U. M.N.]]*Tabla1[[#This Row],[CANTIDADES DE REFERENCIA]]</f>
        <v>0</v>
      </c>
      <c r="J2458" s="35">
        <f>Tabla1[[#This Row],[P.U. USD]]*Tabla1[[#This Row],[CANTIDADES DE REFERENCIA]]</f>
        <v>0</v>
      </c>
      <c r="K2458" s="36"/>
      <c r="L2458" s="36"/>
      <c r="M2458" s="36"/>
      <c r="N2458" s="37" t="s">
        <v>3790</v>
      </c>
      <c r="O2458" s="37" t="s">
        <v>3791</v>
      </c>
      <c r="P2458" s="39"/>
      <c r="Q2458" s="37" t="s">
        <v>5308</v>
      </c>
      <c r="R2458" s="37" t="s">
        <v>389</v>
      </c>
      <c r="S2458" s="37" t="s">
        <v>4658</v>
      </c>
      <c r="T2458" s="31"/>
    </row>
    <row r="2459" spans="1:20">
      <c r="A2459" s="31"/>
      <c r="B2459" s="32"/>
      <c r="C2459" s="33"/>
      <c r="D2459" s="32" t="s">
        <v>5309</v>
      </c>
      <c r="E2459" s="33" t="s">
        <v>61</v>
      </c>
      <c r="F2459" s="34">
        <v>1</v>
      </c>
      <c r="G2459" s="35">
        <v>0</v>
      </c>
      <c r="H2459" s="35">
        <v>0</v>
      </c>
      <c r="I2459" s="35">
        <f>Tabla1[[#This Row],[P.U. M.N.]]*Tabla1[[#This Row],[CANTIDADES DE REFERENCIA]]</f>
        <v>0</v>
      </c>
      <c r="J2459" s="35">
        <f>Tabla1[[#This Row],[P.U. USD]]*Tabla1[[#This Row],[CANTIDADES DE REFERENCIA]]</f>
        <v>0</v>
      </c>
      <c r="K2459" s="36"/>
      <c r="L2459" s="36"/>
      <c r="M2459" s="36"/>
      <c r="N2459" s="37"/>
      <c r="O2459" s="37"/>
      <c r="P2459" s="39"/>
      <c r="Q2459" s="37" t="s">
        <v>5310</v>
      </c>
      <c r="R2459" s="37" t="s">
        <v>389</v>
      </c>
      <c r="S2459" s="37"/>
      <c r="T2459" s="31"/>
    </row>
    <row r="2460" spans="1:20">
      <c r="A2460" s="31"/>
      <c r="B2460" s="32"/>
      <c r="C2460" s="33"/>
      <c r="D2460" s="32" t="s">
        <v>5311</v>
      </c>
      <c r="E2460" s="33" t="s">
        <v>61</v>
      </c>
      <c r="F2460" s="34">
        <v>1</v>
      </c>
      <c r="G2460" s="35">
        <v>0</v>
      </c>
      <c r="H2460" s="35">
        <v>0</v>
      </c>
      <c r="I2460" s="35">
        <f>Tabla1[[#This Row],[P.U. M.N.]]*Tabla1[[#This Row],[CANTIDADES DE REFERENCIA]]</f>
        <v>0</v>
      </c>
      <c r="J2460" s="35">
        <f>Tabla1[[#This Row],[P.U. USD]]*Tabla1[[#This Row],[CANTIDADES DE REFERENCIA]]</f>
        <v>0</v>
      </c>
      <c r="K2460" s="36"/>
      <c r="L2460" s="36"/>
      <c r="M2460" s="36"/>
      <c r="N2460" s="37"/>
      <c r="O2460" s="37"/>
      <c r="P2460" s="39"/>
      <c r="Q2460" s="37" t="s">
        <v>5312</v>
      </c>
      <c r="R2460" s="37" t="s">
        <v>389</v>
      </c>
      <c r="S2460" s="37"/>
      <c r="T2460" s="31"/>
    </row>
    <row r="2461" spans="1:20">
      <c r="A2461" s="31"/>
      <c r="B2461" s="32"/>
      <c r="C2461" s="33"/>
      <c r="D2461" s="32" t="s">
        <v>5313</v>
      </c>
      <c r="E2461" s="33" t="s">
        <v>61</v>
      </c>
      <c r="F2461" s="34">
        <v>1</v>
      </c>
      <c r="G2461" s="35">
        <v>0</v>
      </c>
      <c r="H2461" s="35">
        <v>0</v>
      </c>
      <c r="I2461" s="35">
        <f>Tabla1[[#This Row],[P.U. M.N.]]*Tabla1[[#This Row],[CANTIDADES DE REFERENCIA]]</f>
        <v>0</v>
      </c>
      <c r="J2461" s="35">
        <f>Tabla1[[#This Row],[P.U. USD]]*Tabla1[[#This Row],[CANTIDADES DE REFERENCIA]]</f>
        <v>0</v>
      </c>
      <c r="K2461" s="36"/>
      <c r="L2461" s="36"/>
      <c r="M2461" s="36"/>
      <c r="N2461" s="37"/>
      <c r="O2461" s="37"/>
      <c r="P2461" s="39"/>
      <c r="Q2461" s="37" t="s">
        <v>5314</v>
      </c>
      <c r="R2461" s="37" t="s">
        <v>389</v>
      </c>
      <c r="S2461" s="37"/>
      <c r="T2461" s="31"/>
    </row>
    <row r="2462" spans="1:20">
      <c r="A2462" s="31"/>
      <c r="B2462" s="32"/>
      <c r="C2462" s="33"/>
      <c r="D2462" s="32" t="s">
        <v>5315</v>
      </c>
      <c r="E2462" s="33" t="s">
        <v>61</v>
      </c>
      <c r="F2462" s="34">
        <v>1</v>
      </c>
      <c r="G2462" s="35">
        <v>0</v>
      </c>
      <c r="H2462" s="35">
        <v>0</v>
      </c>
      <c r="I2462" s="35">
        <f>Tabla1[[#This Row],[P.U. M.N.]]*Tabla1[[#This Row],[CANTIDADES DE REFERENCIA]]</f>
        <v>0</v>
      </c>
      <c r="J2462" s="35">
        <f>Tabla1[[#This Row],[P.U. USD]]*Tabla1[[#This Row],[CANTIDADES DE REFERENCIA]]</f>
        <v>0</v>
      </c>
      <c r="K2462" s="36"/>
      <c r="L2462" s="36"/>
      <c r="M2462" s="36"/>
      <c r="N2462" s="37"/>
      <c r="O2462" s="37"/>
      <c r="P2462" s="39"/>
      <c r="Q2462" s="37" t="s">
        <v>5316</v>
      </c>
      <c r="R2462" s="37" t="s">
        <v>389</v>
      </c>
      <c r="S2462" s="37"/>
      <c r="T2462" s="31"/>
    </row>
    <row r="2463" spans="1:20">
      <c r="A2463" s="31"/>
      <c r="B2463" s="32"/>
      <c r="C2463" s="33"/>
      <c r="D2463" s="32" t="s">
        <v>5317</v>
      </c>
      <c r="E2463" s="33" t="s">
        <v>61</v>
      </c>
      <c r="F2463" s="34">
        <v>1</v>
      </c>
      <c r="G2463" s="35">
        <v>0</v>
      </c>
      <c r="H2463" s="35">
        <v>0</v>
      </c>
      <c r="I2463" s="35">
        <f>Tabla1[[#This Row],[P.U. M.N.]]*Tabla1[[#This Row],[CANTIDADES DE REFERENCIA]]</f>
        <v>0</v>
      </c>
      <c r="J2463" s="35">
        <f>Tabla1[[#This Row],[P.U. USD]]*Tabla1[[#This Row],[CANTIDADES DE REFERENCIA]]</f>
        <v>0</v>
      </c>
      <c r="K2463" s="36"/>
      <c r="L2463" s="36"/>
      <c r="M2463" s="36"/>
      <c r="N2463" s="37"/>
      <c r="O2463" s="37"/>
      <c r="P2463" s="39"/>
      <c r="Q2463" s="37" t="s">
        <v>5318</v>
      </c>
      <c r="R2463" s="37" t="s">
        <v>389</v>
      </c>
      <c r="S2463" s="37"/>
      <c r="T2463" s="31"/>
    </row>
    <row r="2464" spans="1:20">
      <c r="A2464" s="31"/>
      <c r="B2464" s="32"/>
      <c r="C2464" s="33"/>
      <c r="D2464" s="32" t="s">
        <v>5319</v>
      </c>
      <c r="E2464" s="33" t="s">
        <v>61</v>
      </c>
      <c r="F2464" s="34">
        <v>1</v>
      </c>
      <c r="G2464" s="35">
        <v>0</v>
      </c>
      <c r="H2464" s="35">
        <v>0</v>
      </c>
      <c r="I2464" s="35">
        <f>Tabla1[[#This Row],[P.U. M.N.]]*Tabla1[[#This Row],[CANTIDADES DE REFERENCIA]]</f>
        <v>0</v>
      </c>
      <c r="J2464" s="35">
        <f>Tabla1[[#This Row],[P.U. USD]]*Tabla1[[#This Row],[CANTIDADES DE REFERENCIA]]</f>
        <v>0</v>
      </c>
      <c r="K2464" s="36"/>
      <c r="L2464" s="36"/>
      <c r="M2464" s="36"/>
      <c r="N2464" s="37"/>
      <c r="O2464" s="37"/>
      <c r="P2464" s="39"/>
      <c r="Q2464" s="37" t="s">
        <v>5320</v>
      </c>
      <c r="R2464" s="37" t="s">
        <v>389</v>
      </c>
      <c r="S2464" s="37"/>
      <c r="T2464" s="31"/>
    </row>
    <row r="2465" spans="1:20">
      <c r="A2465" s="31"/>
      <c r="B2465" s="32"/>
      <c r="C2465" s="33"/>
      <c r="D2465" s="32" t="s">
        <v>5321</v>
      </c>
      <c r="E2465" s="33" t="s">
        <v>61</v>
      </c>
      <c r="F2465" s="34">
        <v>1</v>
      </c>
      <c r="G2465" s="35">
        <v>0</v>
      </c>
      <c r="H2465" s="35">
        <v>0</v>
      </c>
      <c r="I2465" s="35">
        <f>Tabla1[[#This Row],[P.U. M.N.]]*Tabla1[[#This Row],[CANTIDADES DE REFERENCIA]]</f>
        <v>0</v>
      </c>
      <c r="J2465" s="35">
        <f>Tabla1[[#This Row],[P.U. USD]]*Tabla1[[#This Row],[CANTIDADES DE REFERENCIA]]</f>
        <v>0</v>
      </c>
      <c r="K2465" s="36"/>
      <c r="L2465" s="36"/>
      <c r="M2465" s="36"/>
      <c r="N2465" s="37" t="s">
        <v>5257</v>
      </c>
      <c r="O2465" s="37"/>
      <c r="P2465" s="39"/>
      <c r="Q2465" s="37" t="s">
        <v>5322</v>
      </c>
      <c r="R2465" s="37" t="s">
        <v>389</v>
      </c>
      <c r="S2465" s="37"/>
      <c r="T2465" s="31"/>
    </row>
    <row r="2466" spans="1:20" ht="15" customHeight="1">
      <c r="A2466" s="31"/>
      <c r="B2466" s="32"/>
      <c r="C2466" s="33"/>
      <c r="D2466" s="32" t="s">
        <v>5323</v>
      </c>
      <c r="E2466" s="33" t="s">
        <v>61</v>
      </c>
      <c r="F2466" s="34">
        <v>1</v>
      </c>
      <c r="G2466" s="35">
        <v>0</v>
      </c>
      <c r="H2466" s="35">
        <v>0</v>
      </c>
      <c r="I2466" s="35">
        <f>Tabla1[[#This Row],[P.U. M.N.]]*Tabla1[[#This Row],[CANTIDADES DE REFERENCIA]]</f>
        <v>0</v>
      </c>
      <c r="J2466" s="35">
        <f>Tabla1[[#This Row],[P.U. USD]]*Tabla1[[#This Row],[CANTIDADES DE REFERENCIA]]</f>
        <v>0</v>
      </c>
      <c r="K2466" s="36"/>
      <c r="L2466" s="36"/>
      <c r="M2466" s="36"/>
      <c r="N2466" s="37" t="s">
        <v>5257</v>
      </c>
      <c r="O2466" s="37"/>
      <c r="P2466" s="39"/>
      <c r="Q2466" s="37" t="s">
        <v>5324</v>
      </c>
      <c r="R2466" s="37" t="s">
        <v>389</v>
      </c>
      <c r="S2466" s="37"/>
      <c r="T2466" s="31"/>
    </row>
    <row r="2467" spans="1:20" ht="15" customHeight="1">
      <c r="A2467" s="31"/>
      <c r="B2467" s="32"/>
      <c r="C2467" s="33"/>
      <c r="D2467" s="32" t="s">
        <v>5325</v>
      </c>
      <c r="E2467" s="33" t="s">
        <v>116</v>
      </c>
      <c r="F2467" s="34">
        <v>1</v>
      </c>
      <c r="G2467" s="35">
        <v>0</v>
      </c>
      <c r="H2467" s="35">
        <v>0</v>
      </c>
      <c r="I2467" s="35">
        <f>Tabla1[[#This Row],[P.U. M.N.]]*Tabla1[[#This Row],[CANTIDADES DE REFERENCIA]]</f>
        <v>0</v>
      </c>
      <c r="J2467" s="35">
        <f>Tabla1[[#This Row],[P.U. USD]]*Tabla1[[#This Row],[CANTIDADES DE REFERENCIA]]</f>
        <v>0</v>
      </c>
      <c r="K2467" s="36"/>
      <c r="L2467" s="36"/>
      <c r="M2467" s="36"/>
      <c r="N2467" s="37"/>
      <c r="O2467" s="37"/>
      <c r="P2467" s="39"/>
      <c r="Q2467" s="37" t="s">
        <v>5326</v>
      </c>
      <c r="R2467" s="37" t="s">
        <v>389</v>
      </c>
      <c r="S2467" s="37" t="s">
        <v>5327</v>
      </c>
      <c r="T2467" s="31"/>
    </row>
    <row r="2468" spans="1:20" ht="15" customHeight="1">
      <c r="A2468" s="31"/>
      <c r="B2468" s="32"/>
      <c r="C2468" s="33"/>
      <c r="D2468" s="32" t="s">
        <v>5328</v>
      </c>
      <c r="E2468" s="33" t="s">
        <v>116</v>
      </c>
      <c r="F2468" s="34">
        <v>1</v>
      </c>
      <c r="G2468" s="35">
        <v>0</v>
      </c>
      <c r="H2468" s="35">
        <v>0</v>
      </c>
      <c r="I2468" s="35">
        <f>Tabla1[[#This Row],[P.U. M.N.]]*Tabla1[[#This Row],[CANTIDADES DE REFERENCIA]]</f>
        <v>0</v>
      </c>
      <c r="J2468" s="35">
        <f>Tabla1[[#This Row],[P.U. USD]]*Tabla1[[#This Row],[CANTIDADES DE REFERENCIA]]</f>
        <v>0</v>
      </c>
      <c r="K2468" s="36"/>
      <c r="L2468" s="36"/>
      <c r="M2468" s="36"/>
      <c r="N2468" s="37"/>
      <c r="O2468" s="37"/>
      <c r="P2468" s="39"/>
      <c r="Q2468" s="37" t="s">
        <v>5329</v>
      </c>
      <c r="R2468" s="37"/>
      <c r="S2468" s="37"/>
      <c r="T2468" s="31"/>
    </row>
    <row r="2469" spans="1:20" s="24" customFormat="1" ht="15" customHeight="1">
      <c r="A2469" s="31"/>
      <c r="B2469" s="32"/>
      <c r="C2469" s="33"/>
      <c r="D2469" s="32" t="s">
        <v>5330</v>
      </c>
      <c r="E2469" s="33" t="s">
        <v>116</v>
      </c>
      <c r="F2469" s="34">
        <v>1</v>
      </c>
      <c r="G2469" s="35">
        <v>0</v>
      </c>
      <c r="H2469" s="35">
        <v>0</v>
      </c>
      <c r="I2469" s="35">
        <f>Tabla1[[#This Row],[P.U. M.N.]]*Tabla1[[#This Row],[CANTIDADES DE REFERENCIA]]</f>
        <v>0</v>
      </c>
      <c r="J2469" s="35">
        <f>Tabla1[[#This Row],[P.U. USD]]*Tabla1[[#This Row],[CANTIDADES DE REFERENCIA]]</f>
        <v>0</v>
      </c>
      <c r="K2469" s="36"/>
      <c r="L2469" s="36"/>
      <c r="M2469" s="36"/>
      <c r="N2469" s="37" t="s">
        <v>1036</v>
      </c>
      <c r="O2469" s="37"/>
      <c r="P2469" s="39"/>
      <c r="Q2469" s="37" t="s">
        <v>5331</v>
      </c>
      <c r="R2469" s="37" t="s">
        <v>389</v>
      </c>
      <c r="S2469" s="37"/>
      <c r="T2469" s="31"/>
    </row>
    <row r="2470" spans="1:20" s="24" customFormat="1" ht="15" customHeight="1">
      <c r="A2470" s="31"/>
      <c r="B2470" s="32"/>
      <c r="C2470" s="33"/>
      <c r="D2470" s="32" t="s">
        <v>5332</v>
      </c>
      <c r="E2470" s="33" t="s">
        <v>116</v>
      </c>
      <c r="F2470" s="34">
        <v>1</v>
      </c>
      <c r="G2470" s="35">
        <v>0</v>
      </c>
      <c r="H2470" s="35">
        <v>0</v>
      </c>
      <c r="I2470" s="35">
        <f>Tabla1[[#This Row],[P.U. M.N.]]*Tabla1[[#This Row],[CANTIDADES DE REFERENCIA]]</f>
        <v>0</v>
      </c>
      <c r="J2470" s="35">
        <f>Tabla1[[#This Row],[P.U. USD]]*Tabla1[[#This Row],[CANTIDADES DE REFERENCIA]]</f>
        <v>0</v>
      </c>
      <c r="K2470" s="36"/>
      <c r="L2470" s="36"/>
      <c r="M2470" s="36"/>
      <c r="N2470" s="37" t="s">
        <v>1036</v>
      </c>
      <c r="O2470" s="37"/>
      <c r="P2470" s="39"/>
      <c r="Q2470" s="37" t="s">
        <v>5333</v>
      </c>
      <c r="R2470" s="37" t="s">
        <v>389</v>
      </c>
      <c r="S2470" s="37"/>
      <c r="T2470" s="31"/>
    </row>
    <row r="2471" spans="1:20" s="24" customFormat="1" ht="15" customHeight="1">
      <c r="A2471" s="31"/>
      <c r="B2471" s="32"/>
      <c r="C2471" s="33"/>
      <c r="D2471" s="32" t="s">
        <v>5334</v>
      </c>
      <c r="E2471" s="33" t="s">
        <v>116</v>
      </c>
      <c r="F2471" s="34">
        <v>1</v>
      </c>
      <c r="G2471" s="35">
        <v>0</v>
      </c>
      <c r="H2471" s="35">
        <v>0</v>
      </c>
      <c r="I2471" s="35">
        <f>Tabla1[[#This Row],[P.U. M.N.]]*Tabla1[[#This Row],[CANTIDADES DE REFERENCIA]]</f>
        <v>0</v>
      </c>
      <c r="J2471" s="35">
        <f>Tabla1[[#This Row],[P.U. USD]]*Tabla1[[#This Row],[CANTIDADES DE REFERENCIA]]</f>
        <v>0</v>
      </c>
      <c r="K2471" s="36"/>
      <c r="L2471" s="36"/>
      <c r="M2471" s="36"/>
      <c r="N2471" s="37" t="s">
        <v>1036</v>
      </c>
      <c r="O2471" s="37"/>
      <c r="P2471" s="39"/>
      <c r="Q2471" s="37" t="s">
        <v>5335</v>
      </c>
      <c r="R2471" s="37" t="s">
        <v>389</v>
      </c>
      <c r="S2471" s="37"/>
      <c r="T2471" s="31"/>
    </row>
    <row r="2472" spans="1:20" s="24" customFormat="1" ht="15" customHeight="1">
      <c r="A2472" s="31"/>
      <c r="B2472" s="32"/>
      <c r="C2472" s="33"/>
      <c r="D2472" s="32" t="s">
        <v>5336</v>
      </c>
      <c r="E2472" s="33" t="s">
        <v>116</v>
      </c>
      <c r="F2472" s="34">
        <v>1</v>
      </c>
      <c r="G2472" s="35">
        <v>0</v>
      </c>
      <c r="H2472" s="35">
        <v>0</v>
      </c>
      <c r="I2472" s="35">
        <f>Tabla1[[#This Row],[P.U. M.N.]]*Tabla1[[#This Row],[CANTIDADES DE REFERENCIA]]</f>
        <v>0</v>
      </c>
      <c r="J2472" s="35">
        <f>Tabla1[[#This Row],[P.U. USD]]*Tabla1[[#This Row],[CANTIDADES DE REFERENCIA]]</f>
        <v>0</v>
      </c>
      <c r="K2472" s="36"/>
      <c r="L2472" s="36"/>
      <c r="M2472" s="36"/>
      <c r="N2472" s="37" t="s">
        <v>1036</v>
      </c>
      <c r="O2472" s="37"/>
      <c r="P2472" s="39"/>
      <c r="Q2472" s="37" t="s">
        <v>5337</v>
      </c>
      <c r="R2472" s="37" t="s">
        <v>389</v>
      </c>
      <c r="S2472" s="37"/>
      <c r="T2472" s="31"/>
    </row>
    <row r="2473" spans="1:20" s="24" customFormat="1" ht="15" customHeight="1">
      <c r="A2473" s="31"/>
      <c r="B2473" s="32"/>
      <c r="C2473" s="33"/>
      <c r="D2473" s="32" t="s">
        <v>5338</v>
      </c>
      <c r="E2473" s="33" t="s">
        <v>116</v>
      </c>
      <c r="F2473" s="34">
        <v>1</v>
      </c>
      <c r="G2473" s="35">
        <v>0</v>
      </c>
      <c r="H2473" s="35">
        <v>0</v>
      </c>
      <c r="I2473" s="35">
        <f>Tabla1[[#This Row],[P.U. M.N.]]*Tabla1[[#This Row],[CANTIDADES DE REFERENCIA]]</f>
        <v>0</v>
      </c>
      <c r="J2473" s="35">
        <f>Tabla1[[#This Row],[P.U. USD]]*Tabla1[[#This Row],[CANTIDADES DE REFERENCIA]]</f>
        <v>0</v>
      </c>
      <c r="K2473" s="36"/>
      <c r="L2473" s="36"/>
      <c r="M2473" s="36"/>
      <c r="N2473" s="37" t="s">
        <v>1036</v>
      </c>
      <c r="O2473" s="37"/>
      <c r="P2473" s="39"/>
      <c r="Q2473" s="37" t="s">
        <v>5339</v>
      </c>
      <c r="R2473" s="37" t="s">
        <v>389</v>
      </c>
      <c r="S2473" s="37"/>
      <c r="T2473" s="31"/>
    </row>
    <row r="2474" spans="1:20" s="24" customFormat="1" ht="15" customHeight="1">
      <c r="A2474" s="31"/>
      <c r="B2474" s="32"/>
      <c r="C2474" s="33"/>
      <c r="D2474" s="32" t="s">
        <v>5340</v>
      </c>
      <c r="E2474" s="33" t="s">
        <v>116</v>
      </c>
      <c r="F2474" s="34">
        <v>1</v>
      </c>
      <c r="G2474" s="35">
        <v>0</v>
      </c>
      <c r="H2474" s="35">
        <v>0</v>
      </c>
      <c r="I2474" s="35">
        <f>Tabla1[[#This Row],[P.U. M.N.]]*Tabla1[[#This Row],[CANTIDADES DE REFERENCIA]]</f>
        <v>0</v>
      </c>
      <c r="J2474" s="35">
        <f>Tabla1[[#This Row],[P.U. USD]]*Tabla1[[#This Row],[CANTIDADES DE REFERENCIA]]</f>
        <v>0</v>
      </c>
      <c r="K2474" s="36"/>
      <c r="L2474" s="36"/>
      <c r="M2474" s="36"/>
      <c r="N2474" s="37" t="s">
        <v>1036</v>
      </c>
      <c r="O2474" s="37"/>
      <c r="P2474" s="39"/>
      <c r="Q2474" s="37" t="s">
        <v>5341</v>
      </c>
      <c r="R2474" s="37" t="s">
        <v>389</v>
      </c>
      <c r="S2474" s="37"/>
      <c r="T2474" s="31"/>
    </row>
    <row r="2475" spans="1:20" s="24" customFormat="1" ht="15" customHeight="1">
      <c r="A2475" s="31"/>
      <c r="B2475" s="32"/>
      <c r="C2475" s="33"/>
      <c r="D2475" s="32" t="s">
        <v>5342</v>
      </c>
      <c r="E2475" s="33" t="s">
        <v>116</v>
      </c>
      <c r="F2475" s="34">
        <v>1</v>
      </c>
      <c r="G2475" s="35">
        <v>0</v>
      </c>
      <c r="H2475" s="35">
        <v>0</v>
      </c>
      <c r="I2475" s="35">
        <f>Tabla1[[#This Row],[P.U. M.N.]]*Tabla1[[#This Row],[CANTIDADES DE REFERENCIA]]</f>
        <v>0</v>
      </c>
      <c r="J2475" s="35">
        <f>Tabla1[[#This Row],[P.U. USD]]*Tabla1[[#This Row],[CANTIDADES DE REFERENCIA]]</f>
        <v>0</v>
      </c>
      <c r="K2475" s="36"/>
      <c r="L2475" s="36"/>
      <c r="M2475" s="36"/>
      <c r="N2475" s="37" t="s">
        <v>1036</v>
      </c>
      <c r="O2475" s="37"/>
      <c r="P2475" s="39"/>
      <c r="Q2475" s="37" t="s">
        <v>5343</v>
      </c>
      <c r="R2475" s="37" t="s">
        <v>389</v>
      </c>
      <c r="S2475" s="37"/>
      <c r="T2475" s="31"/>
    </row>
    <row r="2476" spans="1:20" s="24" customFormat="1" ht="15" customHeight="1">
      <c r="A2476" s="31"/>
      <c r="B2476" s="32"/>
      <c r="C2476" s="33"/>
      <c r="D2476" s="32" t="s">
        <v>5344</v>
      </c>
      <c r="E2476" s="33" t="s">
        <v>116</v>
      </c>
      <c r="F2476" s="34">
        <v>1</v>
      </c>
      <c r="G2476" s="35">
        <v>0</v>
      </c>
      <c r="H2476" s="35">
        <v>0</v>
      </c>
      <c r="I2476" s="35">
        <f>Tabla1[[#This Row],[P.U. M.N.]]*Tabla1[[#This Row],[CANTIDADES DE REFERENCIA]]</f>
        <v>0</v>
      </c>
      <c r="J2476" s="35">
        <f>Tabla1[[#This Row],[P.U. USD]]*Tabla1[[#This Row],[CANTIDADES DE REFERENCIA]]</f>
        <v>0</v>
      </c>
      <c r="K2476" s="36"/>
      <c r="L2476" s="36"/>
      <c r="M2476" s="36"/>
      <c r="N2476" s="37" t="s">
        <v>1036</v>
      </c>
      <c r="O2476" s="37"/>
      <c r="P2476" s="39"/>
      <c r="Q2476" s="37" t="s">
        <v>5345</v>
      </c>
      <c r="R2476" s="37" t="s">
        <v>389</v>
      </c>
      <c r="S2476" s="37"/>
      <c r="T2476" s="31"/>
    </row>
    <row r="2477" spans="1:20" s="24" customFormat="1" ht="15" customHeight="1">
      <c r="A2477" s="31"/>
      <c r="B2477" s="32"/>
      <c r="C2477" s="33"/>
      <c r="D2477" s="32" t="s">
        <v>5346</v>
      </c>
      <c r="E2477" s="33" t="s">
        <v>116</v>
      </c>
      <c r="F2477" s="34">
        <v>1</v>
      </c>
      <c r="G2477" s="35">
        <v>0</v>
      </c>
      <c r="H2477" s="35">
        <v>0</v>
      </c>
      <c r="I2477" s="35">
        <f>Tabla1[[#This Row],[P.U. M.N.]]*Tabla1[[#This Row],[CANTIDADES DE REFERENCIA]]</f>
        <v>0</v>
      </c>
      <c r="J2477" s="35">
        <f>Tabla1[[#This Row],[P.U. USD]]*Tabla1[[#This Row],[CANTIDADES DE REFERENCIA]]</f>
        <v>0</v>
      </c>
      <c r="K2477" s="36"/>
      <c r="L2477" s="36"/>
      <c r="M2477" s="36"/>
      <c r="N2477" s="37" t="s">
        <v>1036</v>
      </c>
      <c r="O2477" s="37"/>
      <c r="P2477" s="39"/>
      <c r="Q2477" s="37" t="s">
        <v>5347</v>
      </c>
      <c r="R2477" s="37" t="s">
        <v>389</v>
      </c>
      <c r="S2477" s="37"/>
      <c r="T2477" s="31"/>
    </row>
    <row r="2478" spans="1:20" s="24" customFormat="1" ht="15" customHeight="1">
      <c r="A2478" s="31"/>
      <c r="B2478" s="32"/>
      <c r="C2478" s="33"/>
      <c r="D2478" s="32" t="s">
        <v>5348</v>
      </c>
      <c r="E2478" s="33" t="s">
        <v>116</v>
      </c>
      <c r="F2478" s="34">
        <v>1</v>
      </c>
      <c r="G2478" s="35">
        <v>0</v>
      </c>
      <c r="H2478" s="35">
        <v>0</v>
      </c>
      <c r="I2478" s="35">
        <f>Tabla1[[#This Row],[P.U. M.N.]]*Tabla1[[#This Row],[CANTIDADES DE REFERENCIA]]</f>
        <v>0</v>
      </c>
      <c r="J2478" s="35">
        <f>Tabla1[[#This Row],[P.U. USD]]*Tabla1[[#This Row],[CANTIDADES DE REFERENCIA]]</f>
        <v>0</v>
      </c>
      <c r="K2478" s="36"/>
      <c r="L2478" s="36"/>
      <c r="M2478" s="36"/>
      <c r="N2478" s="37" t="s">
        <v>1036</v>
      </c>
      <c r="O2478" s="37"/>
      <c r="P2478" s="39"/>
      <c r="Q2478" s="37" t="s">
        <v>5349</v>
      </c>
      <c r="R2478" s="37" t="s">
        <v>389</v>
      </c>
      <c r="S2478" s="37"/>
      <c r="T2478" s="31"/>
    </row>
    <row r="2479" spans="1:20" s="24" customFormat="1" ht="15" customHeight="1">
      <c r="A2479" s="31"/>
      <c r="B2479" s="32"/>
      <c r="C2479" s="33"/>
      <c r="D2479" s="32" t="s">
        <v>5350</v>
      </c>
      <c r="E2479" s="33" t="s">
        <v>116</v>
      </c>
      <c r="F2479" s="34">
        <v>1</v>
      </c>
      <c r="G2479" s="35">
        <v>0</v>
      </c>
      <c r="H2479" s="35">
        <v>0</v>
      </c>
      <c r="I2479" s="35">
        <f>Tabla1[[#This Row],[P.U. M.N.]]*Tabla1[[#This Row],[CANTIDADES DE REFERENCIA]]</f>
        <v>0</v>
      </c>
      <c r="J2479" s="35">
        <f>Tabla1[[#This Row],[P.U. USD]]*Tabla1[[#This Row],[CANTIDADES DE REFERENCIA]]</f>
        <v>0</v>
      </c>
      <c r="K2479" s="36"/>
      <c r="L2479" s="36"/>
      <c r="M2479" s="36"/>
      <c r="N2479" s="37" t="s">
        <v>1036</v>
      </c>
      <c r="O2479" s="37"/>
      <c r="P2479" s="39"/>
      <c r="Q2479" s="37" t="s">
        <v>5351</v>
      </c>
      <c r="R2479" s="37" t="s">
        <v>389</v>
      </c>
      <c r="S2479" s="37"/>
      <c r="T2479" s="31"/>
    </row>
    <row r="2480" spans="1:20" s="24" customFormat="1" ht="15" customHeight="1">
      <c r="A2480" s="31"/>
      <c r="B2480" s="32"/>
      <c r="C2480" s="33"/>
      <c r="D2480" s="32" t="s">
        <v>5352</v>
      </c>
      <c r="E2480" s="33" t="s">
        <v>116</v>
      </c>
      <c r="F2480" s="34">
        <v>1</v>
      </c>
      <c r="G2480" s="35">
        <v>0</v>
      </c>
      <c r="H2480" s="35">
        <v>0</v>
      </c>
      <c r="I2480" s="35">
        <f>Tabla1[[#This Row],[P.U. M.N.]]*Tabla1[[#This Row],[CANTIDADES DE REFERENCIA]]</f>
        <v>0</v>
      </c>
      <c r="J2480" s="35">
        <f>Tabla1[[#This Row],[P.U. USD]]*Tabla1[[#This Row],[CANTIDADES DE REFERENCIA]]</f>
        <v>0</v>
      </c>
      <c r="K2480" s="36"/>
      <c r="L2480" s="36"/>
      <c r="M2480" s="36"/>
      <c r="N2480" s="37" t="s">
        <v>1036</v>
      </c>
      <c r="O2480" s="37"/>
      <c r="P2480" s="39"/>
      <c r="Q2480" s="37" t="s">
        <v>5353</v>
      </c>
      <c r="R2480" s="37" t="s">
        <v>389</v>
      </c>
      <c r="S2480" s="37"/>
      <c r="T2480" s="31"/>
    </row>
    <row r="2481" spans="1:20" s="24" customFormat="1" ht="15" customHeight="1">
      <c r="A2481" s="31"/>
      <c r="B2481" s="32"/>
      <c r="C2481" s="33"/>
      <c r="D2481" s="32" t="s">
        <v>5354</v>
      </c>
      <c r="E2481" s="33" t="s">
        <v>116</v>
      </c>
      <c r="F2481" s="34">
        <v>1</v>
      </c>
      <c r="G2481" s="35">
        <v>0</v>
      </c>
      <c r="H2481" s="35">
        <v>0</v>
      </c>
      <c r="I2481" s="35">
        <f>Tabla1[[#This Row],[P.U. M.N.]]*Tabla1[[#This Row],[CANTIDADES DE REFERENCIA]]</f>
        <v>0</v>
      </c>
      <c r="J2481" s="35">
        <f>Tabla1[[#This Row],[P.U. USD]]*Tabla1[[#This Row],[CANTIDADES DE REFERENCIA]]</f>
        <v>0</v>
      </c>
      <c r="K2481" s="36"/>
      <c r="L2481" s="36"/>
      <c r="M2481" s="36"/>
      <c r="N2481" s="37" t="s">
        <v>1036</v>
      </c>
      <c r="O2481" s="37"/>
      <c r="P2481" s="39"/>
      <c r="Q2481" s="37" t="s">
        <v>5355</v>
      </c>
      <c r="R2481" s="37" t="s">
        <v>389</v>
      </c>
      <c r="S2481" s="37"/>
      <c r="T2481" s="31"/>
    </row>
    <row r="2482" spans="1:20" s="24" customFormat="1" ht="15" customHeight="1">
      <c r="A2482" s="31"/>
      <c r="B2482" s="32"/>
      <c r="C2482" s="33"/>
      <c r="D2482" s="32" t="s">
        <v>5356</v>
      </c>
      <c r="E2482" s="33" t="s">
        <v>116</v>
      </c>
      <c r="F2482" s="34">
        <v>1</v>
      </c>
      <c r="G2482" s="35">
        <v>0</v>
      </c>
      <c r="H2482" s="35">
        <v>0</v>
      </c>
      <c r="I2482" s="35">
        <f>Tabla1[[#This Row],[P.U. M.N.]]*Tabla1[[#This Row],[CANTIDADES DE REFERENCIA]]</f>
        <v>0</v>
      </c>
      <c r="J2482" s="35">
        <f>Tabla1[[#This Row],[P.U. USD]]*Tabla1[[#This Row],[CANTIDADES DE REFERENCIA]]</f>
        <v>0</v>
      </c>
      <c r="K2482" s="36"/>
      <c r="L2482" s="36"/>
      <c r="M2482" s="36"/>
      <c r="N2482" s="37" t="s">
        <v>1036</v>
      </c>
      <c r="O2482" s="37"/>
      <c r="P2482" s="39"/>
      <c r="Q2482" s="37" t="s">
        <v>5357</v>
      </c>
      <c r="R2482" s="37" t="s">
        <v>389</v>
      </c>
      <c r="S2482" s="37"/>
      <c r="T2482" s="31"/>
    </row>
    <row r="2483" spans="1:20" s="24" customFormat="1" ht="15" customHeight="1">
      <c r="A2483" s="31"/>
      <c r="B2483" s="32"/>
      <c r="C2483" s="33"/>
      <c r="D2483" s="32" t="s">
        <v>5358</v>
      </c>
      <c r="E2483" s="33" t="s">
        <v>116</v>
      </c>
      <c r="F2483" s="34">
        <v>1</v>
      </c>
      <c r="G2483" s="35">
        <v>0</v>
      </c>
      <c r="H2483" s="35">
        <v>0</v>
      </c>
      <c r="I2483" s="35">
        <f>Tabla1[[#This Row],[P.U. M.N.]]*Tabla1[[#This Row],[CANTIDADES DE REFERENCIA]]</f>
        <v>0</v>
      </c>
      <c r="J2483" s="35">
        <f>Tabla1[[#This Row],[P.U. USD]]*Tabla1[[#This Row],[CANTIDADES DE REFERENCIA]]</f>
        <v>0</v>
      </c>
      <c r="K2483" s="36"/>
      <c r="L2483" s="36"/>
      <c r="M2483" s="36"/>
      <c r="N2483" s="37" t="s">
        <v>1036</v>
      </c>
      <c r="O2483" s="37"/>
      <c r="P2483" s="39"/>
      <c r="Q2483" s="37" t="s">
        <v>5359</v>
      </c>
      <c r="R2483" s="37" t="s">
        <v>389</v>
      </c>
      <c r="S2483" s="37"/>
      <c r="T2483" s="31"/>
    </row>
    <row r="2484" spans="1:20" s="24" customFormat="1" ht="15" customHeight="1">
      <c r="A2484" s="31"/>
      <c r="B2484" s="32"/>
      <c r="C2484" s="33"/>
      <c r="D2484" s="32" t="s">
        <v>5360</v>
      </c>
      <c r="E2484" s="33" t="s">
        <v>116</v>
      </c>
      <c r="F2484" s="34">
        <v>1</v>
      </c>
      <c r="G2484" s="35">
        <v>0</v>
      </c>
      <c r="H2484" s="35">
        <v>0</v>
      </c>
      <c r="I2484" s="35">
        <f>Tabla1[[#This Row],[P.U. M.N.]]*Tabla1[[#This Row],[CANTIDADES DE REFERENCIA]]</f>
        <v>0</v>
      </c>
      <c r="J2484" s="35">
        <f>Tabla1[[#This Row],[P.U. USD]]*Tabla1[[#This Row],[CANTIDADES DE REFERENCIA]]</f>
        <v>0</v>
      </c>
      <c r="K2484" s="36"/>
      <c r="L2484" s="36"/>
      <c r="M2484" s="36"/>
      <c r="N2484" s="37" t="s">
        <v>1036</v>
      </c>
      <c r="O2484" s="37"/>
      <c r="P2484" s="39"/>
      <c r="Q2484" s="37" t="s">
        <v>5361</v>
      </c>
      <c r="R2484" s="37" t="s">
        <v>389</v>
      </c>
      <c r="S2484" s="37"/>
      <c r="T2484" s="31"/>
    </row>
    <row r="2485" spans="1:20" s="24" customFormat="1" ht="15" customHeight="1">
      <c r="A2485" s="31"/>
      <c r="B2485" s="32"/>
      <c r="C2485" s="33"/>
      <c r="D2485" s="32" t="s">
        <v>5362</v>
      </c>
      <c r="E2485" s="33" t="s">
        <v>116</v>
      </c>
      <c r="F2485" s="34">
        <v>1</v>
      </c>
      <c r="G2485" s="35">
        <v>0</v>
      </c>
      <c r="H2485" s="35">
        <v>0</v>
      </c>
      <c r="I2485" s="35">
        <f>Tabla1[[#This Row],[P.U. M.N.]]*Tabla1[[#This Row],[CANTIDADES DE REFERENCIA]]</f>
        <v>0</v>
      </c>
      <c r="J2485" s="35">
        <f>Tabla1[[#This Row],[P.U. USD]]*Tabla1[[#This Row],[CANTIDADES DE REFERENCIA]]</f>
        <v>0</v>
      </c>
      <c r="K2485" s="36"/>
      <c r="L2485" s="36"/>
      <c r="M2485" s="36"/>
      <c r="N2485" s="37" t="s">
        <v>1036</v>
      </c>
      <c r="O2485" s="37"/>
      <c r="P2485" s="39"/>
      <c r="Q2485" s="37" t="s">
        <v>5363</v>
      </c>
      <c r="R2485" s="37" t="s">
        <v>389</v>
      </c>
      <c r="S2485" s="37"/>
      <c r="T2485" s="31"/>
    </row>
    <row r="2486" spans="1:20" s="24" customFormat="1" ht="15" customHeight="1">
      <c r="A2486" s="31"/>
      <c r="B2486" s="32"/>
      <c r="C2486" s="33"/>
      <c r="D2486" s="32" t="s">
        <v>5364</v>
      </c>
      <c r="E2486" s="33" t="s">
        <v>116</v>
      </c>
      <c r="F2486" s="34">
        <v>1</v>
      </c>
      <c r="G2486" s="35">
        <v>0</v>
      </c>
      <c r="H2486" s="35">
        <v>0</v>
      </c>
      <c r="I2486" s="35">
        <f>Tabla1[[#This Row],[P.U. M.N.]]*Tabla1[[#This Row],[CANTIDADES DE REFERENCIA]]</f>
        <v>0</v>
      </c>
      <c r="J2486" s="35">
        <f>Tabla1[[#This Row],[P.U. USD]]*Tabla1[[#This Row],[CANTIDADES DE REFERENCIA]]</f>
        <v>0</v>
      </c>
      <c r="K2486" s="36"/>
      <c r="L2486" s="36"/>
      <c r="M2486" s="36"/>
      <c r="N2486" s="37" t="s">
        <v>1036</v>
      </c>
      <c r="O2486" s="37"/>
      <c r="P2486" s="39"/>
      <c r="Q2486" s="37" t="s">
        <v>5365</v>
      </c>
      <c r="R2486" s="37" t="s">
        <v>389</v>
      </c>
      <c r="S2486" s="37"/>
      <c r="T2486" s="31"/>
    </row>
    <row r="2487" spans="1:20" s="24" customFormat="1" ht="15" customHeight="1">
      <c r="A2487" s="31"/>
      <c r="B2487" s="32"/>
      <c r="C2487" s="33"/>
      <c r="D2487" s="32" t="s">
        <v>5366</v>
      </c>
      <c r="E2487" s="33" t="s">
        <v>116</v>
      </c>
      <c r="F2487" s="34">
        <v>1</v>
      </c>
      <c r="G2487" s="35">
        <v>0</v>
      </c>
      <c r="H2487" s="35">
        <v>0</v>
      </c>
      <c r="I2487" s="35">
        <f>Tabla1[[#This Row],[P.U. M.N.]]*Tabla1[[#This Row],[CANTIDADES DE REFERENCIA]]</f>
        <v>0</v>
      </c>
      <c r="J2487" s="35">
        <f>Tabla1[[#This Row],[P.U. USD]]*Tabla1[[#This Row],[CANTIDADES DE REFERENCIA]]</f>
        <v>0</v>
      </c>
      <c r="K2487" s="36"/>
      <c r="L2487" s="36"/>
      <c r="M2487" s="36"/>
      <c r="N2487" s="37" t="s">
        <v>1036</v>
      </c>
      <c r="O2487" s="37"/>
      <c r="P2487" s="39"/>
      <c r="Q2487" s="37" t="s">
        <v>5367</v>
      </c>
      <c r="R2487" s="37" t="s">
        <v>389</v>
      </c>
      <c r="S2487" s="37"/>
      <c r="T2487" s="31"/>
    </row>
    <row r="2488" spans="1:20" s="24" customFormat="1" ht="15" customHeight="1">
      <c r="A2488" s="31"/>
      <c r="B2488" s="32"/>
      <c r="C2488" s="33"/>
      <c r="D2488" s="32" t="s">
        <v>5368</v>
      </c>
      <c r="E2488" s="33" t="s">
        <v>116</v>
      </c>
      <c r="F2488" s="34">
        <v>1</v>
      </c>
      <c r="G2488" s="35">
        <v>0</v>
      </c>
      <c r="H2488" s="35">
        <v>0</v>
      </c>
      <c r="I2488" s="35">
        <f>Tabla1[[#This Row],[P.U. M.N.]]*Tabla1[[#This Row],[CANTIDADES DE REFERENCIA]]</f>
        <v>0</v>
      </c>
      <c r="J2488" s="35">
        <f>Tabla1[[#This Row],[P.U. USD]]*Tabla1[[#This Row],[CANTIDADES DE REFERENCIA]]</f>
        <v>0</v>
      </c>
      <c r="K2488" s="36"/>
      <c r="L2488" s="36"/>
      <c r="M2488" s="36"/>
      <c r="N2488" s="37" t="s">
        <v>1036</v>
      </c>
      <c r="O2488" s="37"/>
      <c r="P2488" s="39"/>
      <c r="Q2488" s="37" t="s">
        <v>5369</v>
      </c>
      <c r="R2488" s="37" t="s">
        <v>389</v>
      </c>
      <c r="S2488" s="37"/>
      <c r="T2488" s="31"/>
    </row>
    <row r="2489" spans="1:20" s="24" customFormat="1" ht="15" customHeight="1">
      <c r="A2489" s="31"/>
      <c r="B2489" s="32"/>
      <c r="C2489" s="33"/>
      <c r="D2489" s="32" t="s">
        <v>5370</v>
      </c>
      <c r="E2489" s="33" t="s">
        <v>116</v>
      </c>
      <c r="F2489" s="34">
        <v>1</v>
      </c>
      <c r="G2489" s="35">
        <v>0</v>
      </c>
      <c r="H2489" s="35">
        <v>0</v>
      </c>
      <c r="I2489" s="35">
        <f>Tabla1[[#This Row],[P.U. M.N.]]*Tabla1[[#This Row],[CANTIDADES DE REFERENCIA]]</f>
        <v>0</v>
      </c>
      <c r="J2489" s="35">
        <f>Tabla1[[#This Row],[P.U. USD]]*Tabla1[[#This Row],[CANTIDADES DE REFERENCIA]]</f>
        <v>0</v>
      </c>
      <c r="K2489" s="36"/>
      <c r="L2489" s="36"/>
      <c r="M2489" s="36"/>
      <c r="N2489" s="37" t="s">
        <v>1036</v>
      </c>
      <c r="O2489" s="37"/>
      <c r="P2489" s="39"/>
      <c r="Q2489" s="37" t="s">
        <v>5371</v>
      </c>
      <c r="R2489" s="37" t="s">
        <v>389</v>
      </c>
      <c r="S2489" s="37"/>
      <c r="T2489" s="31"/>
    </row>
    <row r="2490" spans="1:20" s="24" customFormat="1" ht="15" customHeight="1">
      <c r="A2490" s="31"/>
      <c r="B2490" s="32"/>
      <c r="C2490" s="33"/>
      <c r="D2490" s="32" t="s">
        <v>5372</v>
      </c>
      <c r="E2490" s="33" t="s">
        <v>116</v>
      </c>
      <c r="F2490" s="34">
        <v>1</v>
      </c>
      <c r="G2490" s="35">
        <v>0</v>
      </c>
      <c r="H2490" s="35">
        <v>0</v>
      </c>
      <c r="I2490" s="35">
        <f>Tabla1[[#This Row],[P.U. M.N.]]*Tabla1[[#This Row],[CANTIDADES DE REFERENCIA]]</f>
        <v>0</v>
      </c>
      <c r="J2490" s="35">
        <f>Tabla1[[#This Row],[P.U. USD]]*Tabla1[[#This Row],[CANTIDADES DE REFERENCIA]]</f>
        <v>0</v>
      </c>
      <c r="K2490" s="36"/>
      <c r="L2490" s="36"/>
      <c r="M2490" s="36"/>
      <c r="N2490" s="37" t="s">
        <v>1036</v>
      </c>
      <c r="O2490" s="37"/>
      <c r="P2490" s="39"/>
      <c r="Q2490" s="37" t="s">
        <v>5373</v>
      </c>
      <c r="R2490" s="37" t="s">
        <v>389</v>
      </c>
      <c r="S2490" s="37"/>
      <c r="T2490" s="31"/>
    </row>
    <row r="2491" spans="1:20" s="24" customFormat="1" ht="15" customHeight="1">
      <c r="A2491" s="31"/>
      <c r="B2491" s="32"/>
      <c r="C2491" s="33"/>
      <c r="D2491" s="32" t="s">
        <v>5374</v>
      </c>
      <c r="E2491" s="33" t="s">
        <v>116</v>
      </c>
      <c r="F2491" s="34">
        <v>1</v>
      </c>
      <c r="G2491" s="35">
        <v>0</v>
      </c>
      <c r="H2491" s="35">
        <v>0</v>
      </c>
      <c r="I2491" s="35">
        <f>Tabla1[[#This Row],[P.U. M.N.]]*Tabla1[[#This Row],[CANTIDADES DE REFERENCIA]]</f>
        <v>0</v>
      </c>
      <c r="J2491" s="35">
        <f>Tabla1[[#This Row],[P.U. USD]]*Tabla1[[#This Row],[CANTIDADES DE REFERENCIA]]</f>
        <v>0</v>
      </c>
      <c r="K2491" s="36"/>
      <c r="L2491" s="36"/>
      <c r="M2491" s="36"/>
      <c r="N2491" s="37" t="s">
        <v>1036</v>
      </c>
      <c r="O2491" s="37"/>
      <c r="P2491" s="39"/>
      <c r="Q2491" s="37" t="s">
        <v>5375</v>
      </c>
      <c r="R2491" s="37" t="s">
        <v>389</v>
      </c>
      <c r="S2491" s="37"/>
      <c r="T2491" s="31"/>
    </row>
    <row r="2492" spans="1:20" s="24" customFormat="1" ht="15" customHeight="1">
      <c r="A2492" s="31"/>
      <c r="B2492" s="32"/>
      <c r="C2492" s="33"/>
      <c r="D2492" s="32" t="s">
        <v>5376</v>
      </c>
      <c r="E2492" s="33" t="s">
        <v>116</v>
      </c>
      <c r="F2492" s="34">
        <v>1</v>
      </c>
      <c r="G2492" s="35">
        <v>0</v>
      </c>
      <c r="H2492" s="35">
        <v>0</v>
      </c>
      <c r="I2492" s="35">
        <f>Tabla1[[#This Row],[P.U. M.N.]]*Tabla1[[#This Row],[CANTIDADES DE REFERENCIA]]</f>
        <v>0</v>
      </c>
      <c r="J2492" s="35">
        <f>Tabla1[[#This Row],[P.U. USD]]*Tabla1[[#This Row],[CANTIDADES DE REFERENCIA]]</f>
        <v>0</v>
      </c>
      <c r="K2492" s="36"/>
      <c r="L2492" s="36"/>
      <c r="M2492" s="36"/>
      <c r="N2492" s="37" t="s">
        <v>1036</v>
      </c>
      <c r="O2492" s="37"/>
      <c r="P2492" s="39"/>
      <c r="Q2492" s="37" t="s">
        <v>5377</v>
      </c>
      <c r="R2492" s="37" t="s">
        <v>389</v>
      </c>
      <c r="S2492" s="37"/>
      <c r="T2492" s="31"/>
    </row>
    <row r="2493" spans="1:20" s="24" customFormat="1" ht="15" customHeight="1">
      <c r="A2493" s="31"/>
      <c r="B2493" s="32"/>
      <c r="C2493" s="33"/>
      <c r="D2493" s="32" t="s">
        <v>5378</v>
      </c>
      <c r="E2493" s="33" t="s">
        <v>116</v>
      </c>
      <c r="F2493" s="34">
        <v>1</v>
      </c>
      <c r="G2493" s="35">
        <v>0</v>
      </c>
      <c r="H2493" s="35">
        <v>0</v>
      </c>
      <c r="I2493" s="35">
        <f>Tabla1[[#This Row],[P.U. M.N.]]*Tabla1[[#This Row],[CANTIDADES DE REFERENCIA]]</f>
        <v>0</v>
      </c>
      <c r="J2493" s="35">
        <f>Tabla1[[#This Row],[P.U. USD]]*Tabla1[[#This Row],[CANTIDADES DE REFERENCIA]]</f>
        <v>0</v>
      </c>
      <c r="K2493" s="36"/>
      <c r="L2493" s="36"/>
      <c r="M2493" s="36"/>
      <c r="N2493" s="37" t="s">
        <v>1036</v>
      </c>
      <c r="O2493" s="37"/>
      <c r="P2493" s="39"/>
      <c r="Q2493" s="37" t="s">
        <v>5379</v>
      </c>
      <c r="R2493" s="37" t="s">
        <v>389</v>
      </c>
      <c r="S2493" s="37"/>
      <c r="T2493" s="31"/>
    </row>
    <row r="2494" spans="1:20" s="24" customFormat="1" ht="15" customHeight="1">
      <c r="A2494" s="31"/>
      <c r="B2494" s="32"/>
      <c r="C2494" s="33"/>
      <c r="D2494" s="32" t="s">
        <v>5380</v>
      </c>
      <c r="E2494" s="33" t="s">
        <v>116</v>
      </c>
      <c r="F2494" s="34">
        <v>1</v>
      </c>
      <c r="G2494" s="35">
        <v>0</v>
      </c>
      <c r="H2494" s="35">
        <v>0</v>
      </c>
      <c r="I2494" s="35">
        <f>Tabla1[[#This Row],[P.U. M.N.]]*Tabla1[[#This Row],[CANTIDADES DE REFERENCIA]]</f>
        <v>0</v>
      </c>
      <c r="J2494" s="35">
        <f>Tabla1[[#This Row],[P.U. USD]]*Tabla1[[#This Row],[CANTIDADES DE REFERENCIA]]</f>
        <v>0</v>
      </c>
      <c r="K2494" s="36"/>
      <c r="L2494" s="36"/>
      <c r="M2494" s="36"/>
      <c r="N2494" s="37" t="s">
        <v>1036</v>
      </c>
      <c r="O2494" s="37"/>
      <c r="P2494" s="39"/>
      <c r="Q2494" s="37" t="s">
        <v>5381</v>
      </c>
      <c r="R2494" s="37" t="s">
        <v>389</v>
      </c>
      <c r="S2494" s="37"/>
      <c r="T2494" s="31"/>
    </row>
    <row r="2495" spans="1:20" s="24" customFormat="1" ht="15" customHeight="1">
      <c r="A2495" s="31"/>
      <c r="B2495" s="32"/>
      <c r="C2495" s="33"/>
      <c r="D2495" s="32" t="s">
        <v>5382</v>
      </c>
      <c r="E2495" s="33" t="s">
        <v>116</v>
      </c>
      <c r="F2495" s="34">
        <v>1</v>
      </c>
      <c r="G2495" s="35">
        <v>0</v>
      </c>
      <c r="H2495" s="35">
        <v>0</v>
      </c>
      <c r="I2495" s="35">
        <f>Tabla1[[#This Row],[P.U. M.N.]]*Tabla1[[#This Row],[CANTIDADES DE REFERENCIA]]</f>
        <v>0</v>
      </c>
      <c r="J2495" s="35">
        <f>Tabla1[[#This Row],[P.U. USD]]*Tabla1[[#This Row],[CANTIDADES DE REFERENCIA]]</f>
        <v>0</v>
      </c>
      <c r="K2495" s="36"/>
      <c r="L2495" s="36"/>
      <c r="M2495" s="36"/>
      <c r="N2495" s="37" t="s">
        <v>1036</v>
      </c>
      <c r="O2495" s="37"/>
      <c r="P2495" s="39"/>
      <c r="Q2495" s="37" t="s">
        <v>5383</v>
      </c>
      <c r="R2495" s="37" t="s">
        <v>389</v>
      </c>
      <c r="S2495" s="37"/>
      <c r="T2495" s="31"/>
    </row>
    <row r="2496" spans="1:20" s="24" customFormat="1" ht="15" customHeight="1">
      <c r="A2496" s="31"/>
      <c r="B2496" s="32"/>
      <c r="C2496" s="33"/>
      <c r="D2496" s="32" t="s">
        <v>5384</v>
      </c>
      <c r="E2496" s="33" t="s">
        <v>116</v>
      </c>
      <c r="F2496" s="34">
        <v>1</v>
      </c>
      <c r="G2496" s="35">
        <v>0</v>
      </c>
      <c r="H2496" s="35">
        <v>0</v>
      </c>
      <c r="I2496" s="35">
        <f>Tabla1[[#This Row],[P.U. M.N.]]*Tabla1[[#This Row],[CANTIDADES DE REFERENCIA]]</f>
        <v>0</v>
      </c>
      <c r="J2496" s="35">
        <f>Tabla1[[#This Row],[P.U. USD]]*Tabla1[[#This Row],[CANTIDADES DE REFERENCIA]]</f>
        <v>0</v>
      </c>
      <c r="K2496" s="36"/>
      <c r="L2496" s="36"/>
      <c r="M2496" s="36"/>
      <c r="N2496" s="37" t="s">
        <v>1036</v>
      </c>
      <c r="O2496" s="37"/>
      <c r="P2496" s="39"/>
      <c r="Q2496" s="37" t="s">
        <v>5385</v>
      </c>
      <c r="R2496" s="37" t="s">
        <v>389</v>
      </c>
      <c r="S2496" s="37"/>
      <c r="T2496" s="31"/>
    </row>
    <row r="2497" spans="1:20" s="24" customFormat="1" ht="15" customHeight="1">
      <c r="A2497" s="31"/>
      <c r="B2497" s="32"/>
      <c r="C2497" s="33"/>
      <c r="D2497" s="32" t="s">
        <v>5386</v>
      </c>
      <c r="E2497" s="33" t="s">
        <v>116</v>
      </c>
      <c r="F2497" s="34">
        <v>1</v>
      </c>
      <c r="G2497" s="35">
        <v>0</v>
      </c>
      <c r="H2497" s="35">
        <v>0</v>
      </c>
      <c r="I2497" s="35">
        <f>Tabla1[[#This Row],[P.U. M.N.]]*Tabla1[[#This Row],[CANTIDADES DE REFERENCIA]]</f>
        <v>0</v>
      </c>
      <c r="J2497" s="35">
        <f>Tabla1[[#This Row],[P.U. USD]]*Tabla1[[#This Row],[CANTIDADES DE REFERENCIA]]</f>
        <v>0</v>
      </c>
      <c r="K2497" s="36"/>
      <c r="L2497" s="36"/>
      <c r="M2497" s="36"/>
      <c r="N2497" s="37" t="s">
        <v>1036</v>
      </c>
      <c r="O2497" s="37"/>
      <c r="P2497" s="39"/>
      <c r="Q2497" s="37" t="s">
        <v>5387</v>
      </c>
      <c r="R2497" s="37" t="s">
        <v>389</v>
      </c>
      <c r="S2497" s="37"/>
      <c r="T2497" s="31"/>
    </row>
    <row r="2498" spans="1:20" s="24" customFormat="1" ht="15" customHeight="1">
      <c r="A2498" s="31"/>
      <c r="B2498" s="32"/>
      <c r="C2498" s="33"/>
      <c r="D2498" s="32" t="s">
        <v>5388</v>
      </c>
      <c r="E2498" s="33" t="s">
        <v>116</v>
      </c>
      <c r="F2498" s="34">
        <v>1</v>
      </c>
      <c r="G2498" s="35">
        <v>0</v>
      </c>
      <c r="H2498" s="35">
        <v>0</v>
      </c>
      <c r="I2498" s="35">
        <f>Tabla1[[#This Row],[P.U. M.N.]]*Tabla1[[#This Row],[CANTIDADES DE REFERENCIA]]</f>
        <v>0</v>
      </c>
      <c r="J2498" s="35">
        <f>Tabla1[[#This Row],[P.U. USD]]*Tabla1[[#This Row],[CANTIDADES DE REFERENCIA]]</f>
        <v>0</v>
      </c>
      <c r="K2498" s="36"/>
      <c r="L2498" s="36"/>
      <c r="M2498" s="36"/>
      <c r="N2498" s="37" t="s">
        <v>1036</v>
      </c>
      <c r="O2498" s="37"/>
      <c r="P2498" s="39"/>
      <c r="Q2498" s="37" t="s">
        <v>5389</v>
      </c>
      <c r="R2498" s="37" t="s">
        <v>389</v>
      </c>
      <c r="S2498" s="37"/>
      <c r="T2498" s="31"/>
    </row>
    <row r="2499" spans="1:20" s="24" customFormat="1" ht="15" customHeight="1">
      <c r="A2499" s="31"/>
      <c r="B2499" s="32"/>
      <c r="C2499" s="33"/>
      <c r="D2499" s="32" t="s">
        <v>5390</v>
      </c>
      <c r="E2499" s="33" t="s">
        <v>116</v>
      </c>
      <c r="F2499" s="34">
        <v>1</v>
      </c>
      <c r="G2499" s="35">
        <v>0</v>
      </c>
      <c r="H2499" s="35">
        <v>0</v>
      </c>
      <c r="I2499" s="35">
        <f>Tabla1[[#This Row],[P.U. M.N.]]*Tabla1[[#This Row],[CANTIDADES DE REFERENCIA]]</f>
        <v>0</v>
      </c>
      <c r="J2499" s="35">
        <f>Tabla1[[#This Row],[P.U. USD]]*Tabla1[[#This Row],[CANTIDADES DE REFERENCIA]]</f>
        <v>0</v>
      </c>
      <c r="K2499" s="36"/>
      <c r="L2499" s="36"/>
      <c r="M2499" s="36"/>
      <c r="N2499" s="37" t="s">
        <v>1036</v>
      </c>
      <c r="O2499" s="37"/>
      <c r="P2499" s="39"/>
      <c r="Q2499" s="37" t="s">
        <v>5391</v>
      </c>
      <c r="R2499" s="37" t="s">
        <v>389</v>
      </c>
      <c r="S2499" s="37"/>
      <c r="T2499" s="31"/>
    </row>
    <row r="2500" spans="1:20" s="24" customFormat="1" ht="15" customHeight="1">
      <c r="A2500" s="31"/>
      <c r="B2500" s="32"/>
      <c r="C2500" s="33"/>
      <c r="D2500" s="32" t="s">
        <v>5392</v>
      </c>
      <c r="E2500" s="33" t="s">
        <v>116</v>
      </c>
      <c r="F2500" s="34">
        <v>1</v>
      </c>
      <c r="G2500" s="35">
        <v>0</v>
      </c>
      <c r="H2500" s="35">
        <v>0</v>
      </c>
      <c r="I2500" s="35">
        <f>Tabla1[[#This Row],[P.U. M.N.]]*Tabla1[[#This Row],[CANTIDADES DE REFERENCIA]]</f>
        <v>0</v>
      </c>
      <c r="J2500" s="35">
        <f>Tabla1[[#This Row],[P.U. USD]]*Tabla1[[#This Row],[CANTIDADES DE REFERENCIA]]</f>
        <v>0</v>
      </c>
      <c r="K2500" s="36"/>
      <c r="L2500" s="36"/>
      <c r="M2500" s="36"/>
      <c r="N2500" s="37" t="s">
        <v>1036</v>
      </c>
      <c r="O2500" s="37"/>
      <c r="P2500" s="39"/>
      <c r="Q2500" s="37" t="s">
        <v>5393</v>
      </c>
      <c r="R2500" s="37" t="s">
        <v>389</v>
      </c>
      <c r="S2500" s="37"/>
      <c r="T2500" s="31"/>
    </row>
    <row r="2501" spans="1:20" s="24" customFormat="1" ht="15" customHeight="1">
      <c r="A2501" s="31"/>
      <c r="B2501" s="32"/>
      <c r="C2501" s="33"/>
      <c r="D2501" s="32" t="s">
        <v>5394</v>
      </c>
      <c r="E2501" s="33" t="s">
        <v>116</v>
      </c>
      <c r="F2501" s="34">
        <v>1</v>
      </c>
      <c r="G2501" s="35">
        <v>0</v>
      </c>
      <c r="H2501" s="35">
        <v>0</v>
      </c>
      <c r="I2501" s="35">
        <f>Tabla1[[#This Row],[P.U. M.N.]]*Tabla1[[#This Row],[CANTIDADES DE REFERENCIA]]</f>
        <v>0</v>
      </c>
      <c r="J2501" s="35">
        <f>Tabla1[[#This Row],[P.U. USD]]*Tabla1[[#This Row],[CANTIDADES DE REFERENCIA]]</f>
        <v>0</v>
      </c>
      <c r="K2501" s="36"/>
      <c r="L2501" s="36"/>
      <c r="M2501" s="36"/>
      <c r="N2501" s="37" t="s">
        <v>1036</v>
      </c>
      <c r="O2501" s="37"/>
      <c r="P2501" s="39"/>
      <c r="Q2501" s="37" t="s">
        <v>5395</v>
      </c>
      <c r="R2501" s="37" t="s">
        <v>389</v>
      </c>
      <c r="S2501" s="37"/>
      <c r="T2501" s="31"/>
    </row>
    <row r="2502" spans="1:20" s="24" customFormat="1" ht="15" customHeight="1">
      <c r="A2502" s="31"/>
      <c r="B2502" s="32"/>
      <c r="C2502" s="33"/>
      <c r="D2502" s="32" t="s">
        <v>5396</v>
      </c>
      <c r="E2502" s="33" t="s">
        <v>116</v>
      </c>
      <c r="F2502" s="34">
        <v>1</v>
      </c>
      <c r="G2502" s="35">
        <v>0</v>
      </c>
      <c r="H2502" s="35">
        <v>0</v>
      </c>
      <c r="I2502" s="35">
        <f>Tabla1[[#This Row],[P.U. M.N.]]*Tabla1[[#This Row],[CANTIDADES DE REFERENCIA]]</f>
        <v>0</v>
      </c>
      <c r="J2502" s="35">
        <f>Tabla1[[#This Row],[P.U. USD]]*Tabla1[[#This Row],[CANTIDADES DE REFERENCIA]]</f>
        <v>0</v>
      </c>
      <c r="K2502" s="36"/>
      <c r="L2502" s="36"/>
      <c r="M2502" s="36"/>
      <c r="N2502" s="37" t="s">
        <v>1036</v>
      </c>
      <c r="O2502" s="37"/>
      <c r="P2502" s="39"/>
      <c r="Q2502" s="37" t="s">
        <v>5397</v>
      </c>
      <c r="R2502" s="37" t="s">
        <v>389</v>
      </c>
      <c r="S2502" s="37"/>
      <c r="T2502" s="31"/>
    </row>
    <row r="2503" spans="1:20" s="24" customFormat="1" ht="15" customHeight="1">
      <c r="A2503" s="31"/>
      <c r="B2503" s="32"/>
      <c r="C2503" s="33"/>
      <c r="D2503" s="32" t="s">
        <v>5398</v>
      </c>
      <c r="E2503" s="33" t="s">
        <v>116</v>
      </c>
      <c r="F2503" s="34">
        <v>1</v>
      </c>
      <c r="G2503" s="35">
        <v>0</v>
      </c>
      <c r="H2503" s="35">
        <v>0</v>
      </c>
      <c r="I2503" s="35">
        <f>Tabla1[[#This Row],[P.U. M.N.]]*Tabla1[[#This Row],[CANTIDADES DE REFERENCIA]]</f>
        <v>0</v>
      </c>
      <c r="J2503" s="35">
        <f>Tabla1[[#This Row],[P.U. USD]]*Tabla1[[#This Row],[CANTIDADES DE REFERENCIA]]</f>
        <v>0</v>
      </c>
      <c r="K2503" s="36"/>
      <c r="L2503" s="36"/>
      <c r="M2503" s="36"/>
      <c r="N2503" s="37" t="s">
        <v>1036</v>
      </c>
      <c r="O2503" s="37"/>
      <c r="P2503" s="39"/>
      <c r="Q2503" s="37" t="s">
        <v>5399</v>
      </c>
      <c r="R2503" s="37" t="s">
        <v>389</v>
      </c>
      <c r="S2503" s="37"/>
      <c r="T2503" s="31"/>
    </row>
    <row r="2504" spans="1:20" s="24" customFormat="1" ht="15" customHeight="1">
      <c r="A2504" s="31"/>
      <c r="B2504" s="32"/>
      <c r="C2504" s="33"/>
      <c r="D2504" s="32" t="s">
        <v>5400</v>
      </c>
      <c r="E2504" s="33" t="s">
        <v>116</v>
      </c>
      <c r="F2504" s="34">
        <v>1</v>
      </c>
      <c r="G2504" s="35">
        <v>0</v>
      </c>
      <c r="H2504" s="35">
        <v>0</v>
      </c>
      <c r="I2504" s="35">
        <f>Tabla1[[#This Row],[P.U. M.N.]]*Tabla1[[#This Row],[CANTIDADES DE REFERENCIA]]</f>
        <v>0</v>
      </c>
      <c r="J2504" s="35">
        <f>Tabla1[[#This Row],[P.U. USD]]*Tabla1[[#This Row],[CANTIDADES DE REFERENCIA]]</f>
        <v>0</v>
      </c>
      <c r="K2504" s="36"/>
      <c r="L2504" s="36"/>
      <c r="M2504" s="36"/>
      <c r="N2504" s="37" t="s">
        <v>1036</v>
      </c>
      <c r="O2504" s="37"/>
      <c r="P2504" s="39"/>
      <c r="Q2504" s="37" t="s">
        <v>5401</v>
      </c>
      <c r="R2504" s="37" t="s">
        <v>389</v>
      </c>
      <c r="S2504" s="37"/>
      <c r="T2504" s="31"/>
    </row>
    <row r="2505" spans="1:20" s="24" customFormat="1" ht="15" customHeight="1">
      <c r="A2505" s="31"/>
      <c r="B2505" s="32"/>
      <c r="C2505" s="33"/>
      <c r="D2505" s="32" t="s">
        <v>5402</v>
      </c>
      <c r="E2505" s="33" t="s">
        <v>116</v>
      </c>
      <c r="F2505" s="34">
        <v>1</v>
      </c>
      <c r="G2505" s="35">
        <v>0</v>
      </c>
      <c r="H2505" s="35">
        <v>0</v>
      </c>
      <c r="I2505" s="35">
        <f>Tabla1[[#This Row],[P.U. M.N.]]*Tabla1[[#This Row],[CANTIDADES DE REFERENCIA]]</f>
        <v>0</v>
      </c>
      <c r="J2505" s="35">
        <f>Tabla1[[#This Row],[P.U. USD]]*Tabla1[[#This Row],[CANTIDADES DE REFERENCIA]]</f>
        <v>0</v>
      </c>
      <c r="K2505" s="36"/>
      <c r="L2505" s="36"/>
      <c r="M2505" s="36"/>
      <c r="N2505" s="37" t="s">
        <v>1036</v>
      </c>
      <c r="O2505" s="37"/>
      <c r="P2505" s="39"/>
      <c r="Q2505" s="37" t="s">
        <v>5403</v>
      </c>
      <c r="R2505" s="37" t="s">
        <v>389</v>
      </c>
      <c r="S2505" s="37"/>
      <c r="T2505" s="31"/>
    </row>
    <row r="2506" spans="1:20" s="24" customFormat="1" ht="15" customHeight="1">
      <c r="A2506" s="31"/>
      <c r="B2506" s="32"/>
      <c r="C2506" s="33"/>
      <c r="D2506" s="32" t="s">
        <v>5404</v>
      </c>
      <c r="E2506" s="33" t="s">
        <v>116</v>
      </c>
      <c r="F2506" s="34">
        <v>1</v>
      </c>
      <c r="G2506" s="35">
        <v>0</v>
      </c>
      <c r="H2506" s="35">
        <v>0</v>
      </c>
      <c r="I2506" s="35">
        <f>Tabla1[[#This Row],[P.U. M.N.]]*Tabla1[[#This Row],[CANTIDADES DE REFERENCIA]]</f>
        <v>0</v>
      </c>
      <c r="J2506" s="35">
        <f>Tabla1[[#This Row],[P.U. USD]]*Tabla1[[#This Row],[CANTIDADES DE REFERENCIA]]</f>
        <v>0</v>
      </c>
      <c r="K2506" s="36"/>
      <c r="L2506" s="36"/>
      <c r="M2506" s="36"/>
      <c r="N2506" s="37" t="s">
        <v>1036</v>
      </c>
      <c r="O2506" s="37"/>
      <c r="P2506" s="39"/>
      <c r="Q2506" s="37" t="s">
        <v>5405</v>
      </c>
      <c r="R2506" s="37" t="s">
        <v>389</v>
      </c>
      <c r="S2506" s="37"/>
      <c r="T2506" s="31"/>
    </row>
    <row r="2507" spans="1:20" s="24" customFormat="1" ht="15" customHeight="1">
      <c r="A2507" s="31"/>
      <c r="B2507" s="32"/>
      <c r="C2507" s="33"/>
      <c r="D2507" s="32" t="s">
        <v>5406</v>
      </c>
      <c r="E2507" s="33" t="s">
        <v>116</v>
      </c>
      <c r="F2507" s="34">
        <v>1</v>
      </c>
      <c r="G2507" s="35">
        <v>0</v>
      </c>
      <c r="H2507" s="35">
        <v>0</v>
      </c>
      <c r="I2507" s="35">
        <f>Tabla1[[#This Row],[P.U. M.N.]]*Tabla1[[#This Row],[CANTIDADES DE REFERENCIA]]</f>
        <v>0</v>
      </c>
      <c r="J2507" s="35">
        <f>Tabla1[[#This Row],[P.U. USD]]*Tabla1[[#This Row],[CANTIDADES DE REFERENCIA]]</f>
        <v>0</v>
      </c>
      <c r="K2507" s="36"/>
      <c r="L2507" s="36"/>
      <c r="M2507" s="36"/>
      <c r="N2507" s="37" t="s">
        <v>1036</v>
      </c>
      <c r="O2507" s="37"/>
      <c r="P2507" s="39"/>
      <c r="Q2507" s="37" t="s">
        <v>5407</v>
      </c>
      <c r="R2507" s="37" t="s">
        <v>389</v>
      </c>
      <c r="S2507" s="37"/>
      <c r="T2507" s="31"/>
    </row>
    <row r="2508" spans="1:20" s="24" customFormat="1" ht="15" customHeight="1">
      <c r="A2508" s="31"/>
      <c r="B2508" s="32"/>
      <c r="C2508" s="33"/>
      <c r="D2508" s="32" t="s">
        <v>5408</v>
      </c>
      <c r="E2508" s="33" t="s">
        <v>116</v>
      </c>
      <c r="F2508" s="34">
        <v>1</v>
      </c>
      <c r="G2508" s="35">
        <v>0</v>
      </c>
      <c r="H2508" s="35">
        <v>0</v>
      </c>
      <c r="I2508" s="35">
        <f>Tabla1[[#This Row],[P.U. M.N.]]*Tabla1[[#This Row],[CANTIDADES DE REFERENCIA]]</f>
        <v>0</v>
      </c>
      <c r="J2508" s="35">
        <f>Tabla1[[#This Row],[P.U. USD]]*Tabla1[[#This Row],[CANTIDADES DE REFERENCIA]]</f>
        <v>0</v>
      </c>
      <c r="K2508" s="36"/>
      <c r="L2508" s="36"/>
      <c r="M2508" s="36"/>
      <c r="N2508" s="37" t="s">
        <v>1036</v>
      </c>
      <c r="O2508" s="37"/>
      <c r="P2508" s="39"/>
      <c r="Q2508" s="37" t="s">
        <v>5409</v>
      </c>
      <c r="R2508" s="37" t="s">
        <v>389</v>
      </c>
      <c r="S2508" s="37"/>
      <c r="T2508" s="31"/>
    </row>
    <row r="2509" spans="1:20" s="24" customFormat="1" ht="15" customHeight="1">
      <c r="A2509" s="31"/>
      <c r="B2509" s="32"/>
      <c r="C2509" s="33"/>
      <c r="D2509" s="32" t="s">
        <v>5410</v>
      </c>
      <c r="E2509" s="33" t="s">
        <v>116</v>
      </c>
      <c r="F2509" s="34">
        <v>1</v>
      </c>
      <c r="G2509" s="35">
        <v>0</v>
      </c>
      <c r="H2509" s="35">
        <v>0</v>
      </c>
      <c r="I2509" s="35">
        <f>Tabla1[[#This Row],[P.U. M.N.]]*Tabla1[[#This Row],[CANTIDADES DE REFERENCIA]]</f>
        <v>0</v>
      </c>
      <c r="J2509" s="35">
        <f>Tabla1[[#This Row],[P.U. USD]]*Tabla1[[#This Row],[CANTIDADES DE REFERENCIA]]</f>
        <v>0</v>
      </c>
      <c r="K2509" s="36"/>
      <c r="L2509" s="36"/>
      <c r="M2509" s="36"/>
      <c r="N2509" s="37" t="s">
        <v>1036</v>
      </c>
      <c r="O2509" s="37"/>
      <c r="P2509" s="39"/>
      <c r="Q2509" s="37" t="s">
        <v>5411</v>
      </c>
      <c r="R2509" s="37" t="s">
        <v>389</v>
      </c>
      <c r="S2509" s="37"/>
      <c r="T2509" s="31"/>
    </row>
    <row r="2510" spans="1:20" s="24" customFormat="1" ht="15" customHeight="1">
      <c r="A2510" s="31"/>
      <c r="B2510" s="32"/>
      <c r="C2510" s="33"/>
      <c r="D2510" s="32" t="s">
        <v>5412</v>
      </c>
      <c r="E2510" s="33" t="s">
        <v>116</v>
      </c>
      <c r="F2510" s="34">
        <v>1</v>
      </c>
      <c r="G2510" s="35">
        <v>0</v>
      </c>
      <c r="H2510" s="35">
        <v>0</v>
      </c>
      <c r="I2510" s="35">
        <f>Tabla1[[#This Row],[P.U. M.N.]]*Tabla1[[#This Row],[CANTIDADES DE REFERENCIA]]</f>
        <v>0</v>
      </c>
      <c r="J2510" s="35">
        <f>Tabla1[[#This Row],[P.U. USD]]*Tabla1[[#This Row],[CANTIDADES DE REFERENCIA]]</f>
        <v>0</v>
      </c>
      <c r="K2510" s="36"/>
      <c r="L2510" s="36"/>
      <c r="M2510" s="36"/>
      <c r="N2510" s="37" t="s">
        <v>1036</v>
      </c>
      <c r="O2510" s="37"/>
      <c r="P2510" s="39"/>
      <c r="Q2510" s="37" t="s">
        <v>5413</v>
      </c>
      <c r="R2510" s="37" t="s">
        <v>389</v>
      </c>
      <c r="S2510" s="37"/>
      <c r="T2510" s="31"/>
    </row>
    <row r="2511" spans="1:20" s="24" customFormat="1" ht="15" customHeight="1">
      <c r="A2511" s="31"/>
      <c r="B2511" s="32"/>
      <c r="C2511" s="33"/>
      <c r="D2511" s="32" t="s">
        <v>5414</v>
      </c>
      <c r="E2511" s="33" t="s">
        <v>116</v>
      </c>
      <c r="F2511" s="34">
        <v>1</v>
      </c>
      <c r="G2511" s="35">
        <v>0</v>
      </c>
      <c r="H2511" s="35">
        <v>0</v>
      </c>
      <c r="I2511" s="35">
        <f>Tabla1[[#This Row],[P.U. M.N.]]*Tabla1[[#This Row],[CANTIDADES DE REFERENCIA]]</f>
        <v>0</v>
      </c>
      <c r="J2511" s="35">
        <f>Tabla1[[#This Row],[P.U. USD]]*Tabla1[[#This Row],[CANTIDADES DE REFERENCIA]]</f>
        <v>0</v>
      </c>
      <c r="K2511" s="36"/>
      <c r="L2511" s="36"/>
      <c r="M2511" s="36"/>
      <c r="N2511" s="37" t="s">
        <v>1036</v>
      </c>
      <c r="O2511" s="37"/>
      <c r="P2511" s="39"/>
      <c r="Q2511" s="37" t="s">
        <v>5415</v>
      </c>
      <c r="R2511" s="37" t="s">
        <v>389</v>
      </c>
      <c r="S2511" s="37"/>
      <c r="T2511" s="31"/>
    </row>
    <row r="2512" spans="1:20" ht="15" customHeight="1">
      <c r="A2512" s="31"/>
      <c r="B2512" s="32"/>
      <c r="C2512" s="33"/>
      <c r="D2512" s="32" t="s">
        <v>5416</v>
      </c>
      <c r="E2512" s="33" t="s">
        <v>116</v>
      </c>
      <c r="F2512" s="34">
        <v>1</v>
      </c>
      <c r="G2512" s="35">
        <v>0</v>
      </c>
      <c r="H2512" s="35">
        <v>0</v>
      </c>
      <c r="I2512" s="35">
        <f>Tabla1[[#This Row],[P.U. M.N.]]*Tabla1[[#This Row],[CANTIDADES DE REFERENCIA]]</f>
        <v>0</v>
      </c>
      <c r="J2512" s="35">
        <f>Tabla1[[#This Row],[P.U. USD]]*Tabla1[[#This Row],[CANTIDADES DE REFERENCIA]]</f>
        <v>0</v>
      </c>
      <c r="K2512" s="36"/>
      <c r="L2512" s="36"/>
      <c r="M2512" s="36"/>
      <c r="N2512" s="37" t="s">
        <v>5257</v>
      </c>
      <c r="O2512" s="37"/>
      <c r="P2512" s="39"/>
      <c r="Q2512" s="37" t="s">
        <v>5417</v>
      </c>
      <c r="R2512" s="37" t="s">
        <v>389</v>
      </c>
      <c r="S2512" s="37"/>
      <c r="T2512" s="31"/>
    </row>
    <row r="2513" spans="1:20" ht="15" customHeight="1">
      <c r="A2513" s="31"/>
      <c r="B2513" s="32"/>
      <c r="C2513" s="33"/>
      <c r="D2513" s="32" t="s">
        <v>5418</v>
      </c>
      <c r="E2513" s="33" t="s">
        <v>116</v>
      </c>
      <c r="F2513" s="34">
        <v>1</v>
      </c>
      <c r="G2513" s="35">
        <v>0</v>
      </c>
      <c r="H2513" s="35">
        <v>0</v>
      </c>
      <c r="I2513" s="35">
        <f>Tabla1[[#This Row],[P.U. M.N.]]*Tabla1[[#This Row],[CANTIDADES DE REFERENCIA]]</f>
        <v>0</v>
      </c>
      <c r="J2513" s="35">
        <f>Tabla1[[#This Row],[P.U. USD]]*Tabla1[[#This Row],[CANTIDADES DE REFERENCIA]]</f>
        <v>0</v>
      </c>
      <c r="K2513" s="36"/>
      <c r="L2513" s="36"/>
      <c r="M2513" s="36"/>
      <c r="N2513" s="37" t="s">
        <v>5257</v>
      </c>
      <c r="O2513" s="37"/>
      <c r="P2513" s="39"/>
      <c r="Q2513" s="37" t="s">
        <v>5419</v>
      </c>
      <c r="R2513" s="37" t="s">
        <v>389</v>
      </c>
      <c r="S2513" s="37"/>
      <c r="T2513" s="31"/>
    </row>
    <row r="2514" spans="1:20" ht="15" customHeight="1">
      <c r="A2514" s="31"/>
      <c r="B2514" s="32"/>
      <c r="C2514" s="33"/>
      <c r="D2514" s="32" t="s">
        <v>5420</v>
      </c>
      <c r="E2514" s="33" t="s">
        <v>116</v>
      </c>
      <c r="F2514" s="34">
        <v>1</v>
      </c>
      <c r="G2514" s="35">
        <v>0</v>
      </c>
      <c r="H2514" s="35">
        <v>0</v>
      </c>
      <c r="I2514" s="35">
        <f>Tabla1[[#This Row],[P.U. M.N.]]*Tabla1[[#This Row],[CANTIDADES DE REFERENCIA]]</f>
        <v>0</v>
      </c>
      <c r="J2514" s="35">
        <f>Tabla1[[#This Row],[P.U. USD]]*Tabla1[[#This Row],[CANTIDADES DE REFERENCIA]]</f>
        <v>0</v>
      </c>
      <c r="K2514" s="36"/>
      <c r="L2514" s="36"/>
      <c r="M2514" s="36"/>
      <c r="N2514" s="37" t="s">
        <v>5257</v>
      </c>
      <c r="O2514" s="37"/>
      <c r="P2514" s="39"/>
      <c r="Q2514" s="37" t="s">
        <v>5421</v>
      </c>
      <c r="R2514" s="37" t="s">
        <v>389</v>
      </c>
      <c r="S2514" s="37"/>
      <c r="T2514" s="31"/>
    </row>
    <row r="2515" spans="1:20" ht="15" customHeight="1">
      <c r="A2515" s="31"/>
      <c r="B2515" s="32"/>
      <c r="C2515" s="33"/>
      <c r="D2515" s="32" t="s">
        <v>5422</v>
      </c>
      <c r="E2515" s="33" t="s">
        <v>116</v>
      </c>
      <c r="F2515" s="34">
        <v>1</v>
      </c>
      <c r="G2515" s="35">
        <v>0</v>
      </c>
      <c r="H2515" s="35">
        <v>0</v>
      </c>
      <c r="I2515" s="35">
        <f>Tabla1[[#This Row],[P.U. M.N.]]*Tabla1[[#This Row],[CANTIDADES DE REFERENCIA]]</f>
        <v>0</v>
      </c>
      <c r="J2515" s="35">
        <f>Tabla1[[#This Row],[P.U. USD]]*Tabla1[[#This Row],[CANTIDADES DE REFERENCIA]]</f>
        <v>0</v>
      </c>
      <c r="K2515" s="36"/>
      <c r="L2515" s="36"/>
      <c r="M2515" s="36"/>
      <c r="N2515" s="37" t="s">
        <v>5257</v>
      </c>
      <c r="O2515" s="37"/>
      <c r="P2515" s="39"/>
      <c r="Q2515" s="37" t="s">
        <v>5423</v>
      </c>
      <c r="R2515" s="37" t="s">
        <v>389</v>
      </c>
      <c r="S2515" s="37"/>
      <c r="T2515" s="31"/>
    </row>
    <row r="2516" spans="1:20" ht="15" customHeight="1">
      <c r="A2516" s="31"/>
      <c r="B2516" s="32"/>
      <c r="C2516" s="33"/>
      <c r="D2516" s="32" t="s">
        <v>5424</v>
      </c>
      <c r="E2516" s="33" t="s">
        <v>116</v>
      </c>
      <c r="F2516" s="34">
        <v>1</v>
      </c>
      <c r="G2516" s="35">
        <v>0</v>
      </c>
      <c r="H2516" s="35">
        <v>0</v>
      </c>
      <c r="I2516" s="35">
        <f>Tabla1[[#This Row],[P.U. M.N.]]*Tabla1[[#This Row],[CANTIDADES DE REFERENCIA]]</f>
        <v>0</v>
      </c>
      <c r="J2516" s="35">
        <f>Tabla1[[#This Row],[P.U. USD]]*Tabla1[[#This Row],[CANTIDADES DE REFERENCIA]]</f>
        <v>0</v>
      </c>
      <c r="K2516" s="36"/>
      <c r="L2516" s="36"/>
      <c r="M2516" s="36"/>
      <c r="N2516" s="37" t="s">
        <v>5257</v>
      </c>
      <c r="O2516" s="37"/>
      <c r="P2516" s="39"/>
      <c r="Q2516" s="37" t="s">
        <v>5425</v>
      </c>
      <c r="R2516" s="37" t="s">
        <v>389</v>
      </c>
      <c r="S2516" s="37"/>
      <c r="T2516" s="31"/>
    </row>
    <row r="2517" spans="1:20" ht="15" customHeight="1">
      <c r="A2517" s="31"/>
      <c r="B2517" s="32"/>
      <c r="C2517" s="33"/>
      <c r="D2517" s="32" t="s">
        <v>5426</v>
      </c>
      <c r="E2517" s="33" t="s">
        <v>116</v>
      </c>
      <c r="F2517" s="34">
        <v>1</v>
      </c>
      <c r="G2517" s="35">
        <v>0</v>
      </c>
      <c r="H2517" s="35">
        <v>0</v>
      </c>
      <c r="I2517" s="35">
        <f>Tabla1[[#This Row],[P.U. M.N.]]*Tabla1[[#This Row],[CANTIDADES DE REFERENCIA]]</f>
        <v>0</v>
      </c>
      <c r="J2517" s="35">
        <f>Tabla1[[#This Row],[P.U. USD]]*Tabla1[[#This Row],[CANTIDADES DE REFERENCIA]]</f>
        <v>0</v>
      </c>
      <c r="K2517" s="36"/>
      <c r="L2517" s="36"/>
      <c r="M2517" s="36"/>
      <c r="N2517" s="37" t="s">
        <v>5257</v>
      </c>
      <c r="O2517" s="37"/>
      <c r="P2517" s="39"/>
      <c r="Q2517" s="37" t="s">
        <v>5427</v>
      </c>
      <c r="R2517" s="37" t="s">
        <v>389</v>
      </c>
      <c r="S2517" s="37"/>
      <c r="T2517" s="31"/>
    </row>
    <row r="2518" spans="1:20" ht="15" customHeight="1">
      <c r="A2518" s="31"/>
      <c r="B2518" s="32"/>
      <c r="C2518" s="33"/>
      <c r="D2518" s="32" t="s">
        <v>5428</v>
      </c>
      <c r="E2518" s="33" t="s">
        <v>116</v>
      </c>
      <c r="F2518" s="34">
        <v>1</v>
      </c>
      <c r="G2518" s="35">
        <v>0</v>
      </c>
      <c r="H2518" s="35">
        <v>0</v>
      </c>
      <c r="I2518" s="35">
        <f>Tabla1[[#This Row],[P.U. M.N.]]*Tabla1[[#This Row],[CANTIDADES DE REFERENCIA]]</f>
        <v>0</v>
      </c>
      <c r="J2518" s="35">
        <f>Tabla1[[#This Row],[P.U. USD]]*Tabla1[[#This Row],[CANTIDADES DE REFERENCIA]]</f>
        <v>0</v>
      </c>
      <c r="K2518" s="36"/>
      <c r="L2518" s="36"/>
      <c r="M2518" s="36"/>
      <c r="N2518" s="37" t="s">
        <v>5257</v>
      </c>
      <c r="O2518" s="37"/>
      <c r="P2518" s="39"/>
      <c r="Q2518" s="37" t="s">
        <v>5429</v>
      </c>
      <c r="R2518" s="37" t="s">
        <v>389</v>
      </c>
      <c r="S2518" s="37"/>
      <c r="T2518" s="31"/>
    </row>
    <row r="2519" spans="1:20" ht="15" customHeight="1">
      <c r="A2519" s="31"/>
      <c r="B2519" s="32"/>
      <c r="C2519" s="33"/>
      <c r="D2519" s="32" t="s">
        <v>5430</v>
      </c>
      <c r="E2519" s="33" t="s">
        <v>116</v>
      </c>
      <c r="F2519" s="34">
        <v>1</v>
      </c>
      <c r="G2519" s="35">
        <v>0</v>
      </c>
      <c r="H2519" s="35">
        <v>0</v>
      </c>
      <c r="I2519" s="35">
        <f>Tabla1[[#This Row],[P.U. M.N.]]*Tabla1[[#This Row],[CANTIDADES DE REFERENCIA]]</f>
        <v>0</v>
      </c>
      <c r="J2519" s="35">
        <f>Tabla1[[#This Row],[P.U. USD]]*Tabla1[[#This Row],[CANTIDADES DE REFERENCIA]]</f>
        <v>0</v>
      </c>
      <c r="K2519" s="36"/>
      <c r="L2519" s="36"/>
      <c r="M2519" s="36"/>
      <c r="N2519" s="37" t="s">
        <v>5257</v>
      </c>
      <c r="O2519" s="37"/>
      <c r="P2519" s="39"/>
      <c r="Q2519" s="37" t="s">
        <v>5431</v>
      </c>
      <c r="R2519" s="37" t="s">
        <v>389</v>
      </c>
      <c r="S2519" s="37"/>
      <c r="T2519" s="31"/>
    </row>
    <row r="2520" spans="1:20" ht="15" customHeight="1">
      <c r="A2520" s="31"/>
      <c r="B2520" s="32"/>
      <c r="C2520" s="33"/>
      <c r="D2520" s="32" t="s">
        <v>5432</v>
      </c>
      <c r="E2520" s="33" t="s">
        <v>116</v>
      </c>
      <c r="F2520" s="34">
        <v>1</v>
      </c>
      <c r="G2520" s="35">
        <v>0</v>
      </c>
      <c r="H2520" s="35">
        <v>0</v>
      </c>
      <c r="I2520" s="35">
        <f>Tabla1[[#This Row],[P.U. M.N.]]*Tabla1[[#This Row],[CANTIDADES DE REFERENCIA]]</f>
        <v>0</v>
      </c>
      <c r="J2520" s="35">
        <f>Tabla1[[#This Row],[P.U. USD]]*Tabla1[[#This Row],[CANTIDADES DE REFERENCIA]]</f>
        <v>0</v>
      </c>
      <c r="K2520" s="36"/>
      <c r="L2520" s="36"/>
      <c r="M2520" s="36"/>
      <c r="N2520" s="37" t="s">
        <v>5257</v>
      </c>
      <c r="O2520" s="37"/>
      <c r="P2520" s="39"/>
      <c r="Q2520" s="37" t="s">
        <v>5433</v>
      </c>
      <c r="R2520" s="37" t="s">
        <v>389</v>
      </c>
      <c r="S2520" s="37"/>
      <c r="T2520" s="31"/>
    </row>
    <row r="2521" spans="1:20" ht="15" customHeight="1">
      <c r="A2521" s="31"/>
      <c r="B2521" s="32"/>
      <c r="C2521" s="33"/>
      <c r="D2521" s="32" t="s">
        <v>5434</v>
      </c>
      <c r="E2521" s="33" t="s">
        <v>116</v>
      </c>
      <c r="F2521" s="34">
        <v>1</v>
      </c>
      <c r="G2521" s="35">
        <v>0</v>
      </c>
      <c r="H2521" s="35">
        <v>0</v>
      </c>
      <c r="I2521" s="35">
        <f>Tabla1[[#This Row],[P.U. M.N.]]*Tabla1[[#This Row],[CANTIDADES DE REFERENCIA]]</f>
        <v>0</v>
      </c>
      <c r="J2521" s="35">
        <f>Tabla1[[#This Row],[P.U. USD]]*Tabla1[[#This Row],[CANTIDADES DE REFERENCIA]]</f>
        <v>0</v>
      </c>
      <c r="K2521" s="36"/>
      <c r="L2521" s="36"/>
      <c r="M2521" s="36"/>
      <c r="N2521" s="37" t="s">
        <v>5257</v>
      </c>
      <c r="O2521" s="37"/>
      <c r="P2521" s="39"/>
      <c r="Q2521" s="37" t="s">
        <v>5435</v>
      </c>
      <c r="R2521" s="37" t="s">
        <v>389</v>
      </c>
      <c r="S2521" s="37"/>
      <c r="T2521" s="31"/>
    </row>
    <row r="2522" spans="1:20" ht="15" customHeight="1">
      <c r="A2522" s="31"/>
      <c r="B2522" s="32"/>
      <c r="C2522" s="33"/>
      <c r="D2522" s="32" t="s">
        <v>5436</v>
      </c>
      <c r="E2522" s="33" t="s">
        <v>116</v>
      </c>
      <c r="F2522" s="34">
        <v>1</v>
      </c>
      <c r="G2522" s="35">
        <v>0</v>
      </c>
      <c r="H2522" s="35">
        <v>0</v>
      </c>
      <c r="I2522" s="35">
        <f>Tabla1[[#This Row],[P.U. M.N.]]*Tabla1[[#This Row],[CANTIDADES DE REFERENCIA]]</f>
        <v>0</v>
      </c>
      <c r="J2522" s="35">
        <f>Tabla1[[#This Row],[P.U. USD]]*Tabla1[[#This Row],[CANTIDADES DE REFERENCIA]]</f>
        <v>0</v>
      </c>
      <c r="K2522" s="36"/>
      <c r="L2522" s="36"/>
      <c r="M2522" s="36"/>
      <c r="N2522" s="37" t="s">
        <v>5257</v>
      </c>
      <c r="O2522" s="37"/>
      <c r="P2522" s="39"/>
      <c r="Q2522" s="37" t="s">
        <v>5437</v>
      </c>
      <c r="R2522" s="37" t="s">
        <v>389</v>
      </c>
      <c r="S2522" s="37"/>
      <c r="T2522" s="31"/>
    </row>
    <row r="2523" spans="1:20" ht="15" customHeight="1">
      <c r="A2523" s="31"/>
      <c r="B2523" s="32"/>
      <c r="C2523" s="33"/>
      <c r="D2523" s="32" t="s">
        <v>5438</v>
      </c>
      <c r="E2523" s="33" t="s">
        <v>116</v>
      </c>
      <c r="F2523" s="34">
        <v>1</v>
      </c>
      <c r="G2523" s="35">
        <v>0</v>
      </c>
      <c r="H2523" s="35">
        <v>0</v>
      </c>
      <c r="I2523" s="35">
        <f>Tabla1[[#This Row],[P.U. M.N.]]*Tabla1[[#This Row],[CANTIDADES DE REFERENCIA]]</f>
        <v>0</v>
      </c>
      <c r="J2523" s="35">
        <f>Tabla1[[#This Row],[P.U. USD]]*Tabla1[[#This Row],[CANTIDADES DE REFERENCIA]]</f>
        <v>0</v>
      </c>
      <c r="K2523" s="36"/>
      <c r="L2523" s="36"/>
      <c r="M2523" s="36"/>
      <c r="N2523" s="37" t="s">
        <v>5257</v>
      </c>
      <c r="O2523" s="37"/>
      <c r="P2523" s="39"/>
      <c r="Q2523" s="37" t="s">
        <v>5439</v>
      </c>
      <c r="R2523" s="37" t="s">
        <v>389</v>
      </c>
      <c r="S2523" s="37"/>
      <c r="T2523" s="31"/>
    </row>
    <row r="2524" spans="1:20" ht="15" customHeight="1">
      <c r="A2524" s="31"/>
      <c r="B2524" s="32"/>
      <c r="C2524" s="33"/>
      <c r="D2524" s="32" t="s">
        <v>5440</v>
      </c>
      <c r="E2524" s="33" t="s">
        <v>116</v>
      </c>
      <c r="F2524" s="34">
        <v>1</v>
      </c>
      <c r="G2524" s="35">
        <v>0</v>
      </c>
      <c r="H2524" s="35">
        <v>0</v>
      </c>
      <c r="I2524" s="35">
        <f>Tabla1[[#This Row],[P.U. M.N.]]*Tabla1[[#This Row],[CANTIDADES DE REFERENCIA]]</f>
        <v>0</v>
      </c>
      <c r="J2524" s="35">
        <f>Tabla1[[#This Row],[P.U. USD]]*Tabla1[[#This Row],[CANTIDADES DE REFERENCIA]]</f>
        <v>0</v>
      </c>
      <c r="K2524" s="36"/>
      <c r="L2524" s="36"/>
      <c r="M2524" s="36"/>
      <c r="N2524" s="37" t="s">
        <v>5257</v>
      </c>
      <c r="O2524" s="37"/>
      <c r="P2524" s="39"/>
      <c r="Q2524" s="37" t="s">
        <v>5441</v>
      </c>
      <c r="R2524" s="37" t="s">
        <v>389</v>
      </c>
      <c r="S2524" s="37"/>
      <c r="T2524" s="31"/>
    </row>
    <row r="2525" spans="1:20" ht="15" customHeight="1">
      <c r="A2525" s="31"/>
      <c r="B2525" s="32"/>
      <c r="C2525" s="33"/>
      <c r="D2525" s="32" t="s">
        <v>5442</v>
      </c>
      <c r="E2525" s="33" t="s">
        <v>116</v>
      </c>
      <c r="F2525" s="34">
        <v>1</v>
      </c>
      <c r="G2525" s="35">
        <v>0</v>
      </c>
      <c r="H2525" s="35">
        <v>0</v>
      </c>
      <c r="I2525" s="35">
        <f>Tabla1[[#This Row],[P.U. M.N.]]*Tabla1[[#This Row],[CANTIDADES DE REFERENCIA]]</f>
        <v>0</v>
      </c>
      <c r="J2525" s="35">
        <f>Tabla1[[#This Row],[P.U. USD]]*Tabla1[[#This Row],[CANTIDADES DE REFERENCIA]]</f>
        <v>0</v>
      </c>
      <c r="K2525" s="36"/>
      <c r="L2525" s="36"/>
      <c r="M2525" s="36"/>
      <c r="N2525" s="37" t="s">
        <v>5257</v>
      </c>
      <c r="O2525" s="37"/>
      <c r="P2525" s="39"/>
      <c r="Q2525" s="37" t="s">
        <v>5443</v>
      </c>
      <c r="R2525" s="37" t="s">
        <v>389</v>
      </c>
      <c r="S2525" s="37"/>
      <c r="T2525" s="31"/>
    </row>
    <row r="2526" spans="1:20" ht="15" customHeight="1">
      <c r="A2526" s="31"/>
      <c r="B2526" s="32"/>
      <c r="C2526" s="33"/>
      <c r="D2526" s="32" t="s">
        <v>5444</v>
      </c>
      <c r="E2526" s="33" t="s">
        <v>367</v>
      </c>
      <c r="F2526" s="34">
        <v>1</v>
      </c>
      <c r="G2526" s="35">
        <v>0</v>
      </c>
      <c r="H2526" s="35">
        <v>0</v>
      </c>
      <c r="I2526" s="35">
        <f>Tabla1[[#This Row],[P.U. M.N.]]*Tabla1[[#This Row],[CANTIDADES DE REFERENCIA]]</f>
        <v>0</v>
      </c>
      <c r="J2526" s="35">
        <f>Tabla1[[#This Row],[P.U. USD]]*Tabla1[[#This Row],[CANTIDADES DE REFERENCIA]]</f>
        <v>0</v>
      </c>
      <c r="K2526" s="36"/>
      <c r="L2526" s="36"/>
      <c r="M2526" s="36"/>
      <c r="N2526" s="37" t="s">
        <v>1036</v>
      </c>
      <c r="O2526" s="37"/>
      <c r="P2526" s="39"/>
      <c r="Q2526" s="37" t="s">
        <v>5445</v>
      </c>
      <c r="R2526" s="37" t="s">
        <v>389</v>
      </c>
      <c r="S2526" s="37"/>
      <c r="T2526" s="31"/>
    </row>
    <row r="2527" spans="1:20" ht="15" customHeight="1">
      <c r="A2527" s="31"/>
      <c r="B2527" s="32"/>
      <c r="C2527" s="33"/>
      <c r="D2527" s="32" t="s">
        <v>5446</v>
      </c>
      <c r="E2527" s="33" t="s">
        <v>367</v>
      </c>
      <c r="F2527" s="34">
        <v>1</v>
      </c>
      <c r="G2527" s="35">
        <v>0</v>
      </c>
      <c r="H2527" s="35">
        <v>0</v>
      </c>
      <c r="I2527" s="35">
        <f>Tabla1[[#This Row],[P.U. M.N.]]*Tabla1[[#This Row],[CANTIDADES DE REFERENCIA]]</f>
        <v>0</v>
      </c>
      <c r="J2527" s="35">
        <f>Tabla1[[#This Row],[P.U. USD]]*Tabla1[[#This Row],[CANTIDADES DE REFERENCIA]]</f>
        <v>0</v>
      </c>
      <c r="K2527" s="36"/>
      <c r="L2527" s="36"/>
      <c r="M2527" s="36"/>
      <c r="N2527" s="37" t="s">
        <v>1036</v>
      </c>
      <c r="O2527" s="37"/>
      <c r="P2527" s="39"/>
      <c r="Q2527" s="37" t="s">
        <v>5447</v>
      </c>
      <c r="R2527" s="37" t="s">
        <v>389</v>
      </c>
      <c r="S2527" s="37"/>
      <c r="T2527" s="31"/>
    </row>
    <row r="2528" spans="1:20" ht="15" customHeight="1">
      <c r="A2528" s="31"/>
      <c r="B2528" s="32"/>
      <c r="C2528" s="33"/>
      <c r="D2528" s="32" t="s">
        <v>5448</v>
      </c>
      <c r="E2528" s="33" t="s">
        <v>367</v>
      </c>
      <c r="F2528" s="34">
        <v>1</v>
      </c>
      <c r="G2528" s="35">
        <v>0</v>
      </c>
      <c r="H2528" s="35">
        <v>0</v>
      </c>
      <c r="I2528" s="35">
        <f>Tabla1[[#This Row],[P.U. M.N.]]*Tabla1[[#This Row],[CANTIDADES DE REFERENCIA]]</f>
        <v>0</v>
      </c>
      <c r="J2528" s="35">
        <f>Tabla1[[#This Row],[P.U. USD]]*Tabla1[[#This Row],[CANTIDADES DE REFERENCIA]]</f>
        <v>0</v>
      </c>
      <c r="K2528" s="36"/>
      <c r="L2528" s="36"/>
      <c r="M2528" s="36"/>
      <c r="N2528" s="37" t="s">
        <v>1036</v>
      </c>
      <c r="O2528" s="37"/>
      <c r="P2528" s="39"/>
      <c r="Q2528" s="37" t="s">
        <v>5449</v>
      </c>
      <c r="R2528" s="37" t="s">
        <v>389</v>
      </c>
      <c r="S2528" s="37"/>
      <c r="T2528" s="31"/>
    </row>
    <row r="2529" spans="1:20" ht="15" customHeight="1">
      <c r="A2529" s="31"/>
      <c r="B2529" s="32"/>
      <c r="C2529" s="33"/>
      <c r="D2529" s="32" t="s">
        <v>5450</v>
      </c>
      <c r="E2529" s="33" t="s">
        <v>116</v>
      </c>
      <c r="F2529" s="34">
        <v>1</v>
      </c>
      <c r="G2529" s="35">
        <v>0</v>
      </c>
      <c r="H2529" s="35">
        <v>0</v>
      </c>
      <c r="I2529" s="35">
        <f>Tabla1[[#This Row],[P.U. M.N.]]*Tabla1[[#This Row],[CANTIDADES DE REFERENCIA]]</f>
        <v>0</v>
      </c>
      <c r="J2529" s="35">
        <f>Tabla1[[#This Row],[P.U. USD]]*Tabla1[[#This Row],[CANTIDADES DE REFERENCIA]]</f>
        <v>0</v>
      </c>
      <c r="K2529" s="36"/>
      <c r="L2529" s="36"/>
      <c r="M2529" s="36"/>
      <c r="N2529" s="37" t="s">
        <v>5257</v>
      </c>
      <c r="O2529" s="37"/>
      <c r="P2529" s="39"/>
      <c r="Q2529" s="37" t="s">
        <v>5451</v>
      </c>
      <c r="R2529" s="37" t="s">
        <v>389</v>
      </c>
      <c r="S2529" s="37"/>
      <c r="T2529" s="31"/>
    </row>
    <row r="2530" spans="1:20" ht="15" customHeight="1">
      <c r="A2530" s="31"/>
      <c r="B2530" s="32"/>
      <c r="C2530" s="33"/>
      <c r="D2530" s="32" t="s">
        <v>5452</v>
      </c>
      <c r="E2530" s="33" t="s">
        <v>116</v>
      </c>
      <c r="F2530" s="34">
        <v>1</v>
      </c>
      <c r="G2530" s="35">
        <v>0</v>
      </c>
      <c r="H2530" s="35">
        <v>0</v>
      </c>
      <c r="I2530" s="35">
        <f>Tabla1[[#This Row],[P.U. M.N.]]*Tabla1[[#This Row],[CANTIDADES DE REFERENCIA]]</f>
        <v>0</v>
      </c>
      <c r="J2530" s="35">
        <f>Tabla1[[#This Row],[P.U. USD]]*Tabla1[[#This Row],[CANTIDADES DE REFERENCIA]]</f>
        <v>0</v>
      </c>
      <c r="K2530" s="36"/>
      <c r="L2530" s="36"/>
      <c r="M2530" s="36"/>
      <c r="N2530" s="37" t="s">
        <v>5257</v>
      </c>
      <c r="O2530" s="37"/>
      <c r="P2530" s="39"/>
      <c r="Q2530" s="37" t="s">
        <v>5453</v>
      </c>
      <c r="R2530" s="37" t="s">
        <v>389</v>
      </c>
      <c r="S2530" s="37"/>
      <c r="T2530" s="31"/>
    </row>
    <row r="2531" spans="1:20" ht="15" customHeight="1">
      <c r="A2531" s="31"/>
      <c r="B2531" s="32"/>
      <c r="C2531" s="33"/>
      <c r="D2531" s="32" t="s">
        <v>5454</v>
      </c>
      <c r="E2531" s="33" t="s">
        <v>116</v>
      </c>
      <c r="F2531" s="34">
        <v>1</v>
      </c>
      <c r="G2531" s="35">
        <v>0</v>
      </c>
      <c r="H2531" s="35">
        <v>0</v>
      </c>
      <c r="I2531" s="35">
        <f>Tabla1[[#This Row],[P.U. M.N.]]*Tabla1[[#This Row],[CANTIDADES DE REFERENCIA]]</f>
        <v>0</v>
      </c>
      <c r="J2531" s="35">
        <f>Tabla1[[#This Row],[P.U. USD]]*Tabla1[[#This Row],[CANTIDADES DE REFERENCIA]]</f>
        <v>0</v>
      </c>
      <c r="K2531" s="36"/>
      <c r="L2531" s="36"/>
      <c r="M2531" s="36"/>
      <c r="N2531" s="37" t="s">
        <v>5257</v>
      </c>
      <c r="O2531" s="37"/>
      <c r="P2531" s="39"/>
      <c r="Q2531" s="37" t="s">
        <v>5455</v>
      </c>
      <c r="R2531" s="37" t="s">
        <v>389</v>
      </c>
      <c r="S2531" s="37"/>
      <c r="T2531" s="31"/>
    </row>
    <row r="2532" spans="1:20" ht="15" customHeight="1">
      <c r="A2532" s="31"/>
      <c r="B2532" s="32"/>
      <c r="C2532" s="33"/>
      <c r="D2532" s="32" t="s">
        <v>5456</v>
      </c>
      <c r="E2532" s="33" t="s">
        <v>116</v>
      </c>
      <c r="F2532" s="34">
        <v>1</v>
      </c>
      <c r="G2532" s="35">
        <v>0</v>
      </c>
      <c r="H2532" s="35">
        <v>0</v>
      </c>
      <c r="I2532" s="35">
        <f>Tabla1[[#This Row],[P.U. M.N.]]*Tabla1[[#This Row],[CANTIDADES DE REFERENCIA]]</f>
        <v>0</v>
      </c>
      <c r="J2532" s="35">
        <f>Tabla1[[#This Row],[P.U. USD]]*Tabla1[[#This Row],[CANTIDADES DE REFERENCIA]]</f>
        <v>0</v>
      </c>
      <c r="K2532" s="36"/>
      <c r="L2532" s="36"/>
      <c r="M2532" s="36"/>
      <c r="N2532" s="37" t="s">
        <v>5257</v>
      </c>
      <c r="O2532" s="37"/>
      <c r="P2532" s="39"/>
      <c r="Q2532" s="37" t="s">
        <v>5457</v>
      </c>
      <c r="R2532" s="37" t="s">
        <v>389</v>
      </c>
      <c r="S2532" s="37"/>
      <c r="T2532" s="31"/>
    </row>
    <row r="2533" spans="1:20" ht="15" customHeight="1">
      <c r="A2533" s="31"/>
      <c r="B2533" s="32"/>
      <c r="C2533" s="33"/>
      <c r="D2533" s="32" t="s">
        <v>5458</v>
      </c>
      <c r="E2533" s="33" t="s">
        <v>116</v>
      </c>
      <c r="F2533" s="34">
        <v>1</v>
      </c>
      <c r="G2533" s="35">
        <v>0</v>
      </c>
      <c r="H2533" s="35">
        <v>0</v>
      </c>
      <c r="I2533" s="35">
        <f>Tabla1[[#This Row],[P.U. M.N.]]*Tabla1[[#This Row],[CANTIDADES DE REFERENCIA]]</f>
        <v>0</v>
      </c>
      <c r="J2533" s="35">
        <f>Tabla1[[#This Row],[P.U. USD]]*Tabla1[[#This Row],[CANTIDADES DE REFERENCIA]]</f>
        <v>0</v>
      </c>
      <c r="K2533" s="36"/>
      <c r="L2533" s="36"/>
      <c r="M2533" s="36"/>
      <c r="N2533" s="37" t="s">
        <v>5257</v>
      </c>
      <c r="O2533" s="37"/>
      <c r="P2533" s="39"/>
      <c r="Q2533" s="37" t="s">
        <v>5459</v>
      </c>
      <c r="R2533" s="37" t="s">
        <v>389</v>
      </c>
      <c r="S2533" s="37"/>
      <c r="T2533" s="31"/>
    </row>
    <row r="2534" spans="1:20" ht="15" customHeight="1">
      <c r="A2534" s="31"/>
      <c r="B2534" s="32"/>
      <c r="C2534" s="33"/>
      <c r="D2534" s="32" t="s">
        <v>5460</v>
      </c>
      <c r="E2534" s="33" t="s">
        <v>116</v>
      </c>
      <c r="F2534" s="34">
        <v>1</v>
      </c>
      <c r="G2534" s="35">
        <v>0</v>
      </c>
      <c r="H2534" s="35">
        <v>0</v>
      </c>
      <c r="I2534" s="35">
        <f>Tabla1[[#This Row],[P.U. M.N.]]*Tabla1[[#This Row],[CANTIDADES DE REFERENCIA]]</f>
        <v>0</v>
      </c>
      <c r="J2534" s="35">
        <f>Tabla1[[#This Row],[P.U. USD]]*Tabla1[[#This Row],[CANTIDADES DE REFERENCIA]]</f>
        <v>0</v>
      </c>
      <c r="K2534" s="36"/>
      <c r="L2534" s="36"/>
      <c r="M2534" s="36"/>
      <c r="N2534" s="37" t="s">
        <v>5257</v>
      </c>
      <c r="O2534" s="37"/>
      <c r="P2534" s="39"/>
      <c r="Q2534" s="37" t="s">
        <v>5461</v>
      </c>
      <c r="R2534" s="37" t="s">
        <v>389</v>
      </c>
      <c r="S2534" s="37"/>
      <c r="T2534" s="31"/>
    </row>
    <row r="2535" spans="1:20" ht="15" customHeight="1">
      <c r="A2535" s="31"/>
      <c r="B2535" s="32"/>
      <c r="C2535" s="33"/>
      <c r="D2535" s="32" t="s">
        <v>5462</v>
      </c>
      <c r="E2535" s="33" t="s">
        <v>116</v>
      </c>
      <c r="F2535" s="34">
        <v>1</v>
      </c>
      <c r="G2535" s="35">
        <v>0</v>
      </c>
      <c r="H2535" s="35">
        <v>0</v>
      </c>
      <c r="I2535" s="35">
        <f>Tabla1[[#This Row],[P.U. M.N.]]*Tabla1[[#This Row],[CANTIDADES DE REFERENCIA]]</f>
        <v>0</v>
      </c>
      <c r="J2535" s="35">
        <f>Tabla1[[#This Row],[P.U. USD]]*Tabla1[[#This Row],[CANTIDADES DE REFERENCIA]]</f>
        <v>0</v>
      </c>
      <c r="K2535" s="36"/>
      <c r="L2535" s="36"/>
      <c r="M2535" s="36"/>
      <c r="N2535" s="37" t="s">
        <v>5257</v>
      </c>
      <c r="O2535" s="37"/>
      <c r="P2535" s="39"/>
      <c r="Q2535" s="37" t="s">
        <v>5463</v>
      </c>
      <c r="R2535" s="37" t="s">
        <v>389</v>
      </c>
      <c r="S2535" s="37"/>
      <c r="T2535" s="31"/>
    </row>
    <row r="2536" spans="1:20" ht="15" customHeight="1">
      <c r="A2536" s="31"/>
      <c r="B2536" s="32"/>
      <c r="C2536" s="33"/>
      <c r="D2536" s="32" t="s">
        <v>5464</v>
      </c>
      <c r="E2536" s="33" t="s">
        <v>116</v>
      </c>
      <c r="F2536" s="34">
        <v>1</v>
      </c>
      <c r="G2536" s="35">
        <v>0</v>
      </c>
      <c r="H2536" s="35">
        <v>0</v>
      </c>
      <c r="I2536" s="35">
        <f>Tabla1[[#This Row],[P.U. M.N.]]*Tabla1[[#This Row],[CANTIDADES DE REFERENCIA]]</f>
        <v>0</v>
      </c>
      <c r="J2536" s="35">
        <f>Tabla1[[#This Row],[P.U. USD]]*Tabla1[[#This Row],[CANTIDADES DE REFERENCIA]]</f>
        <v>0</v>
      </c>
      <c r="K2536" s="36"/>
      <c r="L2536" s="36"/>
      <c r="M2536" s="36"/>
      <c r="N2536" s="37" t="s">
        <v>5257</v>
      </c>
      <c r="O2536" s="37"/>
      <c r="P2536" s="39"/>
      <c r="Q2536" s="37" t="s">
        <v>5465</v>
      </c>
      <c r="R2536" s="37" t="s">
        <v>389</v>
      </c>
      <c r="S2536" s="37"/>
      <c r="T2536" s="31"/>
    </row>
    <row r="2537" spans="1:20" ht="15" customHeight="1">
      <c r="A2537" s="31"/>
      <c r="B2537" s="32"/>
      <c r="C2537" s="33"/>
      <c r="D2537" s="32" t="s">
        <v>5466</v>
      </c>
      <c r="E2537" s="33" t="s">
        <v>116</v>
      </c>
      <c r="F2537" s="34">
        <v>1</v>
      </c>
      <c r="G2537" s="35">
        <v>0</v>
      </c>
      <c r="H2537" s="35">
        <v>0</v>
      </c>
      <c r="I2537" s="35">
        <f>Tabla1[[#This Row],[P.U. M.N.]]*Tabla1[[#This Row],[CANTIDADES DE REFERENCIA]]</f>
        <v>0</v>
      </c>
      <c r="J2537" s="35">
        <f>Tabla1[[#This Row],[P.U. USD]]*Tabla1[[#This Row],[CANTIDADES DE REFERENCIA]]</f>
        <v>0</v>
      </c>
      <c r="K2537" s="36"/>
      <c r="L2537" s="36"/>
      <c r="M2537" s="36"/>
      <c r="N2537" s="37" t="s">
        <v>5257</v>
      </c>
      <c r="O2537" s="37"/>
      <c r="P2537" s="39"/>
      <c r="Q2537" s="37" t="s">
        <v>5467</v>
      </c>
      <c r="R2537" s="37" t="s">
        <v>389</v>
      </c>
      <c r="S2537" s="37"/>
      <c r="T2537" s="31"/>
    </row>
    <row r="2538" spans="1:20" ht="15" customHeight="1">
      <c r="A2538" s="31"/>
      <c r="B2538" s="32"/>
      <c r="C2538" s="33"/>
      <c r="D2538" s="32" t="s">
        <v>5468</v>
      </c>
      <c r="E2538" s="33" t="s">
        <v>116</v>
      </c>
      <c r="F2538" s="34">
        <v>1</v>
      </c>
      <c r="G2538" s="35">
        <v>0</v>
      </c>
      <c r="H2538" s="35">
        <v>0</v>
      </c>
      <c r="I2538" s="35">
        <f>Tabla1[[#This Row],[P.U. M.N.]]*Tabla1[[#This Row],[CANTIDADES DE REFERENCIA]]</f>
        <v>0</v>
      </c>
      <c r="J2538" s="35">
        <f>Tabla1[[#This Row],[P.U. USD]]*Tabla1[[#This Row],[CANTIDADES DE REFERENCIA]]</f>
        <v>0</v>
      </c>
      <c r="K2538" s="36"/>
      <c r="L2538" s="36"/>
      <c r="M2538" s="36"/>
      <c r="N2538" s="37" t="s">
        <v>5257</v>
      </c>
      <c r="O2538" s="37"/>
      <c r="P2538" s="39"/>
      <c r="Q2538" s="37" t="s">
        <v>5469</v>
      </c>
      <c r="R2538" s="37" t="s">
        <v>389</v>
      </c>
      <c r="S2538" s="37"/>
      <c r="T2538" s="31"/>
    </row>
    <row r="2539" spans="1:20" ht="15" customHeight="1">
      <c r="A2539" s="31"/>
      <c r="B2539" s="32"/>
      <c r="C2539" s="33"/>
      <c r="D2539" s="32" t="s">
        <v>5470</v>
      </c>
      <c r="E2539" s="33" t="s">
        <v>116</v>
      </c>
      <c r="F2539" s="34">
        <v>1</v>
      </c>
      <c r="G2539" s="35">
        <v>0</v>
      </c>
      <c r="H2539" s="35">
        <v>0</v>
      </c>
      <c r="I2539" s="35">
        <f>Tabla1[[#This Row],[P.U. M.N.]]*Tabla1[[#This Row],[CANTIDADES DE REFERENCIA]]</f>
        <v>0</v>
      </c>
      <c r="J2539" s="35">
        <f>Tabla1[[#This Row],[P.U. USD]]*Tabla1[[#This Row],[CANTIDADES DE REFERENCIA]]</f>
        <v>0</v>
      </c>
      <c r="K2539" s="36"/>
      <c r="L2539" s="36"/>
      <c r="M2539" s="36"/>
      <c r="N2539" s="37" t="s">
        <v>5257</v>
      </c>
      <c r="O2539" s="37"/>
      <c r="P2539" s="39"/>
      <c r="Q2539" s="37" t="s">
        <v>5471</v>
      </c>
      <c r="R2539" s="37" t="s">
        <v>389</v>
      </c>
      <c r="S2539" s="37"/>
      <c r="T2539" s="31"/>
    </row>
    <row r="2540" spans="1:20" ht="15" customHeight="1">
      <c r="A2540" s="31"/>
      <c r="B2540" s="32"/>
      <c r="C2540" s="33"/>
      <c r="D2540" s="32" t="s">
        <v>5472</v>
      </c>
      <c r="E2540" s="33" t="s">
        <v>116</v>
      </c>
      <c r="F2540" s="34">
        <v>1</v>
      </c>
      <c r="G2540" s="35">
        <v>0</v>
      </c>
      <c r="H2540" s="35">
        <v>0</v>
      </c>
      <c r="I2540" s="35">
        <f>Tabla1[[#This Row],[P.U. M.N.]]*Tabla1[[#This Row],[CANTIDADES DE REFERENCIA]]</f>
        <v>0</v>
      </c>
      <c r="J2540" s="35">
        <f>Tabla1[[#This Row],[P.U. USD]]*Tabla1[[#This Row],[CANTIDADES DE REFERENCIA]]</f>
        <v>0</v>
      </c>
      <c r="K2540" s="36"/>
      <c r="L2540" s="36"/>
      <c r="M2540" s="36"/>
      <c r="N2540" s="37" t="s">
        <v>5257</v>
      </c>
      <c r="O2540" s="37"/>
      <c r="P2540" s="39"/>
      <c r="Q2540" s="37" t="s">
        <v>5473</v>
      </c>
      <c r="R2540" s="37" t="s">
        <v>389</v>
      </c>
      <c r="S2540" s="37"/>
      <c r="T2540" s="31"/>
    </row>
    <row r="2541" spans="1:20" ht="15" customHeight="1">
      <c r="A2541" s="31"/>
      <c r="B2541" s="32"/>
      <c r="C2541" s="33"/>
      <c r="D2541" s="32" t="s">
        <v>5474</v>
      </c>
      <c r="E2541" s="33" t="s">
        <v>116</v>
      </c>
      <c r="F2541" s="34">
        <v>1</v>
      </c>
      <c r="G2541" s="35">
        <v>0</v>
      </c>
      <c r="H2541" s="35">
        <v>0</v>
      </c>
      <c r="I2541" s="35">
        <f>Tabla1[[#This Row],[P.U. M.N.]]*Tabla1[[#This Row],[CANTIDADES DE REFERENCIA]]</f>
        <v>0</v>
      </c>
      <c r="J2541" s="35">
        <f>Tabla1[[#This Row],[P.U. USD]]*Tabla1[[#This Row],[CANTIDADES DE REFERENCIA]]</f>
        <v>0</v>
      </c>
      <c r="K2541" s="36"/>
      <c r="L2541" s="36"/>
      <c r="M2541" s="36"/>
      <c r="N2541" s="37" t="s">
        <v>5257</v>
      </c>
      <c r="O2541" s="37"/>
      <c r="P2541" s="39"/>
      <c r="Q2541" s="37" t="s">
        <v>5475</v>
      </c>
      <c r="R2541" s="37" t="s">
        <v>389</v>
      </c>
      <c r="S2541" s="37"/>
      <c r="T2541" s="31"/>
    </row>
    <row r="2542" spans="1:20" ht="15" customHeight="1">
      <c r="A2542" s="31"/>
      <c r="B2542" s="32"/>
      <c r="C2542" s="33"/>
      <c r="D2542" s="32" t="s">
        <v>5476</v>
      </c>
      <c r="E2542" s="33" t="s">
        <v>116</v>
      </c>
      <c r="F2542" s="34">
        <v>1</v>
      </c>
      <c r="G2542" s="35">
        <v>0</v>
      </c>
      <c r="H2542" s="35">
        <v>0</v>
      </c>
      <c r="I2542" s="35">
        <f>Tabla1[[#This Row],[P.U. M.N.]]*Tabla1[[#This Row],[CANTIDADES DE REFERENCIA]]</f>
        <v>0</v>
      </c>
      <c r="J2542" s="35">
        <f>Tabla1[[#This Row],[P.U. USD]]*Tabla1[[#This Row],[CANTIDADES DE REFERENCIA]]</f>
        <v>0</v>
      </c>
      <c r="K2542" s="36"/>
      <c r="L2542" s="36"/>
      <c r="M2542" s="36"/>
      <c r="N2542" s="37" t="s">
        <v>5257</v>
      </c>
      <c r="O2542" s="37"/>
      <c r="P2542" s="39"/>
      <c r="Q2542" s="37" t="s">
        <v>5477</v>
      </c>
      <c r="R2542" s="37" t="s">
        <v>389</v>
      </c>
      <c r="S2542" s="37"/>
      <c r="T2542" s="31"/>
    </row>
    <row r="2543" spans="1:20" ht="15" customHeight="1">
      <c r="A2543" s="31"/>
      <c r="B2543" s="32"/>
      <c r="C2543" s="33"/>
      <c r="D2543" s="32" t="s">
        <v>5478</v>
      </c>
      <c r="E2543" s="33" t="s">
        <v>116</v>
      </c>
      <c r="F2543" s="34">
        <v>1</v>
      </c>
      <c r="G2543" s="35">
        <v>0</v>
      </c>
      <c r="H2543" s="35">
        <v>0</v>
      </c>
      <c r="I2543" s="35">
        <f>Tabla1[[#This Row],[P.U. M.N.]]*Tabla1[[#This Row],[CANTIDADES DE REFERENCIA]]</f>
        <v>0</v>
      </c>
      <c r="J2543" s="35">
        <f>Tabla1[[#This Row],[P.U. USD]]*Tabla1[[#This Row],[CANTIDADES DE REFERENCIA]]</f>
        <v>0</v>
      </c>
      <c r="K2543" s="36"/>
      <c r="L2543" s="36"/>
      <c r="M2543" s="36"/>
      <c r="N2543" s="37" t="s">
        <v>5257</v>
      </c>
      <c r="O2543" s="37"/>
      <c r="P2543" s="39"/>
      <c r="Q2543" s="37" t="s">
        <v>5479</v>
      </c>
      <c r="R2543" s="37" t="s">
        <v>389</v>
      </c>
      <c r="S2543" s="37"/>
      <c r="T2543" s="31"/>
    </row>
    <row r="2544" spans="1:20" ht="15" customHeight="1">
      <c r="A2544" s="31"/>
      <c r="B2544" s="32"/>
      <c r="C2544" s="33"/>
      <c r="D2544" s="32" t="s">
        <v>5480</v>
      </c>
      <c r="E2544" s="33" t="s">
        <v>116</v>
      </c>
      <c r="F2544" s="34">
        <v>1</v>
      </c>
      <c r="G2544" s="35">
        <v>0</v>
      </c>
      <c r="H2544" s="35">
        <v>0</v>
      </c>
      <c r="I2544" s="35">
        <f>Tabla1[[#This Row],[P.U. M.N.]]*Tabla1[[#This Row],[CANTIDADES DE REFERENCIA]]</f>
        <v>0</v>
      </c>
      <c r="J2544" s="35">
        <f>Tabla1[[#This Row],[P.U. USD]]*Tabla1[[#This Row],[CANTIDADES DE REFERENCIA]]</f>
        <v>0</v>
      </c>
      <c r="K2544" s="36"/>
      <c r="L2544" s="36"/>
      <c r="M2544" s="36"/>
      <c r="N2544" s="37" t="s">
        <v>5257</v>
      </c>
      <c r="O2544" s="37"/>
      <c r="P2544" s="39"/>
      <c r="Q2544" s="37" t="s">
        <v>5481</v>
      </c>
      <c r="R2544" s="37" t="s">
        <v>389</v>
      </c>
      <c r="S2544" s="37"/>
      <c r="T2544" s="31"/>
    </row>
    <row r="2545" spans="1:20" ht="15" customHeight="1">
      <c r="A2545" s="31"/>
      <c r="B2545" s="32"/>
      <c r="C2545" s="33"/>
      <c r="D2545" s="32" t="s">
        <v>5482</v>
      </c>
      <c r="E2545" s="33" t="s">
        <v>116</v>
      </c>
      <c r="F2545" s="34">
        <v>1</v>
      </c>
      <c r="G2545" s="35">
        <v>0</v>
      </c>
      <c r="H2545" s="35">
        <v>0</v>
      </c>
      <c r="I2545" s="35">
        <f>Tabla1[[#This Row],[P.U. M.N.]]*Tabla1[[#This Row],[CANTIDADES DE REFERENCIA]]</f>
        <v>0</v>
      </c>
      <c r="J2545" s="35">
        <f>Tabla1[[#This Row],[P.U. USD]]*Tabla1[[#This Row],[CANTIDADES DE REFERENCIA]]</f>
        <v>0</v>
      </c>
      <c r="K2545" s="36"/>
      <c r="L2545" s="36"/>
      <c r="M2545" s="36"/>
      <c r="N2545" s="37" t="s">
        <v>5257</v>
      </c>
      <c r="O2545" s="37"/>
      <c r="P2545" s="39"/>
      <c r="Q2545" s="37" t="s">
        <v>5483</v>
      </c>
      <c r="R2545" s="37" t="s">
        <v>58</v>
      </c>
      <c r="S2545" s="37"/>
      <c r="T2545" s="31"/>
    </row>
    <row r="2546" spans="1:20" ht="15" customHeight="1">
      <c r="A2546" s="31"/>
      <c r="B2546" s="32"/>
      <c r="C2546" s="33"/>
      <c r="D2546" s="32" t="s">
        <v>5484</v>
      </c>
      <c r="E2546" s="33" t="s">
        <v>116</v>
      </c>
      <c r="F2546" s="34">
        <v>1</v>
      </c>
      <c r="G2546" s="35">
        <v>0</v>
      </c>
      <c r="H2546" s="35">
        <v>0</v>
      </c>
      <c r="I2546" s="35">
        <f>Tabla1[[#This Row],[P.U. M.N.]]*Tabla1[[#This Row],[CANTIDADES DE REFERENCIA]]</f>
        <v>0</v>
      </c>
      <c r="J2546" s="35">
        <f>Tabla1[[#This Row],[P.U. USD]]*Tabla1[[#This Row],[CANTIDADES DE REFERENCIA]]</f>
        <v>0</v>
      </c>
      <c r="K2546" s="36"/>
      <c r="L2546" s="36"/>
      <c r="M2546" s="36"/>
      <c r="N2546" s="37" t="s">
        <v>5257</v>
      </c>
      <c r="O2546" s="37"/>
      <c r="P2546" s="39"/>
      <c r="Q2546" s="37" t="s">
        <v>5485</v>
      </c>
      <c r="R2546" s="37" t="s">
        <v>389</v>
      </c>
      <c r="S2546" s="37"/>
      <c r="T2546" s="31"/>
    </row>
    <row r="2547" spans="1:20" ht="15" customHeight="1">
      <c r="A2547" s="31"/>
      <c r="B2547" s="32"/>
      <c r="C2547" s="33"/>
      <c r="D2547" s="32" t="s">
        <v>5486</v>
      </c>
      <c r="E2547" s="33" t="s">
        <v>116</v>
      </c>
      <c r="F2547" s="34">
        <v>1</v>
      </c>
      <c r="G2547" s="35">
        <v>0</v>
      </c>
      <c r="H2547" s="35">
        <v>0</v>
      </c>
      <c r="I2547" s="35">
        <f>Tabla1[[#This Row],[P.U. M.N.]]*Tabla1[[#This Row],[CANTIDADES DE REFERENCIA]]</f>
        <v>0</v>
      </c>
      <c r="J2547" s="35">
        <f>Tabla1[[#This Row],[P.U. USD]]*Tabla1[[#This Row],[CANTIDADES DE REFERENCIA]]</f>
        <v>0</v>
      </c>
      <c r="K2547" s="36"/>
      <c r="L2547" s="36"/>
      <c r="M2547" s="36"/>
      <c r="N2547" s="37" t="s">
        <v>5257</v>
      </c>
      <c r="O2547" s="37"/>
      <c r="P2547" s="39"/>
      <c r="Q2547" s="37" t="s">
        <v>5487</v>
      </c>
      <c r="R2547" s="37" t="s">
        <v>389</v>
      </c>
      <c r="S2547" s="37"/>
      <c r="T2547" s="31"/>
    </row>
    <row r="2548" spans="1:20" ht="15" customHeight="1">
      <c r="A2548" s="31"/>
      <c r="B2548" s="32"/>
      <c r="C2548" s="33"/>
      <c r="D2548" s="32" t="s">
        <v>5488</v>
      </c>
      <c r="E2548" s="33" t="s">
        <v>116</v>
      </c>
      <c r="F2548" s="34">
        <v>1</v>
      </c>
      <c r="G2548" s="35">
        <v>0</v>
      </c>
      <c r="H2548" s="35">
        <v>0</v>
      </c>
      <c r="I2548" s="35">
        <f>Tabla1[[#This Row],[P.U. M.N.]]*Tabla1[[#This Row],[CANTIDADES DE REFERENCIA]]</f>
        <v>0</v>
      </c>
      <c r="J2548" s="35">
        <f>Tabla1[[#This Row],[P.U. USD]]*Tabla1[[#This Row],[CANTIDADES DE REFERENCIA]]</f>
        <v>0</v>
      </c>
      <c r="K2548" s="36"/>
      <c r="L2548" s="36"/>
      <c r="M2548" s="36"/>
      <c r="N2548" s="37" t="s">
        <v>5257</v>
      </c>
      <c r="O2548" s="37"/>
      <c r="P2548" s="39"/>
      <c r="Q2548" s="37" t="s">
        <v>5489</v>
      </c>
      <c r="R2548" s="37" t="s">
        <v>389</v>
      </c>
      <c r="S2548" s="37"/>
      <c r="T2548" s="31"/>
    </row>
    <row r="2549" spans="1:20" ht="15" customHeight="1">
      <c r="A2549" s="31"/>
      <c r="B2549" s="32"/>
      <c r="C2549" s="33"/>
      <c r="D2549" s="32" t="s">
        <v>5490</v>
      </c>
      <c r="E2549" s="33" t="s">
        <v>1607</v>
      </c>
      <c r="F2549" s="34">
        <v>1</v>
      </c>
      <c r="G2549" s="35">
        <v>0</v>
      </c>
      <c r="H2549" s="35">
        <v>0</v>
      </c>
      <c r="I2549" s="35">
        <f>Tabla1[[#This Row],[P.U. M.N.]]*Tabla1[[#This Row],[CANTIDADES DE REFERENCIA]]</f>
        <v>0</v>
      </c>
      <c r="J2549" s="35">
        <f>Tabla1[[#This Row],[P.U. USD]]*Tabla1[[#This Row],[CANTIDADES DE REFERENCIA]]</f>
        <v>0</v>
      </c>
      <c r="K2549" s="36"/>
      <c r="L2549" s="36"/>
      <c r="M2549" s="36"/>
      <c r="N2549" s="37" t="s">
        <v>5257</v>
      </c>
      <c r="O2549" s="37"/>
      <c r="P2549" s="39"/>
      <c r="Q2549" s="37" t="s">
        <v>5491</v>
      </c>
      <c r="R2549" s="37" t="s">
        <v>389</v>
      </c>
      <c r="S2549" s="37"/>
      <c r="T2549" s="31"/>
    </row>
    <row r="2550" spans="1:20" ht="15" customHeight="1">
      <c r="A2550" s="31"/>
      <c r="B2550" s="32"/>
      <c r="C2550" s="33"/>
      <c r="D2550" s="32" t="s">
        <v>5492</v>
      </c>
      <c r="E2550" s="33" t="s">
        <v>116</v>
      </c>
      <c r="F2550" s="34">
        <v>1</v>
      </c>
      <c r="G2550" s="35">
        <v>0</v>
      </c>
      <c r="H2550" s="35">
        <v>0</v>
      </c>
      <c r="I2550" s="35">
        <f>Tabla1[[#This Row],[P.U. M.N.]]*Tabla1[[#This Row],[CANTIDADES DE REFERENCIA]]</f>
        <v>0</v>
      </c>
      <c r="J2550" s="35">
        <f>Tabla1[[#This Row],[P.U. USD]]*Tabla1[[#This Row],[CANTIDADES DE REFERENCIA]]</f>
        <v>0</v>
      </c>
      <c r="K2550" s="36"/>
      <c r="L2550" s="36"/>
      <c r="M2550" s="36"/>
      <c r="N2550" s="37" t="s">
        <v>5257</v>
      </c>
      <c r="O2550" s="37"/>
      <c r="P2550" s="39"/>
      <c r="Q2550" s="37" t="s">
        <v>5493</v>
      </c>
      <c r="R2550" s="37" t="s">
        <v>389</v>
      </c>
      <c r="S2550" s="37"/>
      <c r="T2550" s="31"/>
    </row>
    <row r="2551" spans="1:20" ht="15" customHeight="1">
      <c r="A2551" s="31"/>
      <c r="B2551" s="32"/>
      <c r="C2551" s="33"/>
      <c r="D2551" s="32" t="s">
        <v>5494</v>
      </c>
      <c r="E2551" s="33" t="s">
        <v>116</v>
      </c>
      <c r="F2551" s="34">
        <v>1</v>
      </c>
      <c r="G2551" s="35">
        <v>0</v>
      </c>
      <c r="H2551" s="35">
        <v>0</v>
      </c>
      <c r="I2551" s="35">
        <f>Tabla1[[#This Row],[P.U. M.N.]]*Tabla1[[#This Row],[CANTIDADES DE REFERENCIA]]</f>
        <v>0</v>
      </c>
      <c r="J2551" s="35">
        <f>Tabla1[[#This Row],[P.U. USD]]*Tabla1[[#This Row],[CANTIDADES DE REFERENCIA]]</f>
        <v>0</v>
      </c>
      <c r="K2551" s="36"/>
      <c r="L2551" s="36"/>
      <c r="M2551" s="36"/>
      <c r="N2551" s="37" t="s">
        <v>5257</v>
      </c>
      <c r="O2551" s="37"/>
      <c r="P2551" s="39"/>
      <c r="Q2551" s="37" t="s">
        <v>5495</v>
      </c>
      <c r="R2551" s="37" t="s">
        <v>389</v>
      </c>
      <c r="S2551" s="37"/>
      <c r="T2551" s="31"/>
    </row>
    <row r="2552" spans="1:20" ht="15" customHeight="1">
      <c r="A2552" s="31"/>
      <c r="B2552" s="32"/>
      <c r="C2552" s="33"/>
      <c r="D2552" s="32" t="s">
        <v>5496</v>
      </c>
      <c r="E2552" s="33" t="s">
        <v>42</v>
      </c>
      <c r="F2552" s="34">
        <v>1</v>
      </c>
      <c r="G2552" s="35">
        <v>0</v>
      </c>
      <c r="H2552" s="35">
        <v>0</v>
      </c>
      <c r="I2552" s="35">
        <f>Tabla1[[#This Row],[P.U. M.N.]]*Tabla1[[#This Row],[CANTIDADES DE REFERENCIA]]</f>
        <v>0</v>
      </c>
      <c r="J2552" s="35">
        <f>Tabla1[[#This Row],[P.U. USD]]*Tabla1[[#This Row],[CANTIDADES DE REFERENCIA]]</f>
        <v>0</v>
      </c>
      <c r="K2552" s="36"/>
      <c r="L2552" s="36"/>
      <c r="M2552" s="36"/>
      <c r="N2552" s="37" t="s">
        <v>1043</v>
      </c>
      <c r="O2552" s="37"/>
      <c r="P2552" s="39"/>
      <c r="Q2552" s="37" t="s">
        <v>5497</v>
      </c>
      <c r="R2552" s="37" t="s">
        <v>389</v>
      </c>
      <c r="S2552" s="37" t="s">
        <v>5498</v>
      </c>
      <c r="T2552" s="31"/>
    </row>
    <row r="2553" spans="1:20" ht="15" customHeight="1">
      <c r="A2553" s="31"/>
      <c r="B2553" s="32"/>
      <c r="C2553" s="33"/>
      <c r="D2553" s="32" t="s">
        <v>5499</v>
      </c>
      <c r="E2553" s="33" t="s">
        <v>42</v>
      </c>
      <c r="F2553" s="34">
        <v>1</v>
      </c>
      <c r="G2553" s="35">
        <v>0</v>
      </c>
      <c r="H2553" s="35">
        <v>0</v>
      </c>
      <c r="I2553" s="35">
        <f>Tabla1[[#This Row],[P.U. M.N.]]*Tabla1[[#This Row],[CANTIDADES DE REFERENCIA]]</f>
        <v>0</v>
      </c>
      <c r="J2553" s="35">
        <f>Tabla1[[#This Row],[P.U. USD]]*Tabla1[[#This Row],[CANTIDADES DE REFERENCIA]]</f>
        <v>0</v>
      </c>
      <c r="K2553" s="36"/>
      <c r="L2553" s="36"/>
      <c r="M2553" s="36"/>
      <c r="N2553" s="37" t="s">
        <v>1043</v>
      </c>
      <c r="O2553" s="37"/>
      <c r="P2553" s="39"/>
      <c r="Q2553" s="37" t="s">
        <v>5500</v>
      </c>
      <c r="R2553" s="37" t="s">
        <v>389</v>
      </c>
      <c r="S2553" s="37" t="s">
        <v>5498</v>
      </c>
      <c r="T2553" s="31"/>
    </row>
    <row r="2554" spans="1:20" ht="15" customHeight="1">
      <c r="A2554" s="31"/>
      <c r="B2554" s="32"/>
      <c r="C2554" s="33"/>
      <c r="D2554" s="32" t="s">
        <v>5501</v>
      </c>
      <c r="E2554" s="33" t="s">
        <v>42</v>
      </c>
      <c r="F2554" s="34">
        <v>1</v>
      </c>
      <c r="G2554" s="35">
        <v>0</v>
      </c>
      <c r="H2554" s="35">
        <v>0</v>
      </c>
      <c r="I2554" s="35">
        <f>Tabla1[[#This Row],[P.U. M.N.]]*Tabla1[[#This Row],[CANTIDADES DE REFERENCIA]]</f>
        <v>0</v>
      </c>
      <c r="J2554" s="35">
        <f>Tabla1[[#This Row],[P.U. USD]]*Tabla1[[#This Row],[CANTIDADES DE REFERENCIA]]</f>
        <v>0</v>
      </c>
      <c r="K2554" s="36"/>
      <c r="L2554" s="36"/>
      <c r="M2554" s="36"/>
      <c r="N2554" s="37" t="s">
        <v>1043</v>
      </c>
      <c r="O2554" s="37"/>
      <c r="P2554" s="39"/>
      <c r="Q2554" s="37" t="s">
        <v>5502</v>
      </c>
      <c r="R2554" s="37" t="s">
        <v>389</v>
      </c>
      <c r="S2554" s="37" t="s">
        <v>5498</v>
      </c>
      <c r="T2554" s="31"/>
    </row>
    <row r="2555" spans="1:20" ht="15" customHeight="1">
      <c r="A2555" s="31"/>
      <c r="B2555" s="32"/>
      <c r="C2555" s="33"/>
      <c r="D2555" s="32" t="s">
        <v>5503</v>
      </c>
      <c r="E2555" s="33" t="s">
        <v>42</v>
      </c>
      <c r="F2555" s="34">
        <v>1</v>
      </c>
      <c r="G2555" s="35">
        <v>0</v>
      </c>
      <c r="H2555" s="35">
        <v>0</v>
      </c>
      <c r="I2555" s="35">
        <f>Tabla1[[#This Row],[P.U. M.N.]]*Tabla1[[#This Row],[CANTIDADES DE REFERENCIA]]</f>
        <v>0</v>
      </c>
      <c r="J2555" s="35">
        <f>Tabla1[[#This Row],[P.U. USD]]*Tabla1[[#This Row],[CANTIDADES DE REFERENCIA]]</f>
        <v>0</v>
      </c>
      <c r="K2555" s="36"/>
      <c r="L2555" s="36"/>
      <c r="M2555" s="36"/>
      <c r="N2555" s="37" t="s">
        <v>1043</v>
      </c>
      <c r="O2555" s="37"/>
      <c r="P2555" s="39"/>
      <c r="Q2555" s="37" t="s">
        <v>5504</v>
      </c>
      <c r="R2555" s="37" t="s">
        <v>389</v>
      </c>
      <c r="S2555" s="37" t="s">
        <v>5498</v>
      </c>
      <c r="T2555" s="31"/>
    </row>
    <row r="2556" spans="1:20" ht="15" customHeight="1">
      <c r="A2556" s="31"/>
      <c r="B2556" s="32"/>
      <c r="C2556" s="33"/>
      <c r="D2556" s="32" t="s">
        <v>5505</v>
      </c>
      <c r="E2556" s="33" t="s">
        <v>367</v>
      </c>
      <c r="F2556" s="34">
        <v>1</v>
      </c>
      <c r="G2556" s="35">
        <v>0</v>
      </c>
      <c r="H2556" s="35">
        <v>0</v>
      </c>
      <c r="I2556" s="35">
        <f>Tabla1[[#This Row],[P.U. M.N.]]*Tabla1[[#This Row],[CANTIDADES DE REFERENCIA]]</f>
        <v>0</v>
      </c>
      <c r="J2556" s="35">
        <f>Tabla1[[#This Row],[P.U. USD]]*Tabla1[[#This Row],[CANTIDADES DE REFERENCIA]]</f>
        <v>0</v>
      </c>
      <c r="K2556" s="36"/>
      <c r="L2556" s="36"/>
      <c r="M2556" s="36"/>
      <c r="N2556" s="37" t="s">
        <v>1043</v>
      </c>
      <c r="O2556" s="37"/>
      <c r="P2556" s="39"/>
      <c r="Q2556" s="37" t="s">
        <v>5506</v>
      </c>
      <c r="R2556" s="37" t="s">
        <v>389</v>
      </c>
      <c r="S2556" s="37" t="s">
        <v>5498</v>
      </c>
      <c r="T2556" s="31"/>
    </row>
    <row r="2557" spans="1:20" ht="15" customHeight="1">
      <c r="A2557" s="31"/>
      <c r="B2557" s="32"/>
      <c r="C2557" s="33"/>
      <c r="D2557" s="32" t="s">
        <v>5507</v>
      </c>
      <c r="E2557" s="33" t="s">
        <v>116</v>
      </c>
      <c r="F2557" s="34">
        <v>1</v>
      </c>
      <c r="G2557" s="35">
        <v>0</v>
      </c>
      <c r="H2557" s="35">
        <v>0</v>
      </c>
      <c r="I2557" s="35">
        <f>Tabla1[[#This Row],[P.U. M.N.]]*Tabla1[[#This Row],[CANTIDADES DE REFERENCIA]]</f>
        <v>0</v>
      </c>
      <c r="J2557" s="35">
        <f>Tabla1[[#This Row],[P.U. USD]]*Tabla1[[#This Row],[CANTIDADES DE REFERENCIA]]</f>
        <v>0</v>
      </c>
      <c r="K2557" s="36"/>
      <c r="L2557" s="36"/>
      <c r="M2557" s="36"/>
      <c r="N2557" s="37" t="s">
        <v>1036</v>
      </c>
      <c r="O2557" s="37"/>
      <c r="P2557" s="39"/>
      <c r="Q2557" s="37" t="s">
        <v>5508</v>
      </c>
      <c r="R2557" s="37" t="s">
        <v>389</v>
      </c>
      <c r="S2557" s="37"/>
      <c r="T2557" s="31"/>
    </row>
    <row r="2558" spans="1:20" ht="15" customHeight="1">
      <c r="A2558" s="31"/>
      <c r="B2558" s="32"/>
      <c r="C2558" s="33"/>
      <c r="D2558" s="32" t="s">
        <v>5509</v>
      </c>
      <c r="E2558" s="33" t="s">
        <v>116</v>
      </c>
      <c r="F2558" s="34">
        <v>1</v>
      </c>
      <c r="G2558" s="35">
        <v>0</v>
      </c>
      <c r="H2558" s="35">
        <v>0</v>
      </c>
      <c r="I2558" s="35">
        <f>Tabla1[[#This Row],[P.U. M.N.]]*Tabla1[[#This Row],[CANTIDADES DE REFERENCIA]]</f>
        <v>0</v>
      </c>
      <c r="J2558" s="35">
        <f>Tabla1[[#This Row],[P.U. USD]]*Tabla1[[#This Row],[CANTIDADES DE REFERENCIA]]</f>
        <v>0</v>
      </c>
      <c r="K2558" s="36"/>
      <c r="L2558" s="36"/>
      <c r="M2558" s="36"/>
      <c r="N2558" s="37" t="s">
        <v>1036</v>
      </c>
      <c r="O2558" s="37"/>
      <c r="P2558" s="39"/>
      <c r="Q2558" s="37" t="s">
        <v>5510</v>
      </c>
      <c r="R2558" s="37" t="s">
        <v>389</v>
      </c>
      <c r="S2558" s="37"/>
      <c r="T2558" s="31"/>
    </row>
    <row r="2559" spans="1:20" ht="15" customHeight="1">
      <c r="A2559" s="31"/>
      <c r="B2559" s="32"/>
      <c r="C2559" s="33"/>
      <c r="D2559" s="32" t="s">
        <v>5511</v>
      </c>
      <c r="E2559" s="33" t="s">
        <v>116</v>
      </c>
      <c r="F2559" s="34">
        <v>1</v>
      </c>
      <c r="G2559" s="35">
        <v>0</v>
      </c>
      <c r="H2559" s="35">
        <v>0</v>
      </c>
      <c r="I2559" s="35">
        <f>Tabla1[[#This Row],[P.U. M.N.]]*Tabla1[[#This Row],[CANTIDADES DE REFERENCIA]]</f>
        <v>0</v>
      </c>
      <c r="J2559" s="35">
        <f>Tabla1[[#This Row],[P.U. USD]]*Tabla1[[#This Row],[CANTIDADES DE REFERENCIA]]</f>
        <v>0</v>
      </c>
      <c r="K2559" s="36"/>
      <c r="L2559" s="36"/>
      <c r="M2559" s="36"/>
      <c r="N2559" s="37" t="s">
        <v>1036</v>
      </c>
      <c r="O2559" s="37"/>
      <c r="P2559" s="39"/>
      <c r="Q2559" s="37" t="s">
        <v>5512</v>
      </c>
      <c r="R2559" s="37" t="s">
        <v>389</v>
      </c>
      <c r="S2559" s="37"/>
      <c r="T2559" s="31"/>
    </row>
    <row r="2560" spans="1:20" ht="15" customHeight="1">
      <c r="A2560" s="31"/>
      <c r="B2560" s="32"/>
      <c r="C2560" s="33"/>
      <c r="D2560" s="32" t="s">
        <v>5513</v>
      </c>
      <c r="E2560" s="33" t="s">
        <v>42</v>
      </c>
      <c r="F2560" s="34">
        <v>1</v>
      </c>
      <c r="G2560" s="35">
        <v>0</v>
      </c>
      <c r="H2560" s="35">
        <v>0</v>
      </c>
      <c r="I2560" s="35">
        <f>Tabla1[[#This Row],[P.U. M.N.]]*Tabla1[[#This Row],[CANTIDADES DE REFERENCIA]]</f>
        <v>0</v>
      </c>
      <c r="J2560" s="35">
        <f>Tabla1[[#This Row],[P.U. USD]]*Tabla1[[#This Row],[CANTIDADES DE REFERENCIA]]</f>
        <v>0</v>
      </c>
      <c r="K2560" s="36"/>
      <c r="L2560" s="36"/>
      <c r="M2560" s="36"/>
      <c r="N2560" s="37" t="s">
        <v>1043</v>
      </c>
      <c r="O2560" s="37"/>
      <c r="P2560" s="39"/>
      <c r="Q2560" s="37" t="s">
        <v>5514</v>
      </c>
      <c r="R2560" s="37" t="s">
        <v>389</v>
      </c>
      <c r="S2560" s="37" t="s">
        <v>5498</v>
      </c>
      <c r="T2560" s="31"/>
    </row>
    <row r="2561" spans="1:20" ht="15" customHeight="1">
      <c r="A2561" s="31"/>
      <c r="B2561" s="32"/>
      <c r="C2561" s="33"/>
      <c r="D2561" s="32" t="s">
        <v>5515</v>
      </c>
      <c r="E2561" s="33" t="s">
        <v>116</v>
      </c>
      <c r="F2561" s="34">
        <v>1</v>
      </c>
      <c r="G2561" s="35">
        <v>0</v>
      </c>
      <c r="H2561" s="35">
        <v>0</v>
      </c>
      <c r="I2561" s="35">
        <f>Tabla1[[#This Row],[P.U. M.N.]]*Tabla1[[#This Row],[CANTIDADES DE REFERENCIA]]</f>
        <v>0</v>
      </c>
      <c r="J2561" s="35">
        <f>Tabla1[[#This Row],[P.U. USD]]*Tabla1[[#This Row],[CANTIDADES DE REFERENCIA]]</f>
        <v>0</v>
      </c>
      <c r="K2561" s="36"/>
      <c r="L2561" s="36"/>
      <c r="M2561" s="36"/>
      <c r="N2561" s="37"/>
      <c r="O2561" s="37"/>
      <c r="P2561" s="39"/>
      <c r="Q2561" s="37" t="s">
        <v>5516</v>
      </c>
      <c r="R2561" s="37" t="s">
        <v>389</v>
      </c>
      <c r="S2561" s="37"/>
      <c r="T2561" s="31"/>
    </row>
    <row r="2562" spans="1:20" ht="15" customHeight="1">
      <c r="A2562" s="31"/>
      <c r="B2562" s="32"/>
      <c r="C2562" s="33"/>
      <c r="D2562" s="32" t="s">
        <v>5517</v>
      </c>
      <c r="E2562" s="33" t="s">
        <v>116</v>
      </c>
      <c r="F2562" s="34">
        <v>1</v>
      </c>
      <c r="G2562" s="35">
        <v>0</v>
      </c>
      <c r="H2562" s="35">
        <v>0</v>
      </c>
      <c r="I2562" s="35">
        <f>Tabla1[[#This Row],[P.U. M.N.]]*Tabla1[[#This Row],[CANTIDADES DE REFERENCIA]]</f>
        <v>0</v>
      </c>
      <c r="J2562" s="35">
        <f>Tabla1[[#This Row],[P.U. USD]]*Tabla1[[#This Row],[CANTIDADES DE REFERENCIA]]</f>
        <v>0</v>
      </c>
      <c r="K2562" s="36"/>
      <c r="L2562" s="36"/>
      <c r="M2562" s="36"/>
      <c r="N2562" s="37"/>
      <c r="O2562" s="37"/>
      <c r="P2562" s="39"/>
      <c r="Q2562" s="37" t="s">
        <v>5518</v>
      </c>
      <c r="R2562" s="37" t="s">
        <v>389</v>
      </c>
      <c r="S2562" s="37"/>
      <c r="T2562" s="31"/>
    </row>
    <row r="2563" spans="1:20" ht="15" customHeight="1">
      <c r="A2563" s="31"/>
      <c r="B2563" s="32"/>
      <c r="C2563" s="33"/>
      <c r="D2563" s="32" t="s">
        <v>5519</v>
      </c>
      <c r="E2563" s="33" t="s">
        <v>116</v>
      </c>
      <c r="F2563" s="34">
        <v>1</v>
      </c>
      <c r="G2563" s="35">
        <v>0</v>
      </c>
      <c r="H2563" s="35">
        <v>0</v>
      </c>
      <c r="I2563" s="35">
        <f>Tabla1[[#This Row],[P.U. M.N.]]*Tabla1[[#This Row],[CANTIDADES DE REFERENCIA]]</f>
        <v>0</v>
      </c>
      <c r="J2563" s="35">
        <f>Tabla1[[#This Row],[P.U. USD]]*Tabla1[[#This Row],[CANTIDADES DE REFERENCIA]]</f>
        <v>0</v>
      </c>
      <c r="K2563" s="36"/>
      <c r="L2563" s="36"/>
      <c r="M2563" s="36"/>
      <c r="N2563" s="37"/>
      <c r="O2563" s="37"/>
      <c r="P2563" s="39"/>
      <c r="Q2563" s="37" t="s">
        <v>5520</v>
      </c>
      <c r="R2563" s="37" t="s">
        <v>389</v>
      </c>
      <c r="S2563" s="37"/>
      <c r="T2563" s="31"/>
    </row>
    <row r="2564" spans="1:20" ht="15" customHeight="1">
      <c r="A2564" s="31"/>
      <c r="B2564" s="32"/>
      <c r="C2564" s="33"/>
      <c r="D2564" s="32" t="s">
        <v>5521</v>
      </c>
      <c r="E2564" s="33" t="s">
        <v>116</v>
      </c>
      <c r="F2564" s="34">
        <v>1</v>
      </c>
      <c r="G2564" s="35">
        <v>0</v>
      </c>
      <c r="H2564" s="35">
        <v>0</v>
      </c>
      <c r="I2564" s="35">
        <f>Tabla1[[#This Row],[P.U. M.N.]]*Tabla1[[#This Row],[CANTIDADES DE REFERENCIA]]</f>
        <v>0</v>
      </c>
      <c r="J2564" s="35">
        <f>Tabla1[[#This Row],[P.U. USD]]*Tabla1[[#This Row],[CANTIDADES DE REFERENCIA]]</f>
        <v>0</v>
      </c>
      <c r="K2564" s="36"/>
      <c r="L2564" s="36"/>
      <c r="M2564" s="36"/>
      <c r="N2564" s="37" t="s">
        <v>5522</v>
      </c>
      <c r="O2564" s="37"/>
      <c r="P2564" s="39"/>
      <c r="Q2564" s="37" t="s">
        <v>5523</v>
      </c>
      <c r="R2564" s="37" t="s">
        <v>389</v>
      </c>
      <c r="S2564" s="37"/>
      <c r="T2564" s="31"/>
    </row>
    <row r="2565" spans="1:20" ht="15" customHeight="1">
      <c r="A2565" s="31"/>
      <c r="B2565" s="32"/>
      <c r="C2565" s="33"/>
      <c r="D2565" s="32" t="s">
        <v>5524</v>
      </c>
      <c r="E2565" s="33" t="s">
        <v>116</v>
      </c>
      <c r="F2565" s="34">
        <v>1</v>
      </c>
      <c r="G2565" s="35">
        <v>0</v>
      </c>
      <c r="H2565" s="35">
        <v>0</v>
      </c>
      <c r="I2565" s="35">
        <f>Tabla1[[#This Row],[P.U. M.N.]]*Tabla1[[#This Row],[CANTIDADES DE REFERENCIA]]</f>
        <v>0</v>
      </c>
      <c r="J2565" s="35">
        <f>Tabla1[[#This Row],[P.U. USD]]*Tabla1[[#This Row],[CANTIDADES DE REFERENCIA]]</f>
        <v>0</v>
      </c>
      <c r="K2565" s="36"/>
      <c r="L2565" s="36"/>
      <c r="M2565" s="36"/>
      <c r="N2565" s="37" t="s">
        <v>5522</v>
      </c>
      <c r="O2565" s="37"/>
      <c r="P2565" s="39"/>
      <c r="Q2565" s="37" t="s">
        <v>5525</v>
      </c>
      <c r="R2565" s="37" t="s">
        <v>389</v>
      </c>
      <c r="S2565" s="37"/>
      <c r="T2565" s="31"/>
    </row>
    <row r="2566" spans="1:20" ht="15" customHeight="1">
      <c r="A2566" s="31"/>
      <c r="B2566" s="32"/>
      <c r="C2566" s="33"/>
      <c r="D2566" s="32" t="s">
        <v>5526</v>
      </c>
      <c r="E2566" s="33" t="s">
        <v>116</v>
      </c>
      <c r="F2566" s="34">
        <v>1</v>
      </c>
      <c r="G2566" s="35">
        <v>0</v>
      </c>
      <c r="H2566" s="35">
        <v>0</v>
      </c>
      <c r="I2566" s="35">
        <f>Tabla1[[#This Row],[P.U. M.N.]]*Tabla1[[#This Row],[CANTIDADES DE REFERENCIA]]</f>
        <v>0</v>
      </c>
      <c r="J2566" s="35">
        <f>Tabla1[[#This Row],[P.U. USD]]*Tabla1[[#This Row],[CANTIDADES DE REFERENCIA]]</f>
        <v>0</v>
      </c>
      <c r="K2566" s="36"/>
      <c r="L2566" s="36"/>
      <c r="M2566" s="36"/>
      <c r="N2566" s="37"/>
      <c r="O2566" s="37"/>
      <c r="P2566" s="39"/>
      <c r="Q2566" s="37" t="s">
        <v>5527</v>
      </c>
      <c r="R2566" s="37" t="s">
        <v>389</v>
      </c>
      <c r="S2566" s="37"/>
      <c r="T2566" s="31"/>
    </row>
    <row r="2567" spans="1:20" ht="15" customHeight="1">
      <c r="A2567" s="31"/>
      <c r="B2567" s="32"/>
      <c r="C2567" s="33"/>
      <c r="D2567" s="32" t="s">
        <v>5528</v>
      </c>
      <c r="E2567" s="33" t="s">
        <v>116</v>
      </c>
      <c r="F2567" s="34">
        <v>1</v>
      </c>
      <c r="G2567" s="35">
        <v>0</v>
      </c>
      <c r="H2567" s="35">
        <v>0</v>
      </c>
      <c r="I2567" s="35">
        <f>Tabla1[[#This Row],[P.U. M.N.]]*Tabla1[[#This Row],[CANTIDADES DE REFERENCIA]]</f>
        <v>0</v>
      </c>
      <c r="J2567" s="35">
        <f>Tabla1[[#This Row],[P.U. USD]]*Tabla1[[#This Row],[CANTIDADES DE REFERENCIA]]</f>
        <v>0</v>
      </c>
      <c r="K2567" s="36"/>
      <c r="L2567" s="36"/>
      <c r="M2567" s="36"/>
      <c r="N2567" s="37"/>
      <c r="O2567" s="37"/>
      <c r="P2567" s="39"/>
      <c r="Q2567" s="37" t="s">
        <v>5529</v>
      </c>
      <c r="R2567" s="37" t="s">
        <v>389</v>
      </c>
      <c r="S2567" s="37"/>
      <c r="T2567" s="31"/>
    </row>
    <row r="2568" spans="1:20" ht="15" customHeight="1">
      <c r="A2568" s="31"/>
      <c r="B2568" s="32"/>
      <c r="C2568" s="33"/>
      <c r="D2568" s="32" t="s">
        <v>5530</v>
      </c>
      <c r="E2568" s="33" t="s">
        <v>42</v>
      </c>
      <c r="F2568" s="34">
        <v>1</v>
      </c>
      <c r="G2568" s="35">
        <v>0</v>
      </c>
      <c r="H2568" s="35">
        <v>0</v>
      </c>
      <c r="I2568" s="35">
        <f>Tabla1[[#This Row],[P.U. M.N.]]*Tabla1[[#This Row],[CANTIDADES DE REFERENCIA]]</f>
        <v>0</v>
      </c>
      <c r="J2568" s="35">
        <f>Tabla1[[#This Row],[P.U. USD]]*Tabla1[[#This Row],[CANTIDADES DE REFERENCIA]]</f>
        <v>0</v>
      </c>
      <c r="K2568" s="36"/>
      <c r="L2568" s="36"/>
      <c r="M2568" s="36"/>
      <c r="N2568" s="37" t="s">
        <v>5522</v>
      </c>
      <c r="O2568" s="37"/>
      <c r="P2568" s="39"/>
      <c r="Q2568" s="37" t="s">
        <v>5531</v>
      </c>
      <c r="R2568" s="37" t="s">
        <v>389</v>
      </c>
      <c r="S2568" s="37"/>
      <c r="T2568" s="31"/>
    </row>
    <row r="2569" spans="1:20" ht="15" customHeight="1">
      <c r="A2569" s="31"/>
      <c r="B2569" s="32"/>
      <c r="C2569" s="33"/>
      <c r="D2569" s="32" t="s">
        <v>5532</v>
      </c>
      <c r="E2569" s="33" t="s">
        <v>42</v>
      </c>
      <c r="F2569" s="34">
        <v>1</v>
      </c>
      <c r="G2569" s="35">
        <v>0</v>
      </c>
      <c r="H2569" s="35">
        <v>0</v>
      </c>
      <c r="I2569" s="35">
        <f>Tabla1[[#This Row],[P.U. M.N.]]*Tabla1[[#This Row],[CANTIDADES DE REFERENCIA]]</f>
        <v>0</v>
      </c>
      <c r="J2569" s="35">
        <f>Tabla1[[#This Row],[P.U. USD]]*Tabla1[[#This Row],[CANTIDADES DE REFERENCIA]]</f>
        <v>0</v>
      </c>
      <c r="K2569" s="36"/>
      <c r="L2569" s="36"/>
      <c r="M2569" s="36"/>
      <c r="N2569" s="37" t="s">
        <v>1043</v>
      </c>
      <c r="O2569" s="37"/>
      <c r="P2569" s="39"/>
      <c r="Q2569" s="37" t="s">
        <v>5533</v>
      </c>
      <c r="R2569" s="37" t="s">
        <v>389</v>
      </c>
      <c r="S2569" s="37"/>
      <c r="T2569" s="31"/>
    </row>
    <row r="2570" spans="1:20" ht="15" customHeight="1">
      <c r="A2570" s="31"/>
      <c r="B2570" s="32"/>
      <c r="C2570" s="33"/>
      <c r="D2570" s="32" t="s">
        <v>5534</v>
      </c>
      <c r="E2570" s="33" t="s">
        <v>5151</v>
      </c>
      <c r="F2570" s="34">
        <v>1</v>
      </c>
      <c r="G2570" s="35">
        <v>0</v>
      </c>
      <c r="H2570" s="35">
        <v>0</v>
      </c>
      <c r="I2570" s="35">
        <f>Tabla1[[#This Row],[P.U. M.N.]]*Tabla1[[#This Row],[CANTIDADES DE REFERENCIA]]</f>
        <v>0</v>
      </c>
      <c r="J2570" s="35">
        <f>Tabla1[[#This Row],[P.U. USD]]*Tabla1[[#This Row],[CANTIDADES DE REFERENCIA]]</f>
        <v>0</v>
      </c>
      <c r="K2570" s="36"/>
      <c r="L2570" s="36"/>
      <c r="M2570" s="36"/>
      <c r="N2570" s="37" t="s">
        <v>5522</v>
      </c>
      <c r="O2570" s="37" t="s">
        <v>5535</v>
      </c>
      <c r="P2570" s="39"/>
      <c r="Q2570" s="37" t="s">
        <v>5536</v>
      </c>
      <c r="R2570" s="37" t="s">
        <v>389</v>
      </c>
      <c r="S2570" s="37" t="s">
        <v>5537</v>
      </c>
      <c r="T2570" s="31"/>
    </row>
    <row r="2571" spans="1:20" ht="15" customHeight="1">
      <c r="A2571" s="31"/>
      <c r="B2571" s="32"/>
      <c r="C2571" s="33"/>
      <c r="D2571" s="32" t="s">
        <v>5538</v>
      </c>
      <c r="E2571" s="33" t="s">
        <v>116</v>
      </c>
      <c r="F2571" s="34">
        <v>1</v>
      </c>
      <c r="G2571" s="35">
        <v>0</v>
      </c>
      <c r="H2571" s="35">
        <v>0</v>
      </c>
      <c r="I2571" s="35">
        <f>Tabla1[[#This Row],[P.U. M.N.]]*Tabla1[[#This Row],[CANTIDADES DE REFERENCIA]]</f>
        <v>0</v>
      </c>
      <c r="J2571" s="35">
        <f>Tabla1[[#This Row],[P.U. USD]]*Tabla1[[#This Row],[CANTIDADES DE REFERENCIA]]</f>
        <v>0</v>
      </c>
      <c r="K2571" s="36"/>
      <c r="L2571" s="36"/>
      <c r="M2571" s="36"/>
      <c r="N2571" s="37" t="s">
        <v>5539</v>
      </c>
      <c r="O2571" s="37" t="s">
        <v>5540</v>
      </c>
      <c r="P2571" s="39"/>
      <c r="Q2571" s="37" t="s">
        <v>5541</v>
      </c>
      <c r="R2571" s="37" t="s">
        <v>389</v>
      </c>
      <c r="S2571" s="37"/>
      <c r="T2571" s="31"/>
    </row>
    <row r="2572" spans="1:20" ht="15" customHeight="1">
      <c r="A2572" s="31"/>
      <c r="B2572" s="32"/>
      <c r="C2572" s="33"/>
      <c r="D2572" s="32" t="s">
        <v>5542</v>
      </c>
      <c r="E2572" s="33" t="s">
        <v>116</v>
      </c>
      <c r="F2572" s="34">
        <v>1</v>
      </c>
      <c r="G2572" s="35">
        <v>0</v>
      </c>
      <c r="H2572" s="35">
        <v>0</v>
      </c>
      <c r="I2572" s="35">
        <f>Tabla1[[#This Row],[P.U. M.N.]]*Tabla1[[#This Row],[CANTIDADES DE REFERENCIA]]</f>
        <v>0</v>
      </c>
      <c r="J2572" s="35">
        <f>Tabla1[[#This Row],[P.U. USD]]*Tabla1[[#This Row],[CANTIDADES DE REFERENCIA]]</f>
        <v>0</v>
      </c>
      <c r="K2572" s="36"/>
      <c r="L2572" s="36"/>
      <c r="M2572" s="36"/>
      <c r="N2572" s="37" t="s">
        <v>5539</v>
      </c>
      <c r="O2572" s="37" t="s">
        <v>5540</v>
      </c>
      <c r="P2572" s="39"/>
      <c r="Q2572" s="37" t="s">
        <v>5543</v>
      </c>
      <c r="R2572" s="37" t="s">
        <v>389</v>
      </c>
      <c r="S2572" s="37"/>
      <c r="T2572" s="31"/>
    </row>
    <row r="2573" spans="1:20" ht="15" customHeight="1">
      <c r="A2573" s="31"/>
      <c r="B2573" s="32"/>
      <c r="C2573" s="33"/>
      <c r="D2573" s="32" t="s">
        <v>5544</v>
      </c>
      <c r="E2573" s="33" t="s">
        <v>116</v>
      </c>
      <c r="F2573" s="34">
        <v>1</v>
      </c>
      <c r="G2573" s="35">
        <v>0</v>
      </c>
      <c r="H2573" s="35">
        <v>0</v>
      </c>
      <c r="I2573" s="35">
        <f>Tabla1[[#This Row],[P.U. M.N.]]*Tabla1[[#This Row],[CANTIDADES DE REFERENCIA]]</f>
        <v>0</v>
      </c>
      <c r="J2573" s="35">
        <f>Tabla1[[#This Row],[P.U. USD]]*Tabla1[[#This Row],[CANTIDADES DE REFERENCIA]]</f>
        <v>0</v>
      </c>
      <c r="K2573" s="36"/>
      <c r="L2573" s="36"/>
      <c r="M2573" s="36"/>
      <c r="N2573" s="37" t="s">
        <v>5539</v>
      </c>
      <c r="O2573" s="37" t="s">
        <v>5540</v>
      </c>
      <c r="P2573" s="39"/>
      <c r="Q2573" s="37" t="s">
        <v>5545</v>
      </c>
      <c r="R2573" s="37" t="s">
        <v>389</v>
      </c>
      <c r="S2573" s="37"/>
      <c r="T2573" s="31"/>
    </row>
    <row r="2574" spans="1:20" ht="15" customHeight="1">
      <c r="A2574" s="31"/>
      <c r="B2574" s="32"/>
      <c r="C2574" s="33"/>
      <c r="D2574" s="32" t="s">
        <v>5546</v>
      </c>
      <c r="E2574" s="33" t="s">
        <v>116</v>
      </c>
      <c r="F2574" s="34">
        <v>1</v>
      </c>
      <c r="G2574" s="35">
        <v>0</v>
      </c>
      <c r="H2574" s="35">
        <v>0</v>
      </c>
      <c r="I2574" s="35">
        <f>Tabla1[[#This Row],[P.U. M.N.]]*Tabla1[[#This Row],[CANTIDADES DE REFERENCIA]]</f>
        <v>0</v>
      </c>
      <c r="J2574" s="35">
        <f>Tabla1[[#This Row],[P.U. USD]]*Tabla1[[#This Row],[CANTIDADES DE REFERENCIA]]</f>
        <v>0</v>
      </c>
      <c r="K2574" s="36"/>
      <c r="L2574" s="36"/>
      <c r="M2574" s="36"/>
      <c r="N2574" s="37" t="s">
        <v>5539</v>
      </c>
      <c r="O2574" s="37" t="s">
        <v>5540</v>
      </c>
      <c r="P2574" s="39"/>
      <c r="Q2574" s="37" t="s">
        <v>5547</v>
      </c>
      <c r="R2574" s="37" t="s">
        <v>389</v>
      </c>
      <c r="S2574" s="37"/>
      <c r="T2574" s="31"/>
    </row>
    <row r="2575" spans="1:20" ht="15" customHeight="1">
      <c r="A2575" s="31"/>
      <c r="B2575" s="32"/>
      <c r="C2575" s="33"/>
      <c r="D2575" s="32" t="s">
        <v>5548</v>
      </c>
      <c r="E2575" s="33" t="s">
        <v>116</v>
      </c>
      <c r="F2575" s="34">
        <v>1</v>
      </c>
      <c r="G2575" s="35">
        <v>0</v>
      </c>
      <c r="H2575" s="35">
        <v>0</v>
      </c>
      <c r="I2575" s="35">
        <f>Tabla1[[#This Row],[P.U. M.N.]]*Tabla1[[#This Row],[CANTIDADES DE REFERENCIA]]</f>
        <v>0</v>
      </c>
      <c r="J2575" s="35">
        <f>Tabla1[[#This Row],[P.U. USD]]*Tabla1[[#This Row],[CANTIDADES DE REFERENCIA]]</f>
        <v>0</v>
      </c>
      <c r="K2575" s="36"/>
      <c r="L2575" s="36"/>
      <c r="M2575" s="36"/>
      <c r="N2575" s="37" t="s">
        <v>5539</v>
      </c>
      <c r="O2575" s="37" t="s">
        <v>5540</v>
      </c>
      <c r="P2575" s="39"/>
      <c r="Q2575" s="37" t="s">
        <v>5549</v>
      </c>
      <c r="R2575" s="37" t="s">
        <v>389</v>
      </c>
      <c r="S2575" s="37"/>
      <c r="T2575" s="31"/>
    </row>
    <row r="2576" spans="1:20" ht="15" customHeight="1">
      <c r="A2576" s="31"/>
      <c r="B2576" s="32"/>
      <c r="C2576" s="33"/>
      <c r="D2576" s="32" t="s">
        <v>5550</v>
      </c>
      <c r="E2576" s="33" t="s">
        <v>116</v>
      </c>
      <c r="F2576" s="34">
        <v>1</v>
      </c>
      <c r="G2576" s="35">
        <v>0</v>
      </c>
      <c r="H2576" s="35">
        <v>0</v>
      </c>
      <c r="I2576" s="35">
        <f>Tabla1[[#This Row],[P.U. M.N.]]*Tabla1[[#This Row],[CANTIDADES DE REFERENCIA]]</f>
        <v>0</v>
      </c>
      <c r="J2576" s="35">
        <f>Tabla1[[#This Row],[P.U. USD]]*Tabla1[[#This Row],[CANTIDADES DE REFERENCIA]]</f>
        <v>0</v>
      </c>
      <c r="K2576" s="36"/>
      <c r="L2576" s="36"/>
      <c r="M2576" s="36"/>
      <c r="N2576" s="37" t="s">
        <v>5539</v>
      </c>
      <c r="O2576" s="37" t="s">
        <v>5540</v>
      </c>
      <c r="P2576" s="39"/>
      <c r="Q2576" s="37" t="s">
        <v>5551</v>
      </c>
      <c r="R2576" s="37" t="s">
        <v>389</v>
      </c>
      <c r="S2576" s="37"/>
      <c r="T2576" s="31"/>
    </row>
    <row r="2577" spans="1:20" ht="15" customHeight="1">
      <c r="A2577" s="31"/>
      <c r="B2577" s="32"/>
      <c r="C2577" s="33"/>
      <c r="D2577" s="32" t="s">
        <v>5552</v>
      </c>
      <c r="E2577" s="33" t="s">
        <v>61</v>
      </c>
      <c r="F2577" s="34">
        <v>1</v>
      </c>
      <c r="G2577" s="35">
        <v>0</v>
      </c>
      <c r="H2577" s="35">
        <v>0</v>
      </c>
      <c r="I2577" s="35">
        <f>Tabla1[[#This Row],[P.U. M.N.]]*Tabla1[[#This Row],[CANTIDADES DE REFERENCIA]]</f>
        <v>0</v>
      </c>
      <c r="J2577" s="35">
        <f>Tabla1[[#This Row],[P.U. USD]]*Tabla1[[#This Row],[CANTIDADES DE REFERENCIA]]</f>
        <v>0</v>
      </c>
      <c r="K2577" s="36"/>
      <c r="L2577" s="36"/>
      <c r="M2577" s="36"/>
      <c r="N2577" s="37" t="s">
        <v>5539</v>
      </c>
      <c r="O2577" s="37" t="s">
        <v>5540</v>
      </c>
      <c r="P2577" s="39"/>
      <c r="Q2577" s="37" t="s">
        <v>5553</v>
      </c>
      <c r="R2577" s="37" t="s">
        <v>389</v>
      </c>
      <c r="S2577" s="37"/>
      <c r="T2577" s="31"/>
    </row>
    <row r="2578" spans="1:20" ht="15" customHeight="1">
      <c r="A2578" s="31"/>
      <c r="B2578" s="32"/>
      <c r="C2578" s="33"/>
      <c r="D2578" s="32" t="s">
        <v>5554</v>
      </c>
      <c r="E2578" s="33" t="s">
        <v>116</v>
      </c>
      <c r="F2578" s="34">
        <v>1</v>
      </c>
      <c r="G2578" s="35">
        <v>0</v>
      </c>
      <c r="H2578" s="35">
        <v>0</v>
      </c>
      <c r="I2578" s="35">
        <f>Tabla1[[#This Row],[P.U. M.N.]]*Tabla1[[#This Row],[CANTIDADES DE REFERENCIA]]</f>
        <v>0</v>
      </c>
      <c r="J2578" s="35">
        <f>Tabla1[[#This Row],[P.U. USD]]*Tabla1[[#This Row],[CANTIDADES DE REFERENCIA]]</f>
        <v>0</v>
      </c>
      <c r="K2578" s="36"/>
      <c r="L2578" s="36"/>
      <c r="M2578" s="36"/>
      <c r="N2578" s="37" t="s">
        <v>5539</v>
      </c>
      <c r="O2578" s="37" t="s">
        <v>5540</v>
      </c>
      <c r="P2578" s="39"/>
      <c r="Q2578" s="37" t="s">
        <v>5555</v>
      </c>
      <c r="R2578" s="37" t="s">
        <v>389</v>
      </c>
      <c r="S2578" s="37"/>
      <c r="T2578" s="31"/>
    </row>
    <row r="2579" spans="1:20" ht="15" customHeight="1">
      <c r="A2579" s="31"/>
      <c r="B2579" s="32"/>
      <c r="C2579" s="33"/>
      <c r="D2579" s="32" t="s">
        <v>5556</v>
      </c>
      <c r="E2579" s="33" t="s">
        <v>116</v>
      </c>
      <c r="F2579" s="34">
        <v>1</v>
      </c>
      <c r="G2579" s="35">
        <v>0</v>
      </c>
      <c r="H2579" s="35">
        <v>0</v>
      </c>
      <c r="I2579" s="35">
        <f>Tabla1[[#This Row],[P.U. M.N.]]*Tabla1[[#This Row],[CANTIDADES DE REFERENCIA]]</f>
        <v>0</v>
      </c>
      <c r="J2579" s="35">
        <f>Tabla1[[#This Row],[P.U. USD]]*Tabla1[[#This Row],[CANTIDADES DE REFERENCIA]]</f>
        <v>0</v>
      </c>
      <c r="K2579" s="36"/>
      <c r="L2579" s="36"/>
      <c r="M2579" s="36"/>
      <c r="N2579" s="37" t="s">
        <v>5539</v>
      </c>
      <c r="O2579" s="37" t="s">
        <v>5540</v>
      </c>
      <c r="P2579" s="39"/>
      <c r="Q2579" s="37" t="s">
        <v>5557</v>
      </c>
      <c r="R2579" s="37" t="s">
        <v>389</v>
      </c>
      <c r="S2579" s="37"/>
      <c r="T2579" s="31"/>
    </row>
    <row r="2580" spans="1:20" ht="15" customHeight="1">
      <c r="A2580" s="31"/>
      <c r="B2580" s="32"/>
      <c r="C2580" s="33"/>
      <c r="D2580" s="32" t="s">
        <v>5558</v>
      </c>
      <c r="E2580" s="33" t="s">
        <v>116</v>
      </c>
      <c r="F2580" s="34">
        <v>1</v>
      </c>
      <c r="G2580" s="35">
        <v>0</v>
      </c>
      <c r="H2580" s="35">
        <v>0</v>
      </c>
      <c r="I2580" s="35">
        <f>Tabla1[[#This Row],[P.U. M.N.]]*Tabla1[[#This Row],[CANTIDADES DE REFERENCIA]]</f>
        <v>0</v>
      </c>
      <c r="J2580" s="35">
        <f>Tabla1[[#This Row],[P.U. USD]]*Tabla1[[#This Row],[CANTIDADES DE REFERENCIA]]</f>
        <v>0</v>
      </c>
      <c r="K2580" s="36"/>
      <c r="L2580" s="36"/>
      <c r="M2580" s="36"/>
      <c r="N2580" s="37" t="s">
        <v>5559</v>
      </c>
      <c r="O2580" s="37" t="s">
        <v>5560</v>
      </c>
      <c r="P2580" s="39"/>
      <c r="Q2580" s="37" t="s">
        <v>5561</v>
      </c>
      <c r="R2580" s="37" t="s">
        <v>389</v>
      </c>
      <c r="S2580" s="37"/>
      <c r="T2580" s="31"/>
    </row>
    <row r="2581" spans="1:20" ht="15" customHeight="1">
      <c r="A2581" s="31"/>
      <c r="B2581" s="32"/>
      <c r="C2581" s="33"/>
      <c r="D2581" s="32" t="s">
        <v>5562</v>
      </c>
      <c r="E2581" s="33" t="s">
        <v>116</v>
      </c>
      <c r="F2581" s="34">
        <v>1</v>
      </c>
      <c r="G2581" s="35">
        <v>0</v>
      </c>
      <c r="H2581" s="35">
        <v>0</v>
      </c>
      <c r="I2581" s="35">
        <f>Tabla1[[#This Row],[P.U. M.N.]]*Tabla1[[#This Row],[CANTIDADES DE REFERENCIA]]</f>
        <v>0</v>
      </c>
      <c r="J2581" s="35">
        <f>Tabla1[[#This Row],[P.U. USD]]*Tabla1[[#This Row],[CANTIDADES DE REFERENCIA]]</f>
        <v>0</v>
      </c>
      <c r="K2581" s="36"/>
      <c r="L2581" s="36"/>
      <c r="M2581" s="36"/>
      <c r="N2581" s="37" t="s">
        <v>3584</v>
      </c>
      <c r="O2581" s="37" t="s">
        <v>5563</v>
      </c>
      <c r="P2581" s="39"/>
      <c r="Q2581" s="37" t="s">
        <v>5564</v>
      </c>
      <c r="R2581" s="37" t="s">
        <v>389</v>
      </c>
      <c r="S2581" s="37" t="s">
        <v>5565</v>
      </c>
      <c r="T2581" s="31"/>
    </row>
    <row r="2582" spans="1:20" ht="15" customHeight="1">
      <c r="A2582" s="31"/>
      <c r="B2582" s="32"/>
      <c r="C2582" s="33"/>
      <c r="D2582" s="32" t="s">
        <v>5566</v>
      </c>
      <c r="E2582" s="33" t="s">
        <v>116</v>
      </c>
      <c r="F2582" s="34">
        <v>1</v>
      </c>
      <c r="G2582" s="35">
        <v>0</v>
      </c>
      <c r="H2582" s="35">
        <v>0</v>
      </c>
      <c r="I2582" s="35">
        <f>Tabla1[[#This Row],[P.U. M.N.]]*Tabla1[[#This Row],[CANTIDADES DE REFERENCIA]]</f>
        <v>0</v>
      </c>
      <c r="J2582" s="35">
        <f>Tabla1[[#This Row],[P.U. USD]]*Tabla1[[#This Row],[CANTIDADES DE REFERENCIA]]</f>
        <v>0</v>
      </c>
      <c r="K2582" s="36"/>
      <c r="L2582" s="36"/>
      <c r="M2582" s="36"/>
      <c r="N2582" s="37" t="s">
        <v>5567</v>
      </c>
      <c r="O2582" s="37" t="s">
        <v>5568</v>
      </c>
      <c r="P2582" s="39"/>
      <c r="Q2582" s="37" t="s">
        <v>5569</v>
      </c>
      <c r="R2582" s="37" t="s">
        <v>389</v>
      </c>
      <c r="S2582" s="37"/>
      <c r="T2582" s="31"/>
    </row>
    <row r="2583" spans="1:20" ht="15" customHeight="1">
      <c r="A2583" s="31"/>
      <c r="B2583" s="32"/>
      <c r="C2583" s="33"/>
      <c r="D2583" s="32" t="s">
        <v>5570</v>
      </c>
      <c r="E2583" s="33" t="s">
        <v>116</v>
      </c>
      <c r="F2583" s="34">
        <v>1</v>
      </c>
      <c r="G2583" s="35">
        <v>0</v>
      </c>
      <c r="H2583" s="35">
        <v>0</v>
      </c>
      <c r="I2583" s="35">
        <f>Tabla1[[#This Row],[P.U. M.N.]]*Tabla1[[#This Row],[CANTIDADES DE REFERENCIA]]</f>
        <v>0</v>
      </c>
      <c r="J2583" s="35">
        <f>Tabla1[[#This Row],[P.U. USD]]*Tabla1[[#This Row],[CANTIDADES DE REFERENCIA]]</f>
        <v>0</v>
      </c>
      <c r="K2583" s="36"/>
      <c r="L2583" s="36"/>
      <c r="M2583" s="36"/>
      <c r="N2583" s="37" t="s">
        <v>5567</v>
      </c>
      <c r="O2583" s="37" t="s">
        <v>5568</v>
      </c>
      <c r="P2583" s="39"/>
      <c r="Q2583" s="37" t="s">
        <v>5571</v>
      </c>
      <c r="R2583" s="37" t="s">
        <v>389</v>
      </c>
      <c r="S2583" s="37"/>
      <c r="T2583" s="31"/>
    </row>
    <row r="2584" spans="1:20" ht="15" customHeight="1">
      <c r="A2584" s="31"/>
      <c r="B2584" s="32"/>
      <c r="C2584" s="33"/>
      <c r="D2584" s="32" t="s">
        <v>5572</v>
      </c>
      <c r="E2584" s="33" t="s">
        <v>116</v>
      </c>
      <c r="F2584" s="34">
        <v>1</v>
      </c>
      <c r="G2584" s="35">
        <v>0</v>
      </c>
      <c r="H2584" s="35">
        <v>0</v>
      </c>
      <c r="I2584" s="35">
        <f>Tabla1[[#This Row],[P.U. M.N.]]*Tabla1[[#This Row],[CANTIDADES DE REFERENCIA]]</f>
        <v>0</v>
      </c>
      <c r="J2584" s="35">
        <f>Tabla1[[#This Row],[P.U. USD]]*Tabla1[[#This Row],[CANTIDADES DE REFERENCIA]]</f>
        <v>0</v>
      </c>
      <c r="K2584" s="36"/>
      <c r="L2584" s="36"/>
      <c r="M2584" s="36"/>
      <c r="N2584" s="37" t="s">
        <v>3584</v>
      </c>
      <c r="O2584" s="37" t="s">
        <v>5563</v>
      </c>
      <c r="P2584" s="39"/>
      <c r="Q2584" s="37" t="s">
        <v>5573</v>
      </c>
      <c r="R2584" s="37" t="s">
        <v>389</v>
      </c>
      <c r="S2584" s="37" t="s">
        <v>5565</v>
      </c>
      <c r="T2584" s="31"/>
    </row>
    <row r="2585" spans="1:20" ht="15" customHeight="1">
      <c r="A2585" s="31"/>
      <c r="B2585" s="32"/>
      <c r="C2585" s="33"/>
      <c r="D2585" s="32" t="s">
        <v>5574</v>
      </c>
      <c r="E2585" s="33" t="s">
        <v>116</v>
      </c>
      <c r="F2585" s="34">
        <v>1</v>
      </c>
      <c r="G2585" s="35">
        <v>0</v>
      </c>
      <c r="H2585" s="35">
        <v>0</v>
      </c>
      <c r="I2585" s="35">
        <f>Tabla1[[#This Row],[P.U. M.N.]]*Tabla1[[#This Row],[CANTIDADES DE REFERENCIA]]</f>
        <v>0</v>
      </c>
      <c r="J2585" s="35">
        <f>Tabla1[[#This Row],[P.U. USD]]*Tabla1[[#This Row],[CANTIDADES DE REFERENCIA]]</f>
        <v>0</v>
      </c>
      <c r="K2585" s="36"/>
      <c r="L2585" s="36"/>
      <c r="M2585" s="36"/>
      <c r="N2585" s="37" t="s">
        <v>5567</v>
      </c>
      <c r="O2585" s="37" t="s">
        <v>5568</v>
      </c>
      <c r="P2585" s="39"/>
      <c r="Q2585" s="37" t="s">
        <v>5575</v>
      </c>
      <c r="R2585" s="37" t="s">
        <v>389</v>
      </c>
      <c r="S2585" s="37"/>
      <c r="T2585" s="31"/>
    </row>
    <row r="2586" spans="1:20" ht="15" customHeight="1">
      <c r="A2586" s="31"/>
      <c r="B2586" s="32"/>
      <c r="C2586" s="33"/>
      <c r="D2586" s="32" t="s">
        <v>5576</v>
      </c>
      <c r="E2586" s="33" t="s">
        <v>116</v>
      </c>
      <c r="F2586" s="34">
        <v>1</v>
      </c>
      <c r="G2586" s="35">
        <v>0</v>
      </c>
      <c r="H2586" s="35">
        <v>0</v>
      </c>
      <c r="I2586" s="35">
        <f>Tabla1[[#This Row],[P.U. M.N.]]*Tabla1[[#This Row],[CANTIDADES DE REFERENCIA]]</f>
        <v>0</v>
      </c>
      <c r="J2586" s="35">
        <f>Tabla1[[#This Row],[P.U. USD]]*Tabla1[[#This Row],[CANTIDADES DE REFERENCIA]]</f>
        <v>0</v>
      </c>
      <c r="K2586" s="36"/>
      <c r="L2586" s="36"/>
      <c r="M2586" s="36"/>
      <c r="N2586" s="37" t="s">
        <v>5567</v>
      </c>
      <c r="O2586" s="37" t="s">
        <v>5568</v>
      </c>
      <c r="P2586" s="39"/>
      <c r="Q2586" s="37" t="s">
        <v>5577</v>
      </c>
      <c r="R2586" s="37" t="s">
        <v>389</v>
      </c>
      <c r="S2586" s="37"/>
      <c r="T2586" s="31"/>
    </row>
    <row r="2587" spans="1:20" ht="15" customHeight="1">
      <c r="A2587" s="31"/>
      <c r="B2587" s="32"/>
      <c r="C2587" s="33"/>
      <c r="D2587" s="32" t="s">
        <v>5578</v>
      </c>
      <c r="E2587" s="33" t="s">
        <v>116</v>
      </c>
      <c r="F2587" s="34">
        <v>1</v>
      </c>
      <c r="G2587" s="35">
        <v>0</v>
      </c>
      <c r="H2587" s="35">
        <v>0</v>
      </c>
      <c r="I2587" s="35">
        <f>Tabla1[[#This Row],[P.U. M.N.]]*Tabla1[[#This Row],[CANTIDADES DE REFERENCIA]]</f>
        <v>0</v>
      </c>
      <c r="J2587" s="35">
        <f>Tabla1[[#This Row],[P.U. USD]]*Tabla1[[#This Row],[CANTIDADES DE REFERENCIA]]</f>
        <v>0</v>
      </c>
      <c r="K2587" s="36"/>
      <c r="L2587" s="36"/>
      <c r="M2587" s="36"/>
      <c r="N2587" s="37" t="s">
        <v>5567</v>
      </c>
      <c r="O2587" s="37" t="s">
        <v>5568</v>
      </c>
      <c r="P2587" s="39"/>
      <c r="Q2587" s="37" t="s">
        <v>5579</v>
      </c>
      <c r="R2587" s="37" t="s">
        <v>389</v>
      </c>
      <c r="S2587" s="37"/>
      <c r="T2587" s="31"/>
    </row>
    <row r="2588" spans="1:20" ht="15" customHeight="1">
      <c r="A2588" s="31"/>
      <c r="B2588" s="32"/>
      <c r="C2588" s="33"/>
      <c r="D2588" s="32" t="s">
        <v>5580</v>
      </c>
      <c r="E2588" s="33" t="s">
        <v>116</v>
      </c>
      <c r="F2588" s="34">
        <v>1</v>
      </c>
      <c r="G2588" s="35">
        <v>0</v>
      </c>
      <c r="H2588" s="35">
        <v>0</v>
      </c>
      <c r="I2588" s="35">
        <f>Tabla1[[#This Row],[P.U. M.N.]]*Tabla1[[#This Row],[CANTIDADES DE REFERENCIA]]</f>
        <v>0</v>
      </c>
      <c r="J2588" s="35">
        <f>Tabla1[[#This Row],[P.U. USD]]*Tabla1[[#This Row],[CANTIDADES DE REFERENCIA]]</f>
        <v>0</v>
      </c>
      <c r="K2588" s="36"/>
      <c r="L2588" s="36"/>
      <c r="M2588" s="36"/>
      <c r="N2588" s="37" t="s">
        <v>3584</v>
      </c>
      <c r="O2588" s="37" t="s">
        <v>5563</v>
      </c>
      <c r="P2588" s="39"/>
      <c r="Q2588" s="37" t="s">
        <v>5581</v>
      </c>
      <c r="R2588" s="37" t="s">
        <v>389</v>
      </c>
      <c r="S2588" s="37" t="s">
        <v>5565</v>
      </c>
      <c r="T2588" s="31"/>
    </row>
    <row r="2589" spans="1:20" ht="15" customHeight="1">
      <c r="A2589" s="31"/>
      <c r="B2589" s="32"/>
      <c r="C2589" s="33"/>
      <c r="D2589" s="32" t="s">
        <v>5582</v>
      </c>
      <c r="E2589" s="33" t="s">
        <v>116</v>
      </c>
      <c r="F2589" s="34">
        <v>1</v>
      </c>
      <c r="G2589" s="35">
        <v>0</v>
      </c>
      <c r="H2589" s="35">
        <v>0</v>
      </c>
      <c r="I2589" s="35">
        <f>Tabla1[[#This Row],[P.U. M.N.]]*Tabla1[[#This Row],[CANTIDADES DE REFERENCIA]]</f>
        <v>0</v>
      </c>
      <c r="J2589" s="35">
        <f>Tabla1[[#This Row],[P.U. USD]]*Tabla1[[#This Row],[CANTIDADES DE REFERENCIA]]</f>
        <v>0</v>
      </c>
      <c r="K2589" s="36"/>
      <c r="L2589" s="36"/>
      <c r="M2589" s="36"/>
      <c r="N2589" s="37" t="s">
        <v>5567</v>
      </c>
      <c r="O2589" s="37" t="s">
        <v>5568</v>
      </c>
      <c r="P2589" s="39"/>
      <c r="Q2589" s="37" t="s">
        <v>5583</v>
      </c>
      <c r="R2589" s="37" t="s">
        <v>389</v>
      </c>
      <c r="S2589" s="37"/>
      <c r="T2589" s="31"/>
    </row>
    <row r="2590" spans="1:20" ht="15" customHeight="1">
      <c r="A2590" s="31"/>
      <c r="B2590" s="32"/>
      <c r="C2590" s="33"/>
      <c r="D2590" s="32" t="s">
        <v>5584</v>
      </c>
      <c r="E2590" s="33" t="s">
        <v>61</v>
      </c>
      <c r="F2590" s="34">
        <v>1</v>
      </c>
      <c r="G2590" s="35">
        <v>0</v>
      </c>
      <c r="H2590" s="35">
        <v>0</v>
      </c>
      <c r="I2590" s="35">
        <f>Tabla1[[#This Row],[P.U. M.N.]]*Tabla1[[#This Row],[CANTIDADES DE REFERENCIA]]</f>
        <v>0</v>
      </c>
      <c r="J2590" s="35">
        <f>Tabla1[[#This Row],[P.U. USD]]*Tabla1[[#This Row],[CANTIDADES DE REFERENCIA]]</f>
        <v>0</v>
      </c>
      <c r="K2590" s="36"/>
      <c r="L2590" s="36"/>
      <c r="M2590" s="36"/>
      <c r="N2590" s="37" t="s">
        <v>5567</v>
      </c>
      <c r="O2590" s="37" t="s">
        <v>5568</v>
      </c>
      <c r="P2590" s="39"/>
      <c r="Q2590" s="37" t="s">
        <v>5585</v>
      </c>
      <c r="R2590" s="37" t="s">
        <v>389</v>
      </c>
      <c r="S2590" s="37"/>
      <c r="T2590" s="31"/>
    </row>
    <row r="2591" spans="1:20" ht="15" customHeight="1">
      <c r="A2591" s="31"/>
      <c r="B2591" s="32"/>
      <c r="C2591" s="33"/>
      <c r="D2591" s="32" t="s">
        <v>5584</v>
      </c>
      <c r="E2591" s="33" t="s">
        <v>135</v>
      </c>
      <c r="F2591" s="34">
        <v>1</v>
      </c>
      <c r="G2591" s="35">
        <v>0</v>
      </c>
      <c r="H2591" s="35">
        <v>0</v>
      </c>
      <c r="I2591" s="35">
        <f>Tabla1[[#This Row],[P.U. M.N.]]*Tabla1[[#This Row],[CANTIDADES DE REFERENCIA]]</f>
        <v>0</v>
      </c>
      <c r="J2591" s="35">
        <f>Tabla1[[#This Row],[P.U. USD]]*Tabla1[[#This Row],[CANTIDADES DE REFERENCIA]]</f>
        <v>0</v>
      </c>
      <c r="K2591" s="36"/>
      <c r="L2591" s="36"/>
      <c r="M2591" s="36"/>
      <c r="N2591" s="37" t="s">
        <v>5567</v>
      </c>
      <c r="O2591" s="37" t="s">
        <v>5568</v>
      </c>
      <c r="P2591" s="39"/>
      <c r="Q2591" s="37" t="s">
        <v>5586</v>
      </c>
      <c r="R2591" s="37" t="s">
        <v>389</v>
      </c>
      <c r="S2591" s="37"/>
      <c r="T2591" s="31"/>
    </row>
    <row r="2592" spans="1:20" ht="15" customHeight="1">
      <c r="A2592" s="31"/>
      <c r="B2592" s="32"/>
      <c r="C2592" s="33"/>
      <c r="D2592" s="32" t="s">
        <v>5587</v>
      </c>
      <c r="E2592" s="33" t="s">
        <v>116</v>
      </c>
      <c r="F2592" s="34">
        <v>1</v>
      </c>
      <c r="G2592" s="35">
        <v>0</v>
      </c>
      <c r="H2592" s="35">
        <v>0</v>
      </c>
      <c r="I2592" s="35">
        <f>Tabla1[[#This Row],[P.U. M.N.]]*Tabla1[[#This Row],[CANTIDADES DE REFERENCIA]]</f>
        <v>0</v>
      </c>
      <c r="J2592" s="35">
        <f>Tabla1[[#This Row],[P.U. USD]]*Tabla1[[#This Row],[CANTIDADES DE REFERENCIA]]</f>
        <v>0</v>
      </c>
      <c r="K2592" s="36"/>
      <c r="L2592" s="36"/>
      <c r="M2592" s="36"/>
      <c r="N2592" s="37" t="s">
        <v>5567</v>
      </c>
      <c r="O2592" s="37" t="s">
        <v>5568</v>
      </c>
      <c r="P2592" s="39"/>
      <c r="Q2592" s="37" t="s">
        <v>5588</v>
      </c>
      <c r="R2592" s="37" t="s">
        <v>389</v>
      </c>
      <c r="S2592" s="37"/>
      <c r="T2592" s="31"/>
    </row>
    <row r="2593" spans="1:20" ht="15" customHeight="1">
      <c r="A2593" s="31"/>
      <c r="B2593" s="32"/>
      <c r="C2593" s="33"/>
      <c r="D2593" s="32" t="s">
        <v>5589</v>
      </c>
      <c r="E2593" s="33" t="s">
        <v>135</v>
      </c>
      <c r="F2593" s="34">
        <v>1</v>
      </c>
      <c r="G2593" s="35">
        <v>0</v>
      </c>
      <c r="H2593" s="35">
        <v>0</v>
      </c>
      <c r="I2593" s="35">
        <f>Tabla1[[#This Row],[P.U. M.N.]]*Tabla1[[#This Row],[CANTIDADES DE REFERENCIA]]</f>
        <v>0</v>
      </c>
      <c r="J2593" s="35">
        <f>Tabla1[[#This Row],[P.U. USD]]*Tabla1[[#This Row],[CANTIDADES DE REFERENCIA]]</f>
        <v>0</v>
      </c>
      <c r="K2593" s="36"/>
      <c r="L2593" s="36"/>
      <c r="M2593" s="36"/>
      <c r="N2593" s="37" t="s">
        <v>5567</v>
      </c>
      <c r="O2593" s="37" t="s">
        <v>5568</v>
      </c>
      <c r="P2593" s="39"/>
      <c r="Q2593" s="37" t="s">
        <v>5590</v>
      </c>
      <c r="R2593" s="37" t="s">
        <v>389</v>
      </c>
      <c r="S2593" s="37"/>
      <c r="T2593" s="31"/>
    </row>
    <row r="2594" spans="1:20" ht="15" customHeight="1">
      <c r="A2594" s="31"/>
      <c r="B2594" s="32"/>
      <c r="C2594" s="33"/>
      <c r="D2594" s="32" t="s">
        <v>5591</v>
      </c>
      <c r="E2594" s="33" t="s">
        <v>116</v>
      </c>
      <c r="F2594" s="34">
        <v>1</v>
      </c>
      <c r="G2594" s="35">
        <v>0</v>
      </c>
      <c r="H2594" s="35">
        <v>0</v>
      </c>
      <c r="I2594" s="35">
        <f>Tabla1[[#This Row],[P.U. M.N.]]*Tabla1[[#This Row],[CANTIDADES DE REFERENCIA]]</f>
        <v>0</v>
      </c>
      <c r="J2594" s="35">
        <f>Tabla1[[#This Row],[P.U. USD]]*Tabla1[[#This Row],[CANTIDADES DE REFERENCIA]]</f>
        <v>0</v>
      </c>
      <c r="K2594" s="36"/>
      <c r="L2594" s="36"/>
      <c r="M2594" s="36"/>
      <c r="N2594" s="37" t="s">
        <v>5567</v>
      </c>
      <c r="O2594" s="37" t="s">
        <v>5568</v>
      </c>
      <c r="P2594" s="39"/>
      <c r="Q2594" s="37" t="s">
        <v>5592</v>
      </c>
      <c r="R2594" s="37" t="s">
        <v>389</v>
      </c>
      <c r="S2594" s="37"/>
      <c r="T2594" s="31"/>
    </row>
    <row r="2595" spans="1:20" ht="15" customHeight="1">
      <c r="A2595" s="31"/>
      <c r="B2595" s="32"/>
      <c r="C2595" s="33"/>
      <c r="D2595" s="32" t="s">
        <v>5589</v>
      </c>
      <c r="E2595" s="33" t="s">
        <v>135</v>
      </c>
      <c r="F2595" s="34">
        <v>1</v>
      </c>
      <c r="G2595" s="35">
        <v>0</v>
      </c>
      <c r="H2595" s="35">
        <v>0</v>
      </c>
      <c r="I2595" s="35">
        <f>Tabla1[[#This Row],[P.U. M.N.]]*Tabla1[[#This Row],[CANTIDADES DE REFERENCIA]]</f>
        <v>0</v>
      </c>
      <c r="J2595" s="35">
        <f>Tabla1[[#This Row],[P.U. USD]]*Tabla1[[#This Row],[CANTIDADES DE REFERENCIA]]</f>
        <v>0</v>
      </c>
      <c r="K2595" s="36"/>
      <c r="L2595" s="36"/>
      <c r="M2595" s="36"/>
      <c r="N2595" s="37" t="s">
        <v>5567</v>
      </c>
      <c r="O2595" s="37" t="s">
        <v>5568</v>
      </c>
      <c r="P2595" s="39"/>
      <c r="Q2595" s="37" t="s">
        <v>5593</v>
      </c>
      <c r="R2595" s="37" t="s">
        <v>389</v>
      </c>
      <c r="S2595" s="37"/>
      <c r="T2595" s="31"/>
    </row>
    <row r="2596" spans="1:20" s="23" customFormat="1" ht="15" customHeight="1">
      <c r="A2596" s="31"/>
      <c r="B2596" s="32"/>
      <c r="C2596" s="33"/>
      <c r="D2596" s="32" t="s">
        <v>5591</v>
      </c>
      <c r="E2596" s="33" t="s">
        <v>116</v>
      </c>
      <c r="F2596" s="34">
        <v>1</v>
      </c>
      <c r="G2596" s="35">
        <v>0</v>
      </c>
      <c r="H2596" s="35">
        <v>0</v>
      </c>
      <c r="I2596" s="35">
        <f>Tabla1[[#This Row],[P.U. M.N.]]*Tabla1[[#This Row],[CANTIDADES DE REFERENCIA]]</f>
        <v>0</v>
      </c>
      <c r="J2596" s="35">
        <f>Tabla1[[#This Row],[P.U. USD]]*Tabla1[[#This Row],[CANTIDADES DE REFERENCIA]]</f>
        <v>0</v>
      </c>
      <c r="K2596" s="36"/>
      <c r="L2596" s="36"/>
      <c r="M2596" s="36"/>
      <c r="N2596" s="37"/>
      <c r="O2596" s="37"/>
      <c r="P2596" s="40"/>
      <c r="Q2596" s="37" t="s">
        <v>5594</v>
      </c>
      <c r="R2596" s="37" t="s">
        <v>58</v>
      </c>
      <c r="S2596" s="37"/>
      <c r="T2596" s="31"/>
    </row>
    <row r="2597" spans="1:20" ht="15" customHeight="1">
      <c r="A2597" s="31"/>
      <c r="B2597" s="32"/>
      <c r="C2597" s="33"/>
      <c r="D2597" s="32" t="s">
        <v>5595</v>
      </c>
      <c r="E2597" s="33" t="s">
        <v>116</v>
      </c>
      <c r="F2597" s="34">
        <v>1</v>
      </c>
      <c r="G2597" s="35">
        <v>0</v>
      </c>
      <c r="H2597" s="35">
        <v>0</v>
      </c>
      <c r="I2597" s="35">
        <f>Tabla1[[#This Row],[P.U. M.N.]]*Tabla1[[#This Row],[CANTIDADES DE REFERENCIA]]</f>
        <v>0</v>
      </c>
      <c r="J2597" s="35">
        <f>Tabla1[[#This Row],[P.U. USD]]*Tabla1[[#This Row],[CANTIDADES DE REFERENCIA]]</f>
        <v>0</v>
      </c>
      <c r="K2597" s="36"/>
      <c r="L2597" s="36"/>
      <c r="M2597" s="36"/>
      <c r="N2597" s="37" t="s">
        <v>5567</v>
      </c>
      <c r="O2597" s="37" t="s">
        <v>5568</v>
      </c>
      <c r="P2597" s="39"/>
      <c r="Q2597" s="37" t="s">
        <v>5596</v>
      </c>
      <c r="R2597" s="37" t="s">
        <v>389</v>
      </c>
      <c r="S2597" s="37"/>
      <c r="T2597" s="31"/>
    </row>
    <row r="2598" spans="1:20" ht="15" customHeight="1">
      <c r="A2598" s="31"/>
      <c r="B2598" s="32"/>
      <c r="C2598" s="33"/>
      <c r="D2598" s="32" t="s">
        <v>5597</v>
      </c>
      <c r="E2598" s="33" t="s">
        <v>116</v>
      </c>
      <c r="F2598" s="34">
        <v>1</v>
      </c>
      <c r="G2598" s="35">
        <v>0</v>
      </c>
      <c r="H2598" s="35">
        <v>0</v>
      </c>
      <c r="I2598" s="35">
        <f>Tabla1[[#This Row],[P.U. M.N.]]*Tabla1[[#This Row],[CANTIDADES DE REFERENCIA]]</f>
        <v>0</v>
      </c>
      <c r="J2598" s="35">
        <f>Tabla1[[#This Row],[P.U. USD]]*Tabla1[[#This Row],[CANTIDADES DE REFERENCIA]]</f>
        <v>0</v>
      </c>
      <c r="K2598" s="36"/>
      <c r="L2598" s="36"/>
      <c r="M2598" s="36"/>
      <c r="N2598" s="37" t="s">
        <v>5567</v>
      </c>
      <c r="O2598" s="37" t="s">
        <v>5568</v>
      </c>
      <c r="P2598" s="39"/>
      <c r="Q2598" s="37" t="s">
        <v>5598</v>
      </c>
      <c r="R2598" s="37" t="s">
        <v>389</v>
      </c>
      <c r="S2598" s="37"/>
      <c r="T2598" s="31"/>
    </row>
    <row r="2599" spans="1:20" ht="15" customHeight="1">
      <c r="A2599" s="31"/>
      <c r="B2599" s="32"/>
      <c r="C2599" s="33"/>
      <c r="D2599" s="32" t="s">
        <v>5599</v>
      </c>
      <c r="E2599" s="33" t="s">
        <v>116</v>
      </c>
      <c r="F2599" s="34">
        <v>1</v>
      </c>
      <c r="G2599" s="35">
        <v>0</v>
      </c>
      <c r="H2599" s="35">
        <v>0</v>
      </c>
      <c r="I2599" s="35">
        <f>Tabla1[[#This Row],[P.U. M.N.]]*Tabla1[[#This Row],[CANTIDADES DE REFERENCIA]]</f>
        <v>0</v>
      </c>
      <c r="J2599" s="35">
        <f>Tabla1[[#This Row],[P.U. USD]]*Tabla1[[#This Row],[CANTIDADES DE REFERENCIA]]</f>
        <v>0</v>
      </c>
      <c r="K2599" s="36"/>
      <c r="L2599" s="36"/>
      <c r="M2599" s="36"/>
      <c r="N2599" s="37" t="s">
        <v>909</v>
      </c>
      <c r="O2599" s="37" t="s">
        <v>910</v>
      </c>
      <c r="P2599" s="39"/>
      <c r="Q2599" s="37" t="s">
        <v>5600</v>
      </c>
      <c r="R2599" s="37" t="s">
        <v>389</v>
      </c>
      <c r="S2599" s="37" t="s">
        <v>5601</v>
      </c>
      <c r="T2599" s="31"/>
    </row>
    <row r="2600" spans="1:20" ht="15" customHeight="1">
      <c r="A2600" s="31"/>
      <c r="B2600" s="32"/>
      <c r="C2600" s="33"/>
      <c r="D2600" s="32" t="s">
        <v>5602</v>
      </c>
      <c r="E2600" s="33" t="s">
        <v>116</v>
      </c>
      <c r="F2600" s="34">
        <v>1</v>
      </c>
      <c r="G2600" s="35">
        <v>0</v>
      </c>
      <c r="H2600" s="35">
        <v>0</v>
      </c>
      <c r="I2600" s="35">
        <f>Tabla1[[#This Row],[P.U. M.N.]]*Tabla1[[#This Row],[CANTIDADES DE REFERENCIA]]</f>
        <v>0</v>
      </c>
      <c r="J2600" s="35">
        <f>Tabla1[[#This Row],[P.U. USD]]*Tabla1[[#This Row],[CANTIDADES DE REFERENCIA]]</f>
        <v>0</v>
      </c>
      <c r="K2600" s="36"/>
      <c r="L2600" s="36"/>
      <c r="M2600" s="36"/>
      <c r="N2600" s="37" t="s">
        <v>5603</v>
      </c>
      <c r="O2600" s="37" t="s">
        <v>5604</v>
      </c>
      <c r="P2600" s="39"/>
      <c r="Q2600" s="37" t="s">
        <v>5605</v>
      </c>
      <c r="R2600" s="37" t="s">
        <v>389</v>
      </c>
      <c r="S2600" s="37"/>
      <c r="T2600" s="31"/>
    </row>
    <row r="2601" spans="1:20" ht="15" customHeight="1">
      <c r="A2601" s="31"/>
      <c r="B2601" s="32"/>
      <c r="C2601" s="33"/>
      <c r="D2601" s="32" t="s">
        <v>5589</v>
      </c>
      <c r="E2601" s="33" t="s">
        <v>135</v>
      </c>
      <c r="F2601" s="34">
        <v>1</v>
      </c>
      <c r="G2601" s="35">
        <v>0</v>
      </c>
      <c r="H2601" s="35">
        <v>0</v>
      </c>
      <c r="I2601" s="35">
        <f>Tabla1[[#This Row],[P.U. M.N.]]*Tabla1[[#This Row],[CANTIDADES DE REFERENCIA]]</f>
        <v>0</v>
      </c>
      <c r="J2601" s="35">
        <f>Tabla1[[#This Row],[P.U. USD]]*Tabla1[[#This Row],[CANTIDADES DE REFERENCIA]]</f>
        <v>0</v>
      </c>
      <c r="K2601" s="36"/>
      <c r="L2601" s="36"/>
      <c r="M2601" s="36"/>
      <c r="N2601" s="37" t="s">
        <v>5603</v>
      </c>
      <c r="O2601" s="37" t="s">
        <v>5604</v>
      </c>
      <c r="P2601" s="39"/>
      <c r="Q2601" s="37" t="s">
        <v>5606</v>
      </c>
      <c r="R2601" s="37" t="s">
        <v>389</v>
      </c>
      <c r="S2601" s="37"/>
      <c r="T2601" s="31"/>
    </row>
    <row r="2602" spans="1:20" ht="15" customHeight="1">
      <c r="A2602" s="31"/>
      <c r="B2602" s="32"/>
      <c r="C2602" s="33"/>
      <c r="D2602" s="32" t="s">
        <v>5607</v>
      </c>
      <c r="E2602" s="33" t="s">
        <v>116</v>
      </c>
      <c r="F2602" s="34">
        <v>1</v>
      </c>
      <c r="G2602" s="35">
        <v>0</v>
      </c>
      <c r="H2602" s="35">
        <v>0</v>
      </c>
      <c r="I2602" s="35">
        <f>Tabla1[[#This Row],[P.U. M.N.]]*Tabla1[[#This Row],[CANTIDADES DE REFERENCIA]]</f>
        <v>0</v>
      </c>
      <c r="J2602" s="35">
        <f>Tabla1[[#This Row],[P.U. USD]]*Tabla1[[#This Row],[CANTIDADES DE REFERENCIA]]</f>
        <v>0</v>
      </c>
      <c r="K2602" s="36"/>
      <c r="L2602" s="36"/>
      <c r="M2602" s="36"/>
      <c r="N2602" s="37" t="s">
        <v>5603</v>
      </c>
      <c r="O2602" s="37" t="s">
        <v>5604</v>
      </c>
      <c r="P2602" s="39"/>
      <c r="Q2602" s="37" t="s">
        <v>5608</v>
      </c>
      <c r="R2602" s="37" t="s">
        <v>389</v>
      </c>
      <c r="S2602" s="37"/>
      <c r="T2602" s="31"/>
    </row>
    <row r="2603" spans="1:20" ht="15" customHeight="1">
      <c r="A2603" s="31"/>
      <c r="B2603" s="32"/>
      <c r="C2603" s="33"/>
      <c r="D2603" s="32" t="s">
        <v>5609</v>
      </c>
      <c r="E2603" s="33" t="s">
        <v>116</v>
      </c>
      <c r="F2603" s="34">
        <v>1</v>
      </c>
      <c r="G2603" s="35">
        <v>0</v>
      </c>
      <c r="H2603" s="35">
        <v>0</v>
      </c>
      <c r="I2603" s="35">
        <f>Tabla1[[#This Row],[P.U. M.N.]]*Tabla1[[#This Row],[CANTIDADES DE REFERENCIA]]</f>
        <v>0</v>
      </c>
      <c r="J2603" s="35">
        <f>Tabla1[[#This Row],[P.U. USD]]*Tabla1[[#This Row],[CANTIDADES DE REFERENCIA]]</f>
        <v>0</v>
      </c>
      <c r="K2603" s="36"/>
      <c r="L2603" s="36"/>
      <c r="M2603" s="36"/>
      <c r="N2603" s="37" t="s">
        <v>5603</v>
      </c>
      <c r="O2603" s="37" t="s">
        <v>5604</v>
      </c>
      <c r="P2603" s="39"/>
      <c r="Q2603" s="37" t="s">
        <v>5610</v>
      </c>
      <c r="R2603" s="37" t="s">
        <v>389</v>
      </c>
      <c r="S2603" s="37"/>
      <c r="T2603" s="31"/>
    </row>
    <row r="2604" spans="1:20" s="23" customFormat="1" ht="15" customHeight="1">
      <c r="A2604" s="31"/>
      <c r="B2604" s="32"/>
      <c r="C2604" s="33"/>
      <c r="D2604" s="32" t="s">
        <v>5611</v>
      </c>
      <c r="E2604" s="33" t="s">
        <v>116</v>
      </c>
      <c r="F2604" s="34">
        <v>1</v>
      </c>
      <c r="G2604" s="35">
        <v>0</v>
      </c>
      <c r="H2604" s="35">
        <v>0</v>
      </c>
      <c r="I2604" s="35">
        <f>Tabla1[[#This Row],[P.U. M.N.]]*Tabla1[[#This Row],[CANTIDADES DE REFERENCIA]]</f>
        <v>0</v>
      </c>
      <c r="J2604" s="35">
        <f>Tabla1[[#This Row],[P.U. USD]]*Tabla1[[#This Row],[CANTIDADES DE REFERENCIA]]</f>
        <v>0</v>
      </c>
      <c r="K2604" s="36"/>
      <c r="L2604" s="36"/>
      <c r="M2604" s="36"/>
      <c r="N2604" s="37"/>
      <c r="O2604" s="37"/>
      <c r="P2604" s="40"/>
      <c r="Q2604" s="37" t="s">
        <v>5612</v>
      </c>
      <c r="R2604" s="37" t="s">
        <v>58</v>
      </c>
      <c r="S2604" s="37"/>
      <c r="T2604" s="31"/>
    </row>
    <row r="2605" spans="1:20" ht="15" customHeight="1">
      <c r="A2605" s="31"/>
      <c r="B2605" s="32"/>
      <c r="C2605" s="33"/>
      <c r="D2605" s="32" t="s">
        <v>5613</v>
      </c>
      <c r="E2605" s="33" t="s">
        <v>116</v>
      </c>
      <c r="F2605" s="34">
        <v>1</v>
      </c>
      <c r="G2605" s="35">
        <v>0</v>
      </c>
      <c r="H2605" s="35">
        <v>0</v>
      </c>
      <c r="I2605" s="35">
        <f>Tabla1[[#This Row],[P.U. M.N.]]*Tabla1[[#This Row],[CANTIDADES DE REFERENCIA]]</f>
        <v>0</v>
      </c>
      <c r="J2605" s="35">
        <f>Tabla1[[#This Row],[P.U. USD]]*Tabla1[[#This Row],[CANTIDADES DE REFERENCIA]]</f>
        <v>0</v>
      </c>
      <c r="K2605" s="36"/>
      <c r="L2605" s="36"/>
      <c r="M2605" s="36"/>
      <c r="N2605" s="37" t="s">
        <v>909</v>
      </c>
      <c r="O2605" s="37" t="s">
        <v>910</v>
      </c>
      <c r="P2605" s="39"/>
      <c r="Q2605" s="37" t="s">
        <v>5614</v>
      </c>
      <c r="R2605" s="37" t="s">
        <v>389</v>
      </c>
      <c r="S2605" s="37" t="s">
        <v>5615</v>
      </c>
      <c r="T2605" s="31"/>
    </row>
    <row r="2606" spans="1:20" ht="15" customHeight="1">
      <c r="A2606" s="31"/>
      <c r="B2606" s="32"/>
      <c r="C2606" s="33"/>
      <c r="D2606" s="32" t="s">
        <v>5616</v>
      </c>
      <c r="E2606" s="33" t="s">
        <v>135</v>
      </c>
      <c r="F2606" s="34">
        <v>1</v>
      </c>
      <c r="G2606" s="35">
        <v>0</v>
      </c>
      <c r="H2606" s="35">
        <v>0</v>
      </c>
      <c r="I2606" s="35">
        <f>Tabla1[[#This Row],[P.U. M.N.]]*Tabla1[[#This Row],[CANTIDADES DE REFERENCIA]]</f>
        <v>0</v>
      </c>
      <c r="J2606" s="35">
        <f>Tabla1[[#This Row],[P.U. USD]]*Tabla1[[#This Row],[CANTIDADES DE REFERENCIA]]</f>
        <v>0</v>
      </c>
      <c r="K2606" s="36"/>
      <c r="L2606" s="36"/>
      <c r="M2606" s="36"/>
      <c r="N2606" s="37" t="s">
        <v>909</v>
      </c>
      <c r="O2606" s="37" t="s">
        <v>910</v>
      </c>
      <c r="P2606" s="39"/>
      <c r="Q2606" s="37" t="s">
        <v>5617</v>
      </c>
      <c r="R2606" s="37" t="s">
        <v>389</v>
      </c>
      <c r="S2606" s="37" t="s">
        <v>5615</v>
      </c>
      <c r="T2606" s="31"/>
    </row>
    <row r="2607" spans="1:20" s="23" customFormat="1" ht="15" customHeight="1">
      <c r="A2607" s="31"/>
      <c r="B2607" s="32"/>
      <c r="C2607" s="33"/>
      <c r="D2607" s="32" t="s">
        <v>5618</v>
      </c>
      <c r="E2607" s="33" t="s">
        <v>116</v>
      </c>
      <c r="F2607" s="34">
        <v>1</v>
      </c>
      <c r="G2607" s="35">
        <v>0</v>
      </c>
      <c r="H2607" s="35">
        <v>0</v>
      </c>
      <c r="I2607" s="35">
        <f>Tabla1[[#This Row],[P.U. M.N.]]*Tabla1[[#This Row],[CANTIDADES DE REFERENCIA]]</f>
        <v>0</v>
      </c>
      <c r="J2607" s="35">
        <f>Tabla1[[#This Row],[P.U. USD]]*Tabla1[[#This Row],[CANTIDADES DE REFERENCIA]]</f>
        <v>0</v>
      </c>
      <c r="K2607" s="36"/>
      <c r="L2607" s="36"/>
      <c r="M2607" s="36"/>
      <c r="N2607" s="37"/>
      <c r="O2607" s="37"/>
      <c r="P2607" s="40"/>
      <c r="Q2607" s="37" t="s">
        <v>5619</v>
      </c>
      <c r="R2607" s="37" t="s">
        <v>58</v>
      </c>
      <c r="S2607" s="37"/>
      <c r="T2607" s="31"/>
    </row>
    <row r="2608" spans="1:20" ht="15" customHeight="1">
      <c r="A2608" s="31"/>
      <c r="B2608" s="32"/>
      <c r="C2608" s="33"/>
      <c r="D2608" s="32" t="s">
        <v>5620</v>
      </c>
      <c r="E2608" s="33" t="s">
        <v>116</v>
      </c>
      <c r="F2608" s="34">
        <v>1</v>
      </c>
      <c r="G2608" s="35">
        <v>0</v>
      </c>
      <c r="H2608" s="35">
        <v>0</v>
      </c>
      <c r="I2608" s="35">
        <f>Tabla1[[#This Row],[P.U. M.N.]]*Tabla1[[#This Row],[CANTIDADES DE REFERENCIA]]</f>
        <v>0</v>
      </c>
      <c r="J2608" s="35">
        <f>Tabla1[[#This Row],[P.U. USD]]*Tabla1[[#This Row],[CANTIDADES DE REFERENCIA]]</f>
        <v>0</v>
      </c>
      <c r="K2608" s="36"/>
      <c r="L2608" s="36"/>
      <c r="M2608" s="36"/>
      <c r="N2608" s="37" t="s">
        <v>909</v>
      </c>
      <c r="O2608" s="37" t="s">
        <v>910</v>
      </c>
      <c r="P2608" s="39"/>
      <c r="Q2608" s="37" t="s">
        <v>5621</v>
      </c>
      <c r="R2608" s="37" t="s">
        <v>389</v>
      </c>
      <c r="S2608" s="37" t="s">
        <v>5615</v>
      </c>
      <c r="T2608" s="31"/>
    </row>
    <row r="2609" spans="1:20" ht="15" customHeight="1">
      <c r="A2609" s="31"/>
      <c r="B2609" s="32"/>
      <c r="C2609" s="33"/>
      <c r="D2609" s="32" t="s">
        <v>5622</v>
      </c>
      <c r="E2609" s="33" t="s">
        <v>135</v>
      </c>
      <c r="F2609" s="34">
        <v>1</v>
      </c>
      <c r="G2609" s="35">
        <v>0</v>
      </c>
      <c r="H2609" s="35">
        <v>0</v>
      </c>
      <c r="I2609" s="35">
        <f>Tabla1[[#This Row],[P.U. M.N.]]*Tabla1[[#This Row],[CANTIDADES DE REFERENCIA]]</f>
        <v>0</v>
      </c>
      <c r="J2609" s="35">
        <f>Tabla1[[#This Row],[P.U. USD]]*Tabla1[[#This Row],[CANTIDADES DE REFERENCIA]]</f>
        <v>0</v>
      </c>
      <c r="K2609" s="36"/>
      <c r="L2609" s="36"/>
      <c r="M2609" s="36"/>
      <c r="N2609" s="37"/>
      <c r="O2609" s="37"/>
      <c r="P2609" s="39"/>
      <c r="Q2609" s="37" t="s">
        <v>5623</v>
      </c>
      <c r="R2609" s="37" t="s">
        <v>389</v>
      </c>
      <c r="S2609" s="37"/>
      <c r="T2609" s="31"/>
    </row>
    <row r="2610" spans="1:20" ht="15" customHeight="1">
      <c r="A2610" s="31"/>
      <c r="B2610" s="32"/>
      <c r="C2610" s="33"/>
      <c r="D2610" s="32" t="s">
        <v>5624</v>
      </c>
      <c r="E2610" s="33" t="s">
        <v>135</v>
      </c>
      <c r="F2610" s="34">
        <v>1</v>
      </c>
      <c r="G2610" s="35">
        <v>0</v>
      </c>
      <c r="H2610" s="35">
        <v>0</v>
      </c>
      <c r="I2610" s="35">
        <f>Tabla1[[#This Row],[P.U. M.N.]]*Tabla1[[#This Row],[CANTIDADES DE REFERENCIA]]</f>
        <v>0</v>
      </c>
      <c r="J2610" s="35">
        <f>Tabla1[[#This Row],[P.U. USD]]*Tabla1[[#This Row],[CANTIDADES DE REFERENCIA]]</f>
        <v>0</v>
      </c>
      <c r="K2610" s="36"/>
      <c r="L2610" s="36"/>
      <c r="M2610" s="36"/>
      <c r="N2610" s="37"/>
      <c r="O2610" s="37"/>
      <c r="P2610" s="39"/>
      <c r="Q2610" s="37" t="s">
        <v>5625</v>
      </c>
      <c r="R2610" s="37" t="s">
        <v>389</v>
      </c>
      <c r="S2610" s="37"/>
      <c r="T2610" s="31"/>
    </row>
    <row r="2611" spans="1:20" ht="15" customHeight="1">
      <c r="A2611" s="31"/>
      <c r="B2611" s="32"/>
      <c r="C2611" s="33"/>
      <c r="D2611" s="32" t="s">
        <v>5626</v>
      </c>
      <c r="E2611" s="33" t="s">
        <v>135</v>
      </c>
      <c r="F2611" s="34">
        <v>1</v>
      </c>
      <c r="G2611" s="35">
        <v>0</v>
      </c>
      <c r="H2611" s="35">
        <v>0</v>
      </c>
      <c r="I2611" s="35">
        <f>Tabla1[[#This Row],[P.U. M.N.]]*Tabla1[[#This Row],[CANTIDADES DE REFERENCIA]]</f>
        <v>0</v>
      </c>
      <c r="J2611" s="35">
        <f>Tabla1[[#This Row],[P.U. USD]]*Tabla1[[#This Row],[CANTIDADES DE REFERENCIA]]</f>
        <v>0</v>
      </c>
      <c r="K2611" s="36"/>
      <c r="L2611" s="36"/>
      <c r="M2611" s="36"/>
      <c r="N2611" s="37"/>
      <c r="O2611" s="37"/>
      <c r="P2611" s="39"/>
      <c r="Q2611" s="37" t="s">
        <v>5627</v>
      </c>
      <c r="R2611" s="37" t="s">
        <v>389</v>
      </c>
      <c r="S2611" s="37"/>
      <c r="T2611" s="31"/>
    </row>
    <row r="2612" spans="1:20" ht="15" customHeight="1">
      <c r="A2612" s="31"/>
      <c r="B2612" s="32"/>
      <c r="C2612" s="33"/>
      <c r="D2612" s="32" t="s">
        <v>5628</v>
      </c>
      <c r="E2612" s="33" t="s">
        <v>1607</v>
      </c>
      <c r="F2612" s="34">
        <v>1</v>
      </c>
      <c r="G2612" s="35">
        <v>0</v>
      </c>
      <c r="H2612" s="35">
        <v>0</v>
      </c>
      <c r="I2612" s="35">
        <f>Tabla1[[#This Row],[P.U. M.N.]]*Tabla1[[#This Row],[CANTIDADES DE REFERENCIA]]</f>
        <v>0</v>
      </c>
      <c r="J2612" s="35">
        <f>Tabla1[[#This Row],[P.U. USD]]*Tabla1[[#This Row],[CANTIDADES DE REFERENCIA]]</f>
        <v>0</v>
      </c>
      <c r="K2612" s="36"/>
      <c r="L2612" s="36"/>
      <c r="M2612" s="36"/>
      <c r="N2612" s="37"/>
      <c r="O2612" s="37"/>
      <c r="P2612" s="39"/>
      <c r="Q2612" s="37" t="s">
        <v>5629</v>
      </c>
      <c r="R2612" s="37" t="s">
        <v>389</v>
      </c>
      <c r="S2612" s="37"/>
      <c r="T2612" s="31"/>
    </row>
    <row r="2613" spans="1:20" ht="15" customHeight="1">
      <c r="A2613" s="31"/>
      <c r="B2613" s="32"/>
      <c r="C2613" s="33"/>
      <c r="D2613" s="32" t="s">
        <v>5630</v>
      </c>
      <c r="E2613" s="33" t="s">
        <v>1607</v>
      </c>
      <c r="F2613" s="34">
        <v>1</v>
      </c>
      <c r="G2613" s="35">
        <v>0</v>
      </c>
      <c r="H2613" s="35">
        <v>0</v>
      </c>
      <c r="I2613" s="35">
        <f>Tabla1[[#This Row],[P.U. M.N.]]*Tabla1[[#This Row],[CANTIDADES DE REFERENCIA]]</f>
        <v>0</v>
      </c>
      <c r="J2613" s="35">
        <f>Tabla1[[#This Row],[P.U. USD]]*Tabla1[[#This Row],[CANTIDADES DE REFERENCIA]]</f>
        <v>0</v>
      </c>
      <c r="K2613" s="36"/>
      <c r="L2613" s="36"/>
      <c r="M2613" s="36"/>
      <c r="N2613" s="37"/>
      <c r="O2613" s="37"/>
      <c r="P2613" s="39"/>
      <c r="Q2613" s="37" t="s">
        <v>5631</v>
      </c>
      <c r="R2613" s="37" t="s">
        <v>389</v>
      </c>
      <c r="S2613" s="37"/>
      <c r="T2613" s="31"/>
    </row>
    <row r="2614" spans="1:20" ht="15" customHeight="1">
      <c r="A2614" s="31"/>
      <c r="B2614" s="32"/>
      <c r="C2614" s="33"/>
      <c r="D2614" s="32" t="s">
        <v>5632</v>
      </c>
      <c r="E2614" s="33" t="s">
        <v>42</v>
      </c>
      <c r="F2614" s="34">
        <v>1</v>
      </c>
      <c r="G2614" s="35">
        <v>0</v>
      </c>
      <c r="H2614" s="35">
        <v>0</v>
      </c>
      <c r="I2614" s="35">
        <f>Tabla1[[#This Row],[P.U. M.N.]]*Tabla1[[#This Row],[CANTIDADES DE REFERENCIA]]</f>
        <v>0</v>
      </c>
      <c r="J2614" s="35">
        <f>Tabla1[[#This Row],[P.U. USD]]*Tabla1[[#This Row],[CANTIDADES DE REFERENCIA]]</f>
        <v>0</v>
      </c>
      <c r="K2614" s="36"/>
      <c r="L2614" s="36"/>
      <c r="M2614" s="36"/>
      <c r="N2614" s="37" t="s">
        <v>5539</v>
      </c>
      <c r="O2614" s="37"/>
      <c r="P2614" s="39"/>
      <c r="Q2614" s="37" t="s">
        <v>5633</v>
      </c>
      <c r="R2614" s="37" t="s">
        <v>389</v>
      </c>
      <c r="S2614" s="37"/>
      <c r="T2614" s="31"/>
    </row>
    <row r="2615" spans="1:20" ht="15" customHeight="1">
      <c r="A2615" s="31"/>
      <c r="B2615" s="32"/>
      <c r="C2615" s="33"/>
      <c r="D2615" s="32" t="s">
        <v>5634</v>
      </c>
      <c r="E2615" s="33" t="s">
        <v>135</v>
      </c>
      <c r="F2615" s="34">
        <v>1</v>
      </c>
      <c r="G2615" s="35">
        <v>0</v>
      </c>
      <c r="H2615" s="35">
        <v>0</v>
      </c>
      <c r="I2615" s="35">
        <f>Tabla1[[#This Row],[P.U. M.N.]]*Tabla1[[#This Row],[CANTIDADES DE REFERENCIA]]</f>
        <v>0</v>
      </c>
      <c r="J2615" s="35">
        <f>Tabla1[[#This Row],[P.U. USD]]*Tabla1[[#This Row],[CANTIDADES DE REFERENCIA]]</f>
        <v>0</v>
      </c>
      <c r="K2615" s="36"/>
      <c r="L2615" s="36"/>
      <c r="M2615" s="36"/>
      <c r="N2615" s="37" t="s">
        <v>5539</v>
      </c>
      <c r="O2615" s="37"/>
      <c r="P2615" s="39"/>
      <c r="Q2615" s="37" t="s">
        <v>5635</v>
      </c>
      <c r="R2615" s="37" t="s">
        <v>389</v>
      </c>
      <c r="S2615" s="37"/>
      <c r="T2615" s="31"/>
    </row>
    <row r="2616" spans="1:20" ht="15" customHeight="1">
      <c r="A2616" s="31"/>
      <c r="B2616" s="32"/>
      <c r="C2616" s="33"/>
      <c r="D2616" s="32" t="s">
        <v>5636</v>
      </c>
      <c r="E2616" s="33" t="s">
        <v>135</v>
      </c>
      <c r="F2616" s="34">
        <v>1</v>
      </c>
      <c r="G2616" s="35">
        <v>0</v>
      </c>
      <c r="H2616" s="35">
        <v>0</v>
      </c>
      <c r="I2616" s="35">
        <f>Tabla1[[#This Row],[P.U. M.N.]]*Tabla1[[#This Row],[CANTIDADES DE REFERENCIA]]</f>
        <v>0</v>
      </c>
      <c r="J2616" s="35">
        <f>Tabla1[[#This Row],[P.U. USD]]*Tabla1[[#This Row],[CANTIDADES DE REFERENCIA]]</f>
        <v>0</v>
      </c>
      <c r="K2616" s="36"/>
      <c r="L2616" s="36"/>
      <c r="M2616" s="36"/>
      <c r="N2616" s="37" t="s">
        <v>5539</v>
      </c>
      <c r="O2616" s="37"/>
      <c r="P2616" s="39"/>
      <c r="Q2616" s="37" t="s">
        <v>5637</v>
      </c>
      <c r="R2616" s="37" t="s">
        <v>389</v>
      </c>
      <c r="S2616" s="37"/>
      <c r="T2616" s="31"/>
    </row>
    <row r="2617" spans="1:20" ht="15" customHeight="1">
      <c r="A2617" s="31"/>
      <c r="B2617" s="32"/>
      <c r="C2617" s="33"/>
      <c r="D2617" s="32" t="s">
        <v>5638</v>
      </c>
      <c r="E2617" s="33" t="s">
        <v>42</v>
      </c>
      <c r="F2617" s="34">
        <v>1</v>
      </c>
      <c r="G2617" s="35">
        <v>0</v>
      </c>
      <c r="H2617" s="35">
        <v>0</v>
      </c>
      <c r="I2617" s="35">
        <f>Tabla1[[#This Row],[P.U. M.N.]]*Tabla1[[#This Row],[CANTIDADES DE REFERENCIA]]</f>
        <v>0</v>
      </c>
      <c r="J2617" s="35">
        <f>Tabla1[[#This Row],[P.U. USD]]*Tabla1[[#This Row],[CANTIDADES DE REFERENCIA]]</f>
        <v>0</v>
      </c>
      <c r="K2617" s="36"/>
      <c r="L2617" s="36"/>
      <c r="M2617" s="36"/>
      <c r="N2617" s="37" t="s">
        <v>5639</v>
      </c>
      <c r="O2617" s="37" t="s">
        <v>5640</v>
      </c>
      <c r="P2617" s="39"/>
      <c r="Q2617" s="37" t="s">
        <v>5641</v>
      </c>
      <c r="R2617" s="37" t="s">
        <v>389</v>
      </c>
      <c r="S2617" s="37" t="s">
        <v>5642</v>
      </c>
      <c r="T2617" s="31"/>
    </row>
    <row r="2618" spans="1:20" ht="15" customHeight="1">
      <c r="A2618" s="31"/>
      <c r="B2618" s="32"/>
      <c r="C2618" s="33"/>
      <c r="D2618" s="32" t="s">
        <v>5643</v>
      </c>
      <c r="E2618" s="33" t="s">
        <v>42</v>
      </c>
      <c r="F2618" s="34">
        <v>1</v>
      </c>
      <c r="G2618" s="35">
        <v>0</v>
      </c>
      <c r="H2618" s="35">
        <v>0</v>
      </c>
      <c r="I2618" s="35">
        <f>Tabla1[[#This Row],[P.U. M.N.]]*Tabla1[[#This Row],[CANTIDADES DE REFERENCIA]]</f>
        <v>0</v>
      </c>
      <c r="J2618" s="35">
        <f>Tabla1[[#This Row],[P.U. USD]]*Tabla1[[#This Row],[CANTIDADES DE REFERENCIA]]</f>
        <v>0</v>
      </c>
      <c r="K2618" s="36"/>
      <c r="L2618" s="36"/>
      <c r="M2618" s="36"/>
      <c r="N2618" s="37" t="s">
        <v>5639</v>
      </c>
      <c r="O2618" s="37" t="s">
        <v>5640</v>
      </c>
      <c r="P2618" s="39"/>
      <c r="Q2618" s="37" t="s">
        <v>5644</v>
      </c>
      <c r="R2618" s="37" t="s">
        <v>389</v>
      </c>
      <c r="S2618" s="37" t="s">
        <v>5642</v>
      </c>
      <c r="T2618" s="31"/>
    </row>
    <row r="2619" spans="1:20" ht="15" customHeight="1">
      <c r="A2619" s="31"/>
      <c r="B2619" s="32"/>
      <c r="C2619" s="33"/>
      <c r="D2619" s="32" t="s">
        <v>5645</v>
      </c>
      <c r="E2619" s="33" t="s">
        <v>42</v>
      </c>
      <c r="F2619" s="34">
        <v>1</v>
      </c>
      <c r="G2619" s="35">
        <v>0</v>
      </c>
      <c r="H2619" s="35">
        <v>0</v>
      </c>
      <c r="I2619" s="35">
        <f>Tabla1[[#This Row],[P.U. M.N.]]*Tabla1[[#This Row],[CANTIDADES DE REFERENCIA]]</f>
        <v>0</v>
      </c>
      <c r="J2619" s="35">
        <f>Tabla1[[#This Row],[P.U. USD]]*Tabla1[[#This Row],[CANTIDADES DE REFERENCIA]]</f>
        <v>0</v>
      </c>
      <c r="K2619" s="36"/>
      <c r="L2619" s="36"/>
      <c r="M2619" s="36"/>
      <c r="N2619" s="37" t="s">
        <v>5639</v>
      </c>
      <c r="O2619" s="37" t="s">
        <v>5640</v>
      </c>
      <c r="P2619" s="39"/>
      <c r="Q2619" s="37" t="s">
        <v>5646</v>
      </c>
      <c r="R2619" s="37" t="s">
        <v>389</v>
      </c>
      <c r="S2619" s="37" t="s">
        <v>5642</v>
      </c>
      <c r="T2619" s="31"/>
    </row>
    <row r="2620" spans="1:20" ht="15" customHeight="1">
      <c r="A2620" s="31"/>
      <c r="B2620" s="32"/>
      <c r="C2620" s="33"/>
      <c r="D2620" s="32" t="s">
        <v>5647</v>
      </c>
      <c r="E2620" s="33" t="s">
        <v>42</v>
      </c>
      <c r="F2620" s="34">
        <v>1</v>
      </c>
      <c r="G2620" s="35">
        <v>0</v>
      </c>
      <c r="H2620" s="35">
        <v>0</v>
      </c>
      <c r="I2620" s="35">
        <f>Tabla1[[#This Row],[P.U. M.N.]]*Tabla1[[#This Row],[CANTIDADES DE REFERENCIA]]</f>
        <v>0</v>
      </c>
      <c r="J2620" s="35">
        <f>Tabla1[[#This Row],[P.U. USD]]*Tabla1[[#This Row],[CANTIDADES DE REFERENCIA]]</f>
        <v>0</v>
      </c>
      <c r="K2620" s="36"/>
      <c r="L2620" s="36"/>
      <c r="M2620" s="36"/>
      <c r="N2620" s="37" t="s">
        <v>5639</v>
      </c>
      <c r="O2620" s="37" t="s">
        <v>5640</v>
      </c>
      <c r="P2620" s="39"/>
      <c r="Q2620" s="37" t="s">
        <v>5648</v>
      </c>
      <c r="R2620" s="37" t="s">
        <v>389</v>
      </c>
      <c r="S2620" s="37" t="s">
        <v>5642</v>
      </c>
      <c r="T2620" s="31"/>
    </row>
    <row r="2621" spans="1:20" ht="15" customHeight="1">
      <c r="A2621" s="31"/>
      <c r="B2621" s="32"/>
      <c r="C2621" s="33"/>
      <c r="D2621" s="32" t="s">
        <v>5649</v>
      </c>
      <c r="E2621" s="33" t="s">
        <v>42</v>
      </c>
      <c r="F2621" s="34">
        <v>1</v>
      </c>
      <c r="G2621" s="35">
        <v>0</v>
      </c>
      <c r="H2621" s="35">
        <v>0</v>
      </c>
      <c r="I2621" s="35">
        <f>Tabla1[[#This Row],[P.U. M.N.]]*Tabla1[[#This Row],[CANTIDADES DE REFERENCIA]]</f>
        <v>0</v>
      </c>
      <c r="J2621" s="35">
        <f>Tabla1[[#This Row],[P.U. USD]]*Tabla1[[#This Row],[CANTIDADES DE REFERENCIA]]</f>
        <v>0</v>
      </c>
      <c r="K2621" s="36"/>
      <c r="L2621" s="36"/>
      <c r="M2621" s="36"/>
      <c r="N2621" s="37" t="s">
        <v>5639</v>
      </c>
      <c r="O2621" s="37" t="s">
        <v>5640</v>
      </c>
      <c r="P2621" s="39"/>
      <c r="Q2621" s="37" t="s">
        <v>5650</v>
      </c>
      <c r="R2621" s="37" t="s">
        <v>389</v>
      </c>
      <c r="S2621" s="37" t="s">
        <v>5642</v>
      </c>
      <c r="T2621" s="31"/>
    </row>
    <row r="2622" spans="1:20" ht="15" customHeight="1">
      <c r="A2622" s="31"/>
      <c r="B2622" s="32"/>
      <c r="C2622" s="33"/>
      <c r="D2622" s="32" t="s">
        <v>5651</v>
      </c>
      <c r="E2622" s="33" t="s">
        <v>42</v>
      </c>
      <c r="F2622" s="34">
        <v>1</v>
      </c>
      <c r="G2622" s="35">
        <v>0</v>
      </c>
      <c r="H2622" s="35">
        <v>0</v>
      </c>
      <c r="I2622" s="35">
        <f>Tabla1[[#This Row],[P.U. M.N.]]*Tabla1[[#This Row],[CANTIDADES DE REFERENCIA]]</f>
        <v>0</v>
      </c>
      <c r="J2622" s="35">
        <f>Tabla1[[#This Row],[P.U. USD]]*Tabla1[[#This Row],[CANTIDADES DE REFERENCIA]]</f>
        <v>0</v>
      </c>
      <c r="K2622" s="36"/>
      <c r="L2622" s="36"/>
      <c r="M2622" s="36"/>
      <c r="N2622" s="37" t="s">
        <v>5639</v>
      </c>
      <c r="O2622" s="37" t="s">
        <v>5640</v>
      </c>
      <c r="P2622" s="39"/>
      <c r="Q2622" s="37" t="s">
        <v>5652</v>
      </c>
      <c r="R2622" s="37" t="s">
        <v>389</v>
      </c>
      <c r="S2622" s="37" t="s">
        <v>5642</v>
      </c>
      <c r="T2622" s="31"/>
    </row>
    <row r="2623" spans="1:20" ht="15" customHeight="1">
      <c r="A2623" s="31"/>
      <c r="B2623" s="32"/>
      <c r="C2623" s="33"/>
      <c r="D2623" s="32" t="s">
        <v>5653</v>
      </c>
      <c r="E2623" s="33" t="s">
        <v>42</v>
      </c>
      <c r="F2623" s="34">
        <v>1</v>
      </c>
      <c r="G2623" s="35">
        <v>0</v>
      </c>
      <c r="H2623" s="35">
        <v>0</v>
      </c>
      <c r="I2623" s="35">
        <f>Tabla1[[#This Row],[P.U. M.N.]]*Tabla1[[#This Row],[CANTIDADES DE REFERENCIA]]</f>
        <v>0</v>
      </c>
      <c r="J2623" s="35">
        <f>Tabla1[[#This Row],[P.U. USD]]*Tabla1[[#This Row],[CANTIDADES DE REFERENCIA]]</f>
        <v>0</v>
      </c>
      <c r="K2623" s="36"/>
      <c r="L2623" s="36"/>
      <c r="M2623" s="36"/>
      <c r="N2623" s="37" t="s">
        <v>5639</v>
      </c>
      <c r="O2623" s="37" t="s">
        <v>5640</v>
      </c>
      <c r="P2623" s="39"/>
      <c r="Q2623" s="37" t="s">
        <v>5654</v>
      </c>
      <c r="R2623" s="37" t="s">
        <v>389</v>
      </c>
      <c r="S2623" s="37" t="s">
        <v>5642</v>
      </c>
      <c r="T2623" s="31"/>
    </row>
    <row r="2624" spans="1:20" ht="15" customHeight="1">
      <c r="A2624" s="31"/>
      <c r="B2624" s="32"/>
      <c r="C2624" s="33"/>
      <c r="D2624" s="32" t="s">
        <v>5655</v>
      </c>
      <c r="E2624" s="33" t="s">
        <v>42</v>
      </c>
      <c r="F2624" s="34">
        <v>1</v>
      </c>
      <c r="G2624" s="35">
        <v>0</v>
      </c>
      <c r="H2624" s="35">
        <v>0</v>
      </c>
      <c r="I2624" s="35">
        <f>Tabla1[[#This Row],[P.U. M.N.]]*Tabla1[[#This Row],[CANTIDADES DE REFERENCIA]]</f>
        <v>0</v>
      </c>
      <c r="J2624" s="35">
        <f>Tabla1[[#This Row],[P.U. USD]]*Tabla1[[#This Row],[CANTIDADES DE REFERENCIA]]</f>
        <v>0</v>
      </c>
      <c r="K2624" s="36"/>
      <c r="L2624" s="36"/>
      <c r="M2624" s="36"/>
      <c r="N2624" s="37" t="s">
        <v>5639</v>
      </c>
      <c r="O2624" s="37" t="s">
        <v>5640</v>
      </c>
      <c r="P2624" s="39"/>
      <c r="Q2624" s="37" t="s">
        <v>5656</v>
      </c>
      <c r="R2624" s="37" t="s">
        <v>389</v>
      </c>
      <c r="S2624" s="37" t="s">
        <v>5642</v>
      </c>
      <c r="T2624" s="31"/>
    </row>
    <row r="2625" spans="1:20" ht="15" customHeight="1">
      <c r="A2625" s="31"/>
      <c r="B2625" s="32"/>
      <c r="C2625" s="33"/>
      <c r="D2625" s="32" t="s">
        <v>5657</v>
      </c>
      <c r="E2625" s="33" t="s">
        <v>42</v>
      </c>
      <c r="F2625" s="34">
        <v>1</v>
      </c>
      <c r="G2625" s="35">
        <v>0</v>
      </c>
      <c r="H2625" s="35">
        <v>0</v>
      </c>
      <c r="I2625" s="35">
        <f>Tabla1[[#This Row],[P.U. M.N.]]*Tabla1[[#This Row],[CANTIDADES DE REFERENCIA]]</f>
        <v>0</v>
      </c>
      <c r="J2625" s="35">
        <f>Tabla1[[#This Row],[P.U. USD]]*Tabla1[[#This Row],[CANTIDADES DE REFERENCIA]]</f>
        <v>0</v>
      </c>
      <c r="K2625" s="36"/>
      <c r="L2625" s="36"/>
      <c r="M2625" s="36"/>
      <c r="N2625" s="37" t="s">
        <v>5639</v>
      </c>
      <c r="O2625" s="37" t="s">
        <v>5640</v>
      </c>
      <c r="P2625" s="39"/>
      <c r="Q2625" s="37" t="s">
        <v>5658</v>
      </c>
      <c r="R2625" s="37" t="s">
        <v>389</v>
      </c>
      <c r="S2625" s="37" t="s">
        <v>5642</v>
      </c>
      <c r="T2625" s="31"/>
    </row>
    <row r="2626" spans="1:20" ht="15" customHeight="1">
      <c r="A2626" s="31"/>
      <c r="B2626" s="32"/>
      <c r="C2626" s="33"/>
      <c r="D2626" s="32" t="s">
        <v>5659</v>
      </c>
      <c r="E2626" s="33" t="s">
        <v>42</v>
      </c>
      <c r="F2626" s="34">
        <v>1</v>
      </c>
      <c r="G2626" s="35">
        <v>0</v>
      </c>
      <c r="H2626" s="35">
        <v>0</v>
      </c>
      <c r="I2626" s="35">
        <f>Tabla1[[#This Row],[P.U. M.N.]]*Tabla1[[#This Row],[CANTIDADES DE REFERENCIA]]</f>
        <v>0</v>
      </c>
      <c r="J2626" s="35">
        <f>Tabla1[[#This Row],[P.U. USD]]*Tabla1[[#This Row],[CANTIDADES DE REFERENCIA]]</f>
        <v>0</v>
      </c>
      <c r="K2626" s="36"/>
      <c r="L2626" s="36"/>
      <c r="M2626" s="36"/>
      <c r="N2626" s="37" t="s">
        <v>5639</v>
      </c>
      <c r="O2626" s="37" t="s">
        <v>5640</v>
      </c>
      <c r="P2626" s="39"/>
      <c r="Q2626" s="37" t="s">
        <v>5660</v>
      </c>
      <c r="R2626" s="37" t="s">
        <v>389</v>
      </c>
      <c r="S2626" s="37" t="s">
        <v>5642</v>
      </c>
      <c r="T2626" s="31"/>
    </row>
    <row r="2627" spans="1:20" ht="15" customHeight="1">
      <c r="A2627" s="31"/>
      <c r="B2627" s="32"/>
      <c r="C2627" s="33"/>
      <c r="D2627" s="32" t="s">
        <v>5661</v>
      </c>
      <c r="E2627" s="33" t="s">
        <v>42</v>
      </c>
      <c r="F2627" s="34">
        <v>1</v>
      </c>
      <c r="G2627" s="35">
        <v>0</v>
      </c>
      <c r="H2627" s="35">
        <v>0</v>
      </c>
      <c r="I2627" s="35">
        <f>Tabla1[[#This Row],[P.U. M.N.]]*Tabla1[[#This Row],[CANTIDADES DE REFERENCIA]]</f>
        <v>0</v>
      </c>
      <c r="J2627" s="35">
        <f>Tabla1[[#This Row],[P.U. USD]]*Tabla1[[#This Row],[CANTIDADES DE REFERENCIA]]</f>
        <v>0</v>
      </c>
      <c r="K2627" s="36"/>
      <c r="L2627" s="36"/>
      <c r="M2627" s="36"/>
      <c r="N2627" s="37" t="s">
        <v>5639</v>
      </c>
      <c r="O2627" s="37" t="s">
        <v>5640</v>
      </c>
      <c r="P2627" s="39"/>
      <c r="Q2627" s="37" t="s">
        <v>5662</v>
      </c>
      <c r="R2627" s="37" t="s">
        <v>389</v>
      </c>
      <c r="S2627" s="37" t="s">
        <v>5642</v>
      </c>
      <c r="T2627" s="31"/>
    </row>
    <row r="2628" spans="1:20" ht="15" customHeight="1">
      <c r="A2628" s="31"/>
      <c r="B2628" s="32"/>
      <c r="C2628" s="33"/>
      <c r="D2628" s="32" t="s">
        <v>5663</v>
      </c>
      <c r="E2628" s="33" t="s">
        <v>42</v>
      </c>
      <c r="F2628" s="34">
        <v>1</v>
      </c>
      <c r="G2628" s="35">
        <v>0</v>
      </c>
      <c r="H2628" s="35">
        <v>0</v>
      </c>
      <c r="I2628" s="35">
        <f>Tabla1[[#This Row],[P.U. M.N.]]*Tabla1[[#This Row],[CANTIDADES DE REFERENCIA]]</f>
        <v>0</v>
      </c>
      <c r="J2628" s="35">
        <f>Tabla1[[#This Row],[P.U. USD]]*Tabla1[[#This Row],[CANTIDADES DE REFERENCIA]]</f>
        <v>0</v>
      </c>
      <c r="K2628" s="36"/>
      <c r="L2628" s="36"/>
      <c r="M2628" s="36"/>
      <c r="N2628" s="37" t="s">
        <v>5639</v>
      </c>
      <c r="O2628" s="37" t="s">
        <v>5640</v>
      </c>
      <c r="P2628" s="39"/>
      <c r="Q2628" s="37" t="s">
        <v>5664</v>
      </c>
      <c r="R2628" s="37" t="s">
        <v>389</v>
      </c>
      <c r="S2628" s="37" t="s">
        <v>5642</v>
      </c>
      <c r="T2628" s="31"/>
    </row>
    <row r="2629" spans="1:20" ht="15" customHeight="1">
      <c r="A2629" s="31"/>
      <c r="B2629" s="32"/>
      <c r="C2629" s="33"/>
      <c r="D2629" s="32" t="s">
        <v>5665</v>
      </c>
      <c r="E2629" s="33" t="s">
        <v>42</v>
      </c>
      <c r="F2629" s="34">
        <v>1</v>
      </c>
      <c r="G2629" s="35">
        <v>0</v>
      </c>
      <c r="H2629" s="35">
        <v>0</v>
      </c>
      <c r="I2629" s="35">
        <f>Tabla1[[#This Row],[P.U. M.N.]]*Tabla1[[#This Row],[CANTIDADES DE REFERENCIA]]</f>
        <v>0</v>
      </c>
      <c r="J2629" s="35">
        <f>Tabla1[[#This Row],[P.U. USD]]*Tabla1[[#This Row],[CANTIDADES DE REFERENCIA]]</f>
        <v>0</v>
      </c>
      <c r="K2629" s="36"/>
      <c r="L2629" s="36"/>
      <c r="M2629" s="36"/>
      <c r="N2629" s="37" t="s">
        <v>5639</v>
      </c>
      <c r="O2629" s="37" t="s">
        <v>5640</v>
      </c>
      <c r="P2629" s="39"/>
      <c r="Q2629" s="37" t="s">
        <v>5666</v>
      </c>
      <c r="R2629" s="37" t="s">
        <v>389</v>
      </c>
      <c r="S2629" s="37" t="s">
        <v>5642</v>
      </c>
      <c r="T2629" s="31"/>
    </row>
    <row r="2630" spans="1:20" ht="15" customHeight="1">
      <c r="A2630" s="31"/>
      <c r="B2630" s="32"/>
      <c r="C2630" s="33"/>
      <c r="D2630" s="32" t="s">
        <v>5667</v>
      </c>
      <c r="E2630" s="33" t="s">
        <v>42</v>
      </c>
      <c r="F2630" s="34">
        <v>1</v>
      </c>
      <c r="G2630" s="35">
        <v>0</v>
      </c>
      <c r="H2630" s="35">
        <v>0</v>
      </c>
      <c r="I2630" s="35">
        <f>Tabla1[[#This Row],[P.U. M.N.]]*Tabla1[[#This Row],[CANTIDADES DE REFERENCIA]]</f>
        <v>0</v>
      </c>
      <c r="J2630" s="35">
        <f>Tabla1[[#This Row],[P.U. USD]]*Tabla1[[#This Row],[CANTIDADES DE REFERENCIA]]</f>
        <v>0</v>
      </c>
      <c r="K2630" s="36"/>
      <c r="L2630" s="36"/>
      <c r="M2630" s="36"/>
      <c r="N2630" s="37" t="s">
        <v>5639</v>
      </c>
      <c r="O2630" s="37" t="s">
        <v>5640</v>
      </c>
      <c r="P2630" s="39"/>
      <c r="Q2630" s="37" t="s">
        <v>5668</v>
      </c>
      <c r="R2630" s="37" t="s">
        <v>389</v>
      </c>
      <c r="S2630" s="37" t="s">
        <v>5642</v>
      </c>
      <c r="T2630" s="31"/>
    </row>
    <row r="2631" spans="1:20" ht="15" customHeight="1">
      <c r="A2631" s="31"/>
      <c r="B2631" s="32"/>
      <c r="C2631" s="33"/>
      <c r="D2631" s="32" t="s">
        <v>5669</v>
      </c>
      <c r="E2631" s="33" t="s">
        <v>42</v>
      </c>
      <c r="F2631" s="34">
        <v>1</v>
      </c>
      <c r="G2631" s="35">
        <v>0</v>
      </c>
      <c r="H2631" s="35">
        <v>0</v>
      </c>
      <c r="I2631" s="35">
        <f>Tabla1[[#This Row],[P.U. M.N.]]*Tabla1[[#This Row],[CANTIDADES DE REFERENCIA]]</f>
        <v>0</v>
      </c>
      <c r="J2631" s="35">
        <f>Tabla1[[#This Row],[P.U. USD]]*Tabla1[[#This Row],[CANTIDADES DE REFERENCIA]]</f>
        <v>0</v>
      </c>
      <c r="K2631" s="36"/>
      <c r="L2631" s="36"/>
      <c r="M2631" s="36"/>
      <c r="N2631" s="37" t="s">
        <v>5639</v>
      </c>
      <c r="O2631" s="37" t="s">
        <v>5640</v>
      </c>
      <c r="P2631" s="39"/>
      <c r="Q2631" s="37" t="s">
        <v>5670</v>
      </c>
      <c r="R2631" s="37" t="s">
        <v>389</v>
      </c>
      <c r="S2631" s="37" t="s">
        <v>5642</v>
      </c>
      <c r="T2631" s="31"/>
    </row>
    <row r="2632" spans="1:20" ht="15" customHeight="1">
      <c r="A2632" s="31"/>
      <c r="B2632" s="32"/>
      <c r="C2632" s="33"/>
      <c r="D2632" s="32" t="s">
        <v>5671</v>
      </c>
      <c r="E2632" s="33" t="s">
        <v>42</v>
      </c>
      <c r="F2632" s="34">
        <v>1</v>
      </c>
      <c r="G2632" s="35">
        <v>0</v>
      </c>
      <c r="H2632" s="35">
        <v>0</v>
      </c>
      <c r="I2632" s="35">
        <f>Tabla1[[#This Row],[P.U. M.N.]]*Tabla1[[#This Row],[CANTIDADES DE REFERENCIA]]</f>
        <v>0</v>
      </c>
      <c r="J2632" s="35">
        <f>Tabla1[[#This Row],[P.U. USD]]*Tabla1[[#This Row],[CANTIDADES DE REFERENCIA]]</f>
        <v>0</v>
      </c>
      <c r="K2632" s="36"/>
      <c r="L2632" s="36"/>
      <c r="M2632" s="36"/>
      <c r="N2632" s="37" t="s">
        <v>5639</v>
      </c>
      <c r="O2632" s="37" t="s">
        <v>5640</v>
      </c>
      <c r="P2632" s="39"/>
      <c r="Q2632" s="37" t="s">
        <v>5672</v>
      </c>
      <c r="R2632" s="37" t="s">
        <v>389</v>
      </c>
      <c r="S2632" s="37" t="s">
        <v>5642</v>
      </c>
      <c r="T2632" s="31"/>
    </row>
    <row r="2633" spans="1:20" ht="15" customHeight="1">
      <c r="A2633" s="31"/>
      <c r="B2633" s="32"/>
      <c r="C2633" s="33"/>
      <c r="D2633" s="32" t="s">
        <v>5673</v>
      </c>
      <c r="E2633" s="33" t="s">
        <v>42</v>
      </c>
      <c r="F2633" s="34">
        <v>1</v>
      </c>
      <c r="G2633" s="35">
        <v>0</v>
      </c>
      <c r="H2633" s="35">
        <v>0</v>
      </c>
      <c r="I2633" s="35">
        <f>Tabla1[[#This Row],[P.U. M.N.]]*Tabla1[[#This Row],[CANTIDADES DE REFERENCIA]]</f>
        <v>0</v>
      </c>
      <c r="J2633" s="35">
        <f>Tabla1[[#This Row],[P.U. USD]]*Tabla1[[#This Row],[CANTIDADES DE REFERENCIA]]</f>
        <v>0</v>
      </c>
      <c r="K2633" s="36"/>
      <c r="L2633" s="36"/>
      <c r="M2633" s="36"/>
      <c r="N2633" s="37" t="s">
        <v>5639</v>
      </c>
      <c r="O2633" s="37" t="s">
        <v>5640</v>
      </c>
      <c r="P2633" s="39"/>
      <c r="Q2633" s="37" t="s">
        <v>5674</v>
      </c>
      <c r="R2633" s="37" t="s">
        <v>389</v>
      </c>
      <c r="S2633" s="37" t="s">
        <v>5642</v>
      </c>
      <c r="T2633" s="31"/>
    </row>
    <row r="2634" spans="1:20" ht="15" customHeight="1">
      <c r="A2634" s="31"/>
      <c r="B2634" s="32"/>
      <c r="C2634" s="33"/>
      <c r="D2634" s="32" t="s">
        <v>5675</v>
      </c>
      <c r="E2634" s="33" t="s">
        <v>42</v>
      </c>
      <c r="F2634" s="34">
        <v>1</v>
      </c>
      <c r="G2634" s="35">
        <v>0</v>
      </c>
      <c r="H2634" s="35">
        <v>0</v>
      </c>
      <c r="I2634" s="35">
        <f>Tabla1[[#This Row],[P.U. M.N.]]*Tabla1[[#This Row],[CANTIDADES DE REFERENCIA]]</f>
        <v>0</v>
      </c>
      <c r="J2634" s="35">
        <f>Tabla1[[#This Row],[P.U. USD]]*Tabla1[[#This Row],[CANTIDADES DE REFERENCIA]]</f>
        <v>0</v>
      </c>
      <c r="K2634" s="36"/>
      <c r="L2634" s="36"/>
      <c r="M2634" s="36"/>
      <c r="N2634" s="37" t="s">
        <v>5639</v>
      </c>
      <c r="O2634" s="37" t="s">
        <v>5640</v>
      </c>
      <c r="P2634" s="39"/>
      <c r="Q2634" s="37" t="s">
        <v>5676</v>
      </c>
      <c r="R2634" s="37" t="s">
        <v>389</v>
      </c>
      <c r="S2634" s="37" t="s">
        <v>5642</v>
      </c>
      <c r="T2634" s="31"/>
    </row>
    <row r="2635" spans="1:20" ht="15" customHeight="1">
      <c r="A2635" s="31"/>
      <c r="B2635" s="32"/>
      <c r="C2635" s="33"/>
      <c r="D2635" s="32" t="s">
        <v>5677</v>
      </c>
      <c r="E2635" s="33" t="s">
        <v>42</v>
      </c>
      <c r="F2635" s="34">
        <v>1</v>
      </c>
      <c r="G2635" s="35">
        <v>0</v>
      </c>
      <c r="H2635" s="35">
        <v>0</v>
      </c>
      <c r="I2635" s="35">
        <f>Tabla1[[#This Row],[P.U. M.N.]]*Tabla1[[#This Row],[CANTIDADES DE REFERENCIA]]</f>
        <v>0</v>
      </c>
      <c r="J2635" s="35">
        <f>Tabla1[[#This Row],[P.U. USD]]*Tabla1[[#This Row],[CANTIDADES DE REFERENCIA]]</f>
        <v>0</v>
      </c>
      <c r="K2635" s="36"/>
      <c r="L2635" s="36"/>
      <c r="M2635" s="36"/>
      <c r="N2635" s="37" t="s">
        <v>5639</v>
      </c>
      <c r="O2635" s="37" t="s">
        <v>5640</v>
      </c>
      <c r="P2635" s="39"/>
      <c r="Q2635" s="37" t="s">
        <v>5678</v>
      </c>
      <c r="R2635" s="37" t="s">
        <v>389</v>
      </c>
      <c r="S2635" s="37" t="s">
        <v>5642</v>
      </c>
      <c r="T2635" s="31"/>
    </row>
    <row r="2636" spans="1:20" ht="15" customHeight="1">
      <c r="A2636" s="31"/>
      <c r="B2636" s="32"/>
      <c r="C2636" s="33"/>
      <c r="D2636" s="32" t="s">
        <v>5679</v>
      </c>
      <c r="E2636" s="33" t="s">
        <v>42</v>
      </c>
      <c r="F2636" s="34">
        <v>1</v>
      </c>
      <c r="G2636" s="35">
        <v>0</v>
      </c>
      <c r="H2636" s="35">
        <v>0</v>
      </c>
      <c r="I2636" s="35">
        <f>Tabla1[[#This Row],[P.U. M.N.]]*Tabla1[[#This Row],[CANTIDADES DE REFERENCIA]]</f>
        <v>0</v>
      </c>
      <c r="J2636" s="35">
        <f>Tabla1[[#This Row],[P.U. USD]]*Tabla1[[#This Row],[CANTIDADES DE REFERENCIA]]</f>
        <v>0</v>
      </c>
      <c r="K2636" s="36"/>
      <c r="L2636" s="36"/>
      <c r="M2636" s="36"/>
      <c r="N2636" s="37" t="s">
        <v>5639</v>
      </c>
      <c r="O2636" s="37" t="s">
        <v>5640</v>
      </c>
      <c r="P2636" s="39"/>
      <c r="Q2636" s="37" t="s">
        <v>5680</v>
      </c>
      <c r="R2636" s="37" t="s">
        <v>389</v>
      </c>
      <c r="S2636" s="37" t="s">
        <v>5642</v>
      </c>
      <c r="T2636" s="31"/>
    </row>
    <row r="2637" spans="1:20">
      <c r="A2637" s="31"/>
      <c r="B2637" s="32"/>
      <c r="C2637" s="33"/>
      <c r="D2637" s="32" t="s">
        <v>5681</v>
      </c>
      <c r="E2637" s="33" t="s">
        <v>42</v>
      </c>
      <c r="F2637" s="34">
        <v>1</v>
      </c>
      <c r="G2637" s="35">
        <v>0</v>
      </c>
      <c r="H2637" s="35">
        <v>0</v>
      </c>
      <c r="I2637" s="35">
        <f>Tabla1[[#This Row],[P.U. M.N.]]*Tabla1[[#This Row],[CANTIDADES DE REFERENCIA]]</f>
        <v>0</v>
      </c>
      <c r="J2637" s="35">
        <f>Tabla1[[#This Row],[P.U. USD]]*Tabla1[[#This Row],[CANTIDADES DE REFERENCIA]]</f>
        <v>0</v>
      </c>
      <c r="K2637" s="36"/>
      <c r="L2637" s="36"/>
      <c r="M2637" s="36"/>
      <c r="N2637" s="37" t="s">
        <v>1053</v>
      </c>
      <c r="O2637" s="37" t="s">
        <v>1054</v>
      </c>
      <c r="P2637" s="39"/>
      <c r="Q2637" s="37" t="s">
        <v>5682</v>
      </c>
      <c r="R2637" s="37"/>
      <c r="S2637" s="37" t="s">
        <v>1056</v>
      </c>
      <c r="T2637" s="31"/>
    </row>
    <row r="2638" spans="1:20">
      <c r="A2638" s="31"/>
      <c r="B2638" s="32"/>
      <c r="C2638" s="33"/>
      <c r="D2638" s="32" t="s">
        <v>5683</v>
      </c>
      <c r="E2638" s="33" t="s">
        <v>42</v>
      </c>
      <c r="F2638" s="34">
        <v>1</v>
      </c>
      <c r="G2638" s="35">
        <v>0</v>
      </c>
      <c r="H2638" s="35">
        <v>0</v>
      </c>
      <c r="I2638" s="35">
        <f>Tabla1[[#This Row],[P.U. M.N.]]*Tabla1[[#This Row],[CANTIDADES DE REFERENCIA]]</f>
        <v>0</v>
      </c>
      <c r="J2638" s="35">
        <f>Tabla1[[#This Row],[P.U. USD]]*Tabla1[[#This Row],[CANTIDADES DE REFERENCIA]]</f>
        <v>0</v>
      </c>
      <c r="K2638" s="36"/>
      <c r="L2638" s="36"/>
      <c r="M2638" s="36"/>
      <c r="N2638" s="37" t="s">
        <v>1053</v>
      </c>
      <c r="O2638" s="37" t="s">
        <v>1054</v>
      </c>
      <c r="P2638" s="39"/>
      <c r="Q2638" s="37" t="s">
        <v>5684</v>
      </c>
      <c r="R2638" s="37"/>
      <c r="S2638" s="37" t="s">
        <v>1056</v>
      </c>
      <c r="T2638" s="31"/>
    </row>
    <row r="2639" spans="1:20">
      <c r="A2639" s="31"/>
      <c r="B2639" s="32"/>
      <c r="C2639" s="33"/>
      <c r="D2639" s="32" t="s">
        <v>5685</v>
      </c>
      <c r="E2639" s="33" t="s">
        <v>42</v>
      </c>
      <c r="F2639" s="34">
        <v>1</v>
      </c>
      <c r="G2639" s="35">
        <v>0</v>
      </c>
      <c r="H2639" s="35">
        <v>0</v>
      </c>
      <c r="I2639" s="35">
        <f>Tabla1[[#This Row],[P.U. M.N.]]*Tabla1[[#This Row],[CANTIDADES DE REFERENCIA]]</f>
        <v>0</v>
      </c>
      <c r="J2639" s="35">
        <f>Tabla1[[#This Row],[P.U. USD]]*Tabla1[[#This Row],[CANTIDADES DE REFERENCIA]]</f>
        <v>0</v>
      </c>
      <c r="K2639" s="36"/>
      <c r="L2639" s="36"/>
      <c r="M2639" s="36"/>
      <c r="N2639" s="37" t="s">
        <v>1053</v>
      </c>
      <c r="O2639" s="37" t="s">
        <v>1054</v>
      </c>
      <c r="P2639" s="39"/>
      <c r="Q2639" s="37" t="s">
        <v>5686</v>
      </c>
      <c r="R2639" s="37"/>
      <c r="S2639" s="37" t="s">
        <v>1056</v>
      </c>
      <c r="T2639" s="31"/>
    </row>
    <row r="2640" spans="1:20">
      <c r="A2640" s="31"/>
      <c r="B2640" s="32"/>
      <c r="C2640" s="33"/>
      <c r="D2640" s="32" t="s">
        <v>5687</v>
      </c>
      <c r="E2640" s="33" t="s">
        <v>42</v>
      </c>
      <c r="F2640" s="34">
        <v>1</v>
      </c>
      <c r="G2640" s="35">
        <v>0</v>
      </c>
      <c r="H2640" s="35">
        <v>0</v>
      </c>
      <c r="I2640" s="35">
        <f>Tabla1[[#This Row],[P.U. M.N.]]*Tabla1[[#This Row],[CANTIDADES DE REFERENCIA]]</f>
        <v>0</v>
      </c>
      <c r="J2640" s="35">
        <f>Tabla1[[#This Row],[P.U. USD]]*Tabla1[[#This Row],[CANTIDADES DE REFERENCIA]]</f>
        <v>0</v>
      </c>
      <c r="K2640" s="36"/>
      <c r="L2640" s="36"/>
      <c r="M2640" s="36"/>
      <c r="N2640" s="37" t="s">
        <v>1053</v>
      </c>
      <c r="O2640" s="37" t="s">
        <v>1054</v>
      </c>
      <c r="P2640" s="39"/>
      <c r="Q2640" s="37" t="s">
        <v>5688</v>
      </c>
      <c r="R2640" s="37"/>
      <c r="S2640" s="37" t="s">
        <v>1056</v>
      </c>
      <c r="T2640" s="31"/>
    </row>
    <row r="2641" spans="1:20">
      <c r="A2641" s="31"/>
      <c r="B2641" s="32"/>
      <c r="C2641" s="33"/>
      <c r="D2641" s="32" t="s">
        <v>5689</v>
      </c>
      <c r="E2641" s="33" t="s">
        <v>116</v>
      </c>
      <c r="F2641" s="34">
        <v>1</v>
      </c>
      <c r="G2641" s="35">
        <v>0</v>
      </c>
      <c r="H2641" s="35">
        <v>0</v>
      </c>
      <c r="I2641" s="35">
        <f>Tabla1[[#This Row],[P.U. M.N.]]*Tabla1[[#This Row],[CANTIDADES DE REFERENCIA]]</f>
        <v>0</v>
      </c>
      <c r="J2641" s="35">
        <f>Tabla1[[#This Row],[P.U. USD]]*Tabla1[[#This Row],[CANTIDADES DE REFERENCIA]]</f>
        <v>0</v>
      </c>
      <c r="K2641" s="36"/>
      <c r="L2641" s="36"/>
      <c r="M2641" s="36"/>
      <c r="N2641" s="37" t="s">
        <v>5559</v>
      </c>
      <c r="O2641" s="37" t="s">
        <v>5560</v>
      </c>
      <c r="P2641" s="39"/>
      <c r="Q2641" s="37" t="s">
        <v>5690</v>
      </c>
      <c r="R2641" s="37" t="s">
        <v>389</v>
      </c>
      <c r="S2641" s="37"/>
      <c r="T2641" s="31"/>
    </row>
    <row r="2642" spans="1:20">
      <c r="A2642" s="31"/>
      <c r="B2642" s="32"/>
      <c r="C2642" s="33"/>
      <c r="D2642" s="32" t="s">
        <v>5691</v>
      </c>
      <c r="E2642" s="33" t="s">
        <v>116</v>
      </c>
      <c r="F2642" s="34">
        <v>1</v>
      </c>
      <c r="G2642" s="35">
        <v>0</v>
      </c>
      <c r="H2642" s="35">
        <v>0</v>
      </c>
      <c r="I2642" s="35">
        <f>Tabla1[[#This Row],[P.U. M.N.]]*Tabla1[[#This Row],[CANTIDADES DE REFERENCIA]]</f>
        <v>0</v>
      </c>
      <c r="J2642" s="35">
        <f>Tabla1[[#This Row],[P.U. USD]]*Tabla1[[#This Row],[CANTIDADES DE REFERENCIA]]</f>
        <v>0</v>
      </c>
      <c r="K2642" s="36"/>
      <c r="L2642" s="36"/>
      <c r="M2642" s="36"/>
      <c r="N2642" s="37" t="s">
        <v>5567</v>
      </c>
      <c r="O2642" s="37" t="s">
        <v>5568</v>
      </c>
      <c r="P2642" s="39"/>
      <c r="Q2642" s="37" t="s">
        <v>5692</v>
      </c>
      <c r="R2642" s="37" t="s">
        <v>389</v>
      </c>
      <c r="S2642" s="37"/>
      <c r="T2642" s="31"/>
    </row>
    <row r="2643" spans="1:20">
      <c r="A2643" s="31"/>
      <c r="B2643" s="32"/>
      <c r="C2643" s="33"/>
      <c r="D2643" s="32" t="s">
        <v>5693</v>
      </c>
      <c r="E2643" s="33" t="s">
        <v>116</v>
      </c>
      <c r="F2643" s="34">
        <v>1</v>
      </c>
      <c r="G2643" s="35">
        <v>0</v>
      </c>
      <c r="H2643" s="35">
        <v>0</v>
      </c>
      <c r="I2643" s="35">
        <f>Tabla1[[#This Row],[P.U. M.N.]]*Tabla1[[#This Row],[CANTIDADES DE REFERENCIA]]</f>
        <v>0</v>
      </c>
      <c r="J2643" s="35">
        <f>Tabla1[[#This Row],[P.U. USD]]*Tabla1[[#This Row],[CANTIDADES DE REFERENCIA]]</f>
        <v>0</v>
      </c>
      <c r="K2643" s="36"/>
      <c r="L2643" s="36"/>
      <c r="M2643" s="36"/>
      <c r="N2643" s="37" t="s">
        <v>5567</v>
      </c>
      <c r="O2643" s="37" t="s">
        <v>5568</v>
      </c>
      <c r="P2643" s="39"/>
      <c r="Q2643" s="37" t="s">
        <v>5694</v>
      </c>
      <c r="R2643" s="37" t="s">
        <v>389</v>
      </c>
      <c r="S2643" s="37"/>
      <c r="T2643" s="31"/>
    </row>
    <row r="2644" spans="1:20">
      <c r="A2644" s="31"/>
      <c r="B2644" s="32"/>
      <c r="C2644" s="33"/>
      <c r="D2644" s="32" t="s">
        <v>5695</v>
      </c>
      <c r="E2644" s="33" t="s">
        <v>135</v>
      </c>
      <c r="F2644" s="34">
        <v>1</v>
      </c>
      <c r="G2644" s="35">
        <v>0</v>
      </c>
      <c r="H2644" s="35">
        <v>0</v>
      </c>
      <c r="I2644" s="35">
        <f>Tabla1[[#This Row],[P.U. M.N.]]*Tabla1[[#This Row],[CANTIDADES DE REFERENCIA]]</f>
        <v>0</v>
      </c>
      <c r="J2644" s="35">
        <f>Tabla1[[#This Row],[P.U. USD]]*Tabla1[[#This Row],[CANTIDADES DE REFERENCIA]]</f>
        <v>0</v>
      </c>
      <c r="K2644" s="36"/>
      <c r="L2644" s="36"/>
      <c r="M2644" s="36"/>
      <c r="N2644" s="37" t="s">
        <v>5696</v>
      </c>
      <c r="O2644" s="37" t="s">
        <v>5697</v>
      </c>
      <c r="P2644" s="39"/>
      <c r="Q2644" s="37" t="s">
        <v>5698</v>
      </c>
      <c r="R2644" s="37" t="s">
        <v>389</v>
      </c>
      <c r="S2644" s="37"/>
      <c r="T2644" s="31"/>
    </row>
    <row r="2645" spans="1:20">
      <c r="A2645" s="31"/>
      <c r="B2645" s="32"/>
      <c r="C2645" s="33"/>
      <c r="D2645" s="32" t="s">
        <v>5699</v>
      </c>
      <c r="E2645" s="33" t="s">
        <v>116</v>
      </c>
      <c r="F2645" s="34">
        <v>1</v>
      </c>
      <c r="G2645" s="35">
        <v>0</v>
      </c>
      <c r="H2645" s="35">
        <v>0</v>
      </c>
      <c r="I2645" s="35">
        <f>Tabla1[[#This Row],[P.U. M.N.]]*Tabla1[[#This Row],[CANTIDADES DE REFERENCIA]]</f>
        <v>0</v>
      </c>
      <c r="J2645" s="35">
        <f>Tabla1[[#This Row],[P.U. USD]]*Tabla1[[#This Row],[CANTIDADES DE REFERENCIA]]</f>
        <v>0</v>
      </c>
      <c r="K2645" s="36"/>
      <c r="L2645" s="36"/>
      <c r="M2645" s="36"/>
      <c r="N2645" s="37" t="s">
        <v>5559</v>
      </c>
      <c r="O2645" s="37" t="s">
        <v>5560</v>
      </c>
      <c r="P2645" s="39"/>
      <c r="Q2645" s="37" t="s">
        <v>5700</v>
      </c>
      <c r="R2645" s="37" t="s">
        <v>389</v>
      </c>
      <c r="S2645" s="37"/>
      <c r="T2645" s="31"/>
    </row>
    <row r="2646" spans="1:20">
      <c r="A2646" s="31"/>
      <c r="B2646" s="32"/>
      <c r="C2646" s="33"/>
      <c r="D2646" s="32" t="s">
        <v>5701</v>
      </c>
      <c r="E2646" s="33" t="s">
        <v>116</v>
      </c>
      <c r="F2646" s="34">
        <v>1</v>
      </c>
      <c r="G2646" s="35">
        <v>0</v>
      </c>
      <c r="H2646" s="35">
        <v>0</v>
      </c>
      <c r="I2646" s="35">
        <f>Tabla1[[#This Row],[P.U. M.N.]]*Tabla1[[#This Row],[CANTIDADES DE REFERENCIA]]</f>
        <v>0</v>
      </c>
      <c r="J2646" s="35">
        <f>Tabla1[[#This Row],[P.U. USD]]*Tabla1[[#This Row],[CANTIDADES DE REFERENCIA]]</f>
        <v>0</v>
      </c>
      <c r="K2646" s="36"/>
      <c r="L2646" s="36"/>
      <c r="M2646" s="36"/>
      <c r="N2646" s="37" t="s">
        <v>5559</v>
      </c>
      <c r="O2646" s="37" t="s">
        <v>5560</v>
      </c>
      <c r="P2646" s="39"/>
      <c r="Q2646" s="37" t="s">
        <v>5702</v>
      </c>
      <c r="R2646" s="37" t="s">
        <v>389</v>
      </c>
      <c r="S2646" s="37"/>
      <c r="T2646" s="31"/>
    </row>
    <row r="2647" spans="1:20">
      <c r="A2647" s="31"/>
      <c r="B2647" s="32"/>
      <c r="C2647" s="33"/>
      <c r="D2647" s="32" t="s">
        <v>5703</v>
      </c>
      <c r="E2647" s="33" t="s">
        <v>116</v>
      </c>
      <c r="F2647" s="34">
        <v>1</v>
      </c>
      <c r="G2647" s="35">
        <v>0</v>
      </c>
      <c r="H2647" s="35">
        <v>0</v>
      </c>
      <c r="I2647" s="35">
        <f>Tabla1[[#This Row],[P.U. M.N.]]*Tabla1[[#This Row],[CANTIDADES DE REFERENCIA]]</f>
        <v>0</v>
      </c>
      <c r="J2647" s="35">
        <f>Tabla1[[#This Row],[P.U. USD]]*Tabla1[[#This Row],[CANTIDADES DE REFERENCIA]]</f>
        <v>0</v>
      </c>
      <c r="K2647" s="36"/>
      <c r="L2647" s="36"/>
      <c r="M2647" s="36"/>
      <c r="N2647" s="37" t="s">
        <v>5567</v>
      </c>
      <c r="O2647" s="37" t="s">
        <v>5568</v>
      </c>
      <c r="P2647" s="39"/>
      <c r="Q2647" s="37" t="s">
        <v>5704</v>
      </c>
      <c r="R2647" s="37" t="s">
        <v>389</v>
      </c>
      <c r="S2647" s="37"/>
      <c r="T2647" s="31"/>
    </row>
    <row r="2648" spans="1:20">
      <c r="A2648" s="31"/>
      <c r="B2648" s="32"/>
      <c r="C2648" s="33"/>
      <c r="D2648" s="32" t="s">
        <v>5705</v>
      </c>
      <c r="E2648" s="33" t="s">
        <v>116</v>
      </c>
      <c r="F2648" s="34">
        <v>1</v>
      </c>
      <c r="G2648" s="35">
        <v>0</v>
      </c>
      <c r="H2648" s="35">
        <v>0</v>
      </c>
      <c r="I2648" s="35">
        <f>Tabla1[[#This Row],[P.U. M.N.]]*Tabla1[[#This Row],[CANTIDADES DE REFERENCIA]]</f>
        <v>0</v>
      </c>
      <c r="J2648" s="35">
        <f>Tabla1[[#This Row],[P.U. USD]]*Tabla1[[#This Row],[CANTIDADES DE REFERENCIA]]</f>
        <v>0</v>
      </c>
      <c r="K2648" s="36"/>
      <c r="L2648" s="36"/>
      <c r="M2648" s="36"/>
      <c r="N2648" s="37" t="s">
        <v>5567</v>
      </c>
      <c r="O2648" s="37" t="s">
        <v>5568</v>
      </c>
      <c r="P2648" s="39"/>
      <c r="Q2648" s="37" t="s">
        <v>5706</v>
      </c>
      <c r="R2648" s="37" t="s">
        <v>389</v>
      </c>
      <c r="S2648" s="37"/>
      <c r="T2648" s="31"/>
    </row>
    <row r="2649" spans="1:20">
      <c r="A2649" s="31"/>
      <c r="B2649" s="32"/>
      <c r="C2649" s="33"/>
      <c r="D2649" s="32" t="s">
        <v>5707</v>
      </c>
      <c r="E2649" s="33" t="s">
        <v>116</v>
      </c>
      <c r="F2649" s="34">
        <v>1</v>
      </c>
      <c r="G2649" s="35">
        <v>0</v>
      </c>
      <c r="H2649" s="35">
        <v>0</v>
      </c>
      <c r="I2649" s="35">
        <f>Tabla1[[#This Row],[P.U. M.N.]]*Tabla1[[#This Row],[CANTIDADES DE REFERENCIA]]</f>
        <v>0</v>
      </c>
      <c r="J2649" s="35">
        <f>Tabla1[[#This Row],[P.U. USD]]*Tabla1[[#This Row],[CANTIDADES DE REFERENCIA]]</f>
        <v>0</v>
      </c>
      <c r="K2649" s="36"/>
      <c r="L2649" s="36"/>
      <c r="M2649" s="36"/>
      <c r="N2649" s="37" t="s">
        <v>5567</v>
      </c>
      <c r="O2649" s="37" t="s">
        <v>5568</v>
      </c>
      <c r="P2649" s="39"/>
      <c r="Q2649" s="37" t="s">
        <v>5708</v>
      </c>
      <c r="R2649" s="37" t="s">
        <v>389</v>
      </c>
      <c r="S2649" s="37"/>
      <c r="T2649" s="31"/>
    </row>
    <row r="2650" spans="1:20">
      <c r="A2650" s="31"/>
      <c r="B2650" s="32"/>
      <c r="C2650" s="33"/>
      <c r="D2650" s="32" t="s">
        <v>5709</v>
      </c>
      <c r="E2650" s="33" t="s">
        <v>116</v>
      </c>
      <c r="F2650" s="34">
        <v>1</v>
      </c>
      <c r="G2650" s="35">
        <v>0</v>
      </c>
      <c r="H2650" s="35">
        <v>0</v>
      </c>
      <c r="I2650" s="35">
        <f>Tabla1[[#This Row],[P.U. M.N.]]*Tabla1[[#This Row],[CANTIDADES DE REFERENCIA]]</f>
        <v>0</v>
      </c>
      <c r="J2650" s="35">
        <f>Tabla1[[#This Row],[P.U. USD]]*Tabla1[[#This Row],[CANTIDADES DE REFERENCIA]]</f>
        <v>0</v>
      </c>
      <c r="K2650" s="36"/>
      <c r="L2650" s="36"/>
      <c r="M2650" s="36"/>
      <c r="N2650" s="37" t="s">
        <v>5567</v>
      </c>
      <c r="O2650" s="37" t="s">
        <v>5568</v>
      </c>
      <c r="P2650" s="39"/>
      <c r="Q2650" s="37" t="s">
        <v>5710</v>
      </c>
      <c r="R2650" s="37" t="s">
        <v>389</v>
      </c>
      <c r="S2650" s="37"/>
      <c r="T2650" s="31"/>
    </row>
    <row r="2651" spans="1:20">
      <c r="A2651" s="31"/>
      <c r="B2651" s="32"/>
      <c r="C2651" s="33"/>
      <c r="D2651" s="32" t="s">
        <v>5711</v>
      </c>
      <c r="E2651" s="33" t="s">
        <v>116</v>
      </c>
      <c r="F2651" s="34">
        <v>1</v>
      </c>
      <c r="G2651" s="35">
        <v>0</v>
      </c>
      <c r="H2651" s="35">
        <v>0</v>
      </c>
      <c r="I2651" s="35">
        <f>Tabla1[[#This Row],[P.U. M.N.]]*Tabla1[[#This Row],[CANTIDADES DE REFERENCIA]]</f>
        <v>0</v>
      </c>
      <c r="J2651" s="35">
        <f>Tabla1[[#This Row],[P.U. USD]]*Tabla1[[#This Row],[CANTIDADES DE REFERENCIA]]</f>
        <v>0</v>
      </c>
      <c r="K2651" s="36"/>
      <c r="L2651" s="36"/>
      <c r="M2651" s="36"/>
      <c r="N2651" s="37" t="s">
        <v>5567</v>
      </c>
      <c r="O2651" s="37" t="s">
        <v>5568</v>
      </c>
      <c r="P2651" s="39"/>
      <c r="Q2651" s="37" t="s">
        <v>5712</v>
      </c>
      <c r="R2651" s="37" t="s">
        <v>389</v>
      </c>
      <c r="S2651" s="37"/>
      <c r="T2651" s="31"/>
    </row>
    <row r="2652" spans="1:20">
      <c r="A2652" s="31"/>
      <c r="B2652" s="32"/>
      <c r="C2652" s="33"/>
      <c r="D2652" s="32" t="s">
        <v>5713</v>
      </c>
      <c r="E2652" s="33" t="s">
        <v>116</v>
      </c>
      <c r="F2652" s="34">
        <v>1</v>
      </c>
      <c r="G2652" s="35">
        <v>0</v>
      </c>
      <c r="H2652" s="35">
        <v>0</v>
      </c>
      <c r="I2652" s="35">
        <f>Tabla1[[#This Row],[P.U. M.N.]]*Tabla1[[#This Row],[CANTIDADES DE REFERENCIA]]</f>
        <v>0</v>
      </c>
      <c r="J2652" s="35">
        <f>Tabla1[[#This Row],[P.U. USD]]*Tabla1[[#This Row],[CANTIDADES DE REFERENCIA]]</f>
        <v>0</v>
      </c>
      <c r="K2652" s="36"/>
      <c r="L2652" s="36"/>
      <c r="M2652" s="36"/>
      <c r="N2652" s="37" t="s">
        <v>5567</v>
      </c>
      <c r="O2652" s="37" t="s">
        <v>5568</v>
      </c>
      <c r="P2652" s="39"/>
      <c r="Q2652" s="37" t="s">
        <v>5714</v>
      </c>
      <c r="R2652" s="37" t="s">
        <v>389</v>
      </c>
      <c r="S2652" s="37"/>
      <c r="T2652" s="31"/>
    </row>
    <row r="2653" spans="1:20">
      <c r="A2653" s="31"/>
      <c r="B2653" s="32"/>
      <c r="C2653" s="33"/>
      <c r="D2653" s="32" t="s">
        <v>5715</v>
      </c>
      <c r="E2653" s="33" t="s">
        <v>116</v>
      </c>
      <c r="F2653" s="34">
        <v>1</v>
      </c>
      <c r="G2653" s="35">
        <v>0</v>
      </c>
      <c r="H2653" s="35">
        <v>0</v>
      </c>
      <c r="I2653" s="35">
        <f>Tabla1[[#This Row],[P.U. M.N.]]*Tabla1[[#This Row],[CANTIDADES DE REFERENCIA]]</f>
        <v>0</v>
      </c>
      <c r="J2653" s="35">
        <f>Tabla1[[#This Row],[P.U. USD]]*Tabla1[[#This Row],[CANTIDADES DE REFERENCIA]]</f>
        <v>0</v>
      </c>
      <c r="K2653" s="36"/>
      <c r="L2653" s="36"/>
      <c r="M2653" s="36"/>
      <c r="N2653" s="37" t="s">
        <v>5567</v>
      </c>
      <c r="O2653" s="37" t="s">
        <v>5568</v>
      </c>
      <c r="P2653" s="39"/>
      <c r="Q2653" s="37" t="s">
        <v>5716</v>
      </c>
      <c r="R2653" s="37" t="s">
        <v>389</v>
      </c>
      <c r="S2653" s="37"/>
      <c r="T2653" s="31"/>
    </row>
    <row r="2654" spans="1:20">
      <c r="A2654" s="31"/>
      <c r="B2654" s="32"/>
      <c r="C2654" s="33"/>
      <c r="D2654" s="32" t="s">
        <v>5717</v>
      </c>
      <c r="E2654" s="33" t="s">
        <v>5151</v>
      </c>
      <c r="F2654" s="34">
        <v>1</v>
      </c>
      <c r="G2654" s="35">
        <v>0</v>
      </c>
      <c r="H2654" s="35">
        <v>0</v>
      </c>
      <c r="I2654" s="35">
        <f>Tabla1[[#This Row],[P.U. M.N.]]*Tabla1[[#This Row],[CANTIDADES DE REFERENCIA]]</f>
        <v>0</v>
      </c>
      <c r="J2654" s="35">
        <f>Tabla1[[#This Row],[P.U. USD]]*Tabla1[[#This Row],[CANTIDADES DE REFERENCIA]]</f>
        <v>0</v>
      </c>
      <c r="K2654" s="36"/>
      <c r="L2654" s="36"/>
      <c r="M2654" s="36"/>
      <c r="N2654" s="37" t="s">
        <v>5567</v>
      </c>
      <c r="O2654" s="37" t="s">
        <v>5568</v>
      </c>
      <c r="P2654" s="39"/>
      <c r="Q2654" s="37" t="s">
        <v>5718</v>
      </c>
      <c r="R2654" s="37" t="s">
        <v>389</v>
      </c>
      <c r="S2654" s="37"/>
      <c r="T2654" s="31"/>
    </row>
    <row r="2655" spans="1:20">
      <c r="A2655" s="31"/>
      <c r="B2655" s="32"/>
      <c r="C2655" s="33"/>
      <c r="D2655" s="32" t="s">
        <v>5719</v>
      </c>
      <c r="E2655" s="33" t="s">
        <v>116</v>
      </c>
      <c r="F2655" s="34">
        <v>1</v>
      </c>
      <c r="G2655" s="35">
        <v>0</v>
      </c>
      <c r="H2655" s="35">
        <v>0</v>
      </c>
      <c r="I2655" s="35">
        <f>Tabla1[[#This Row],[P.U. M.N.]]*Tabla1[[#This Row],[CANTIDADES DE REFERENCIA]]</f>
        <v>0</v>
      </c>
      <c r="J2655" s="35">
        <f>Tabla1[[#This Row],[P.U. USD]]*Tabla1[[#This Row],[CANTIDADES DE REFERENCIA]]</f>
        <v>0</v>
      </c>
      <c r="K2655" s="36"/>
      <c r="L2655" s="36"/>
      <c r="M2655" s="36"/>
      <c r="N2655" s="37" t="s">
        <v>5567</v>
      </c>
      <c r="O2655" s="37" t="s">
        <v>5568</v>
      </c>
      <c r="P2655" s="39"/>
      <c r="Q2655" s="37" t="s">
        <v>5720</v>
      </c>
      <c r="R2655" s="37" t="s">
        <v>389</v>
      </c>
      <c r="S2655" s="37"/>
      <c r="T2655" s="31"/>
    </row>
    <row r="2656" spans="1:20">
      <c r="A2656" s="31"/>
      <c r="B2656" s="32"/>
      <c r="C2656" s="33"/>
      <c r="D2656" s="32" t="s">
        <v>5721</v>
      </c>
      <c r="E2656" s="33" t="s">
        <v>116</v>
      </c>
      <c r="F2656" s="34">
        <v>1</v>
      </c>
      <c r="G2656" s="35">
        <v>0</v>
      </c>
      <c r="H2656" s="35">
        <v>0</v>
      </c>
      <c r="I2656" s="35">
        <f>Tabla1[[#This Row],[P.U. M.N.]]*Tabla1[[#This Row],[CANTIDADES DE REFERENCIA]]</f>
        <v>0</v>
      </c>
      <c r="J2656" s="35">
        <f>Tabla1[[#This Row],[P.U. USD]]*Tabla1[[#This Row],[CANTIDADES DE REFERENCIA]]</f>
        <v>0</v>
      </c>
      <c r="K2656" s="36"/>
      <c r="L2656" s="36"/>
      <c r="M2656" s="36"/>
      <c r="N2656" s="37" t="s">
        <v>5567</v>
      </c>
      <c r="O2656" s="37" t="s">
        <v>5568</v>
      </c>
      <c r="P2656" s="39"/>
      <c r="Q2656" s="37" t="s">
        <v>5722</v>
      </c>
      <c r="R2656" s="37" t="s">
        <v>389</v>
      </c>
      <c r="S2656" s="37"/>
      <c r="T2656" s="31"/>
    </row>
    <row r="2657" spans="1:20">
      <c r="A2657" s="31"/>
      <c r="B2657" s="32"/>
      <c r="C2657" s="33"/>
      <c r="D2657" s="32" t="s">
        <v>5723</v>
      </c>
      <c r="E2657" s="33" t="s">
        <v>116</v>
      </c>
      <c r="F2657" s="34">
        <v>1</v>
      </c>
      <c r="G2657" s="35">
        <v>0</v>
      </c>
      <c r="H2657" s="35">
        <v>0</v>
      </c>
      <c r="I2657" s="35">
        <f>Tabla1[[#This Row],[P.U. M.N.]]*Tabla1[[#This Row],[CANTIDADES DE REFERENCIA]]</f>
        <v>0</v>
      </c>
      <c r="J2657" s="35">
        <f>Tabla1[[#This Row],[P.U. USD]]*Tabla1[[#This Row],[CANTIDADES DE REFERENCIA]]</f>
        <v>0</v>
      </c>
      <c r="K2657" s="36"/>
      <c r="L2657" s="36"/>
      <c r="M2657" s="36"/>
      <c r="N2657" s="37" t="s">
        <v>5567</v>
      </c>
      <c r="O2657" s="37" t="s">
        <v>5568</v>
      </c>
      <c r="P2657" s="39"/>
      <c r="Q2657" s="37" t="s">
        <v>5724</v>
      </c>
      <c r="R2657" s="37" t="s">
        <v>389</v>
      </c>
      <c r="S2657" s="37"/>
      <c r="T2657" s="31"/>
    </row>
    <row r="2658" spans="1:20">
      <c r="A2658" s="31"/>
      <c r="B2658" s="32"/>
      <c r="C2658" s="33"/>
      <c r="D2658" s="32" t="s">
        <v>5725</v>
      </c>
      <c r="E2658" s="33" t="s">
        <v>116</v>
      </c>
      <c r="F2658" s="34">
        <v>1</v>
      </c>
      <c r="G2658" s="35">
        <v>0</v>
      </c>
      <c r="H2658" s="35">
        <v>0</v>
      </c>
      <c r="I2658" s="35">
        <f>Tabla1[[#This Row],[P.U. M.N.]]*Tabla1[[#This Row],[CANTIDADES DE REFERENCIA]]</f>
        <v>0</v>
      </c>
      <c r="J2658" s="35">
        <f>Tabla1[[#This Row],[P.U. USD]]*Tabla1[[#This Row],[CANTIDADES DE REFERENCIA]]</f>
        <v>0</v>
      </c>
      <c r="K2658" s="36"/>
      <c r="L2658" s="36"/>
      <c r="M2658" s="36"/>
      <c r="N2658" s="37" t="s">
        <v>5567</v>
      </c>
      <c r="O2658" s="37" t="s">
        <v>5568</v>
      </c>
      <c r="P2658" s="39"/>
      <c r="Q2658" s="37" t="s">
        <v>5726</v>
      </c>
      <c r="R2658" s="37" t="s">
        <v>389</v>
      </c>
      <c r="S2658" s="37"/>
      <c r="T2658" s="31"/>
    </row>
    <row r="2659" spans="1:20" s="23" customFormat="1">
      <c r="A2659" s="31"/>
      <c r="B2659" s="32"/>
      <c r="C2659" s="33"/>
      <c r="D2659" s="32" t="s">
        <v>5725</v>
      </c>
      <c r="E2659" s="33" t="s">
        <v>116</v>
      </c>
      <c r="F2659" s="34">
        <v>1</v>
      </c>
      <c r="G2659" s="35">
        <v>0</v>
      </c>
      <c r="H2659" s="35">
        <v>0</v>
      </c>
      <c r="I2659" s="35">
        <f>Tabla1[[#This Row],[P.U. M.N.]]*Tabla1[[#This Row],[CANTIDADES DE REFERENCIA]]</f>
        <v>0</v>
      </c>
      <c r="J2659" s="35">
        <f>Tabla1[[#This Row],[P.U. USD]]*Tabla1[[#This Row],[CANTIDADES DE REFERENCIA]]</f>
        <v>0</v>
      </c>
      <c r="K2659" s="36"/>
      <c r="L2659" s="36"/>
      <c r="M2659" s="36"/>
      <c r="N2659" s="37"/>
      <c r="O2659" s="37"/>
      <c r="P2659" s="40"/>
      <c r="Q2659" s="37" t="s">
        <v>5727</v>
      </c>
      <c r="R2659" s="37" t="s">
        <v>58</v>
      </c>
      <c r="S2659" s="37"/>
      <c r="T2659" s="31"/>
    </row>
    <row r="2660" spans="1:20">
      <c r="A2660" s="31"/>
      <c r="B2660" s="32"/>
      <c r="C2660" s="33"/>
      <c r="D2660" s="32" t="s">
        <v>5728</v>
      </c>
      <c r="E2660" s="33" t="s">
        <v>116</v>
      </c>
      <c r="F2660" s="34">
        <v>1</v>
      </c>
      <c r="G2660" s="35">
        <v>0</v>
      </c>
      <c r="H2660" s="35">
        <v>0</v>
      </c>
      <c r="I2660" s="35">
        <f>Tabla1[[#This Row],[P.U. M.N.]]*Tabla1[[#This Row],[CANTIDADES DE REFERENCIA]]</f>
        <v>0</v>
      </c>
      <c r="J2660" s="35">
        <f>Tabla1[[#This Row],[P.U. USD]]*Tabla1[[#This Row],[CANTIDADES DE REFERENCIA]]</f>
        <v>0</v>
      </c>
      <c r="K2660" s="36"/>
      <c r="L2660" s="36"/>
      <c r="M2660" s="36"/>
      <c r="N2660" s="37"/>
      <c r="O2660" s="37"/>
      <c r="P2660" s="39"/>
      <c r="Q2660" s="37" t="s">
        <v>5729</v>
      </c>
      <c r="R2660" s="37" t="s">
        <v>389</v>
      </c>
      <c r="S2660" s="37"/>
      <c r="T2660" s="31"/>
    </row>
    <row r="2661" spans="1:20">
      <c r="A2661" s="31"/>
      <c r="B2661" s="32"/>
      <c r="C2661" s="33"/>
      <c r="D2661" s="32" t="s">
        <v>5730</v>
      </c>
      <c r="E2661" s="33" t="s">
        <v>1058</v>
      </c>
      <c r="F2661" s="34">
        <v>1</v>
      </c>
      <c r="G2661" s="35">
        <v>0</v>
      </c>
      <c r="H2661" s="35">
        <v>0</v>
      </c>
      <c r="I2661" s="35">
        <f>Tabla1[[#This Row],[P.U. M.N.]]*Tabla1[[#This Row],[CANTIDADES DE REFERENCIA]]</f>
        <v>0</v>
      </c>
      <c r="J2661" s="35">
        <f>Tabla1[[#This Row],[P.U. USD]]*Tabla1[[#This Row],[CANTIDADES DE REFERENCIA]]</f>
        <v>0</v>
      </c>
      <c r="K2661" s="36"/>
      <c r="L2661" s="36"/>
      <c r="M2661" s="36"/>
      <c r="N2661" s="37" t="s">
        <v>5731</v>
      </c>
      <c r="O2661" s="37" t="s">
        <v>5732</v>
      </c>
      <c r="P2661" s="39"/>
      <c r="Q2661" s="37" t="s">
        <v>5733</v>
      </c>
      <c r="R2661" s="37" t="s">
        <v>389</v>
      </c>
      <c r="S2661" s="37"/>
      <c r="T2661" s="31"/>
    </row>
    <row r="2662" spans="1:20">
      <c r="A2662" s="31"/>
      <c r="B2662" s="32"/>
      <c r="C2662" s="33"/>
      <c r="D2662" s="32" t="s">
        <v>5734</v>
      </c>
      <c r="E2662" s="33" t="s">
        <v>116</v>
      </c>
      <c r="F2662" s="34">
        <v>1</v>
      </c>
      <c r="G2662" s="35">
        <v>0</v>
      </c>
      <c r="H2662" s="35">
        <v>0</v>
      </c>
      <c r="I2662" s="35">
        <f>Tabla1[[#This Row],[P.U. M.N.]]*Tabla1[[#This Row],[CANTIDADES DE REFERENCIA]]</f>
        <v>0</v>
      </c>
      <c r="J2662" s="35">
        <f>Tabla1[[#This Row],[P.U. USD]]*Tabla1[[#This Row],[CANTIDADES DE REFERENCIA]]</f>
        <v>0</v>
      </c>
      <c r="K2662" s="36"/>
      <c r="L2662" s="36"/>
      <c r="M2662" s="36"/>
      <c r="N2662" s="37" t="s">
        <v>5735</v>
      </c>
      <c r="O2662" s="37" t="s">
        <v>5736</v>
      </c>
      <c r="P2662" s="39"/>
      <c r="Q2662" s="37" t="s">
        <v>5737</v>
      </c>
      <c r="R2662" s="37" t="s">
        <v>389</v>
      </c>
      <c r="S2662" s="37"/>
      <c r="T2662" s="31"/>
    </row>
    <row r="2663" spans="1:20">
      <c r="A2663" s="31"/>
      <c r="B2663" s="32"/>
      <c r="C2663" s="33"/>
      <c r="D2663" s="32" t="s">
        <v>5738</v>
      </c>
      <c r="E2663" s="33" t="s">
        <v>61</v>
      </c>
      <c r="F2663" s="34">
        <v>1</v>
      </c>
      <c r="G2663" s="35">
        <v>0</v>
      </c>
      <c r="H2663" s="35">
        <v>0</v>
      </c>
      <c r="I2663" s="35">
        <f>Tabla1[[#This Row],[P.U. M.N.]]*Tabla1[[#This Row],[CANTIDADES DE REFERENCIA]]</f>
        <v>0</v>
      </c>
      <c r="J2663" s="35">
        <f>Tabla1[[#This Row],[P.U. USD]]*Tabla1[[#This Row],[CANTIDADES DE REFERENCIA]]</f>
        <v>0</v>
      </c>
      <c r="K2663" s="36"/>
      <c r="L2663" s="36"/>
      <c r="M2663" s="36"/>
      <c r="N2663" s="37" t="s">
        <v>889</v>
      </c>
      <c r="O2663" s="37" t="s">
        <v>890</v>
      </c>
      <c r="P2663" s="39"/>
      <c r="Q2663" s="37" t="s">
        <v>5739</v>
      </c>
      <c r="R2663" s="37" t="s">
        <v>389</v>
      </c>
      <c r="S2663" s="37"/>
      <c r="T2663" s="31"/>
    </row>
    <row r="2664" spans="1:20">
      <c r="A2664" s="31"/>
      <c r="B2664" s="32"/>
      <c r="C2664" s="33"/>
      <c r="D2664" s="32" t="s">
        <v>5740</v>
      </c>
      <c r="E2664" s="33" t="s">
        <v>116</v>
      </c>
      <c r="F2664" s="34">
        <v>1</v>
      </c>
      <c r="G2664" s="35">
        <v>0</v>
      </c>
      <c r="H2664" s="35">
        <v>0</v>
      </c>
      <c r="I2664" s="35">
        <f>Tabla1[[#This Row],[P.U. M.N.]]*Tabla1[[#This Row],[CANTIDADES DE REFERENCIA]]</f>
        <v>0</v>
      </c>
      <c r="J2664" s="35">
        <f>Tabla1[[#This Row],[P.U. USD]]*Tabla1[[#This Row],[CANTIDADES DE REFERENCIA]]</f>
        <v>0</v>
      </c>
      <c r="K2664" s="36"/>
      <c r="L2664" s="36"/>
      <c r="M2664" s="36"/>
      <c r="N2664" s="37" t="s">
        <v>889</v>
      </c>
      <c r="O2664" s="37" t="s">
        <v>890</v>
      </c>
      <c r="P2664" s="39"/>
      <c r="Q2664" s="37" t="s">
        <v>5741</v>
      </c>
      <c r="R2664" s="37" t="s">
        <v>389</v>
      </c>
      <c r="S2664" s="37"/>
      <c r="T2664" s="31"/>
    </row>
    <row r="2665" spans="1:20">
      <c r="A2665" s="31"/>
      <c r="B2665" s="32"/>
      <c r="C2665" s="33"/>
      <c r="D2665" s="32" t="s">
        <v>5742</v>
      </c>
      <c r="E2665" s="33" t="s">
        <v>116</v>
      </c>
      <c r="F2665" s="34">
        <v>1</v>
      </c>
      <c r="G2665" s="35">
        <v>0</v>
      </c>
      <c r="H2665" s="35">
        <v>0</v>
      </c>
      <c r="I2665" s="35">
        <f>Tabla1[[#This Row],[P.U. M.N.]]*Tabla1[[#This Row],[CANTIDADES DE REFERENCIA]]</f>
        <v>0</v>
      </c>
      <c r="J2665" s="35">
        <f>Tabla1[[#This Row],[P.U. USD]]*Tabla1[[#This Row],[CANTIDADES DE REFERENCIA]]</f>
        <v>0</v>
      </c>
      <c r="K2665" s="36"/>
      <c r="L2665" s="36"/>
      <c r="M2665" s="36"/>
      <c r="N2665" s="37" t="s">
        <v>5743</v>
      </c>
      <c r="O2665" s="37" t="s">
        <v>5744</v>
      </c>
      <c r="P2665" s="39"/>
      <c r="Q2665" s="37" t="s">
        <v>5745</v>
      </c>
      <c r="R2665" s="37" t="s">
        <v>389</v>
      </c>
      <c r="S2665" s="37"/>
      <c r="T2665" s="31"/>
    </row>
    <row r="2666" spans="1:20">
      <c r="A2666" s="31"/>
      <c r="B2666" s="32"/>
      <c r="C2666" s="33"/>
      <c r="D2666" s="32" t="s">
        <v>5746</v>
      </c>
      <c r="E2666" s="33" t="s">
        <v>116</v>
      </c>
      <c r="F2666" s="34">
        <v>1</v>
      </c>
      <c r="G2666" s="35">
        <v>0</v>
      </c>
      <c r="H2666" s="35">
        <v>0</v>
      </c>
      <c r="I2666" s="35">
        <f>Tabla1[[#This Row],[P.U. M.N.]]*Tabla1[[#This Row],[CANTIDADES DE REFERENCIA]]</f>
        <v>0</v>
      </c>
      <c r="J2666" s="35">
        <f>Tabla1[[#This Row],[P.U. USD]]*Tabla1[[#This Row],[CANTIDADES DE REFERENCIA]]</f>
        <v>0</v>
      </c>
      <c r="K2666" s="36"/>
      <c r="L2666" s="36"/>
      <c r="M2666" s="36"/>
      <c r="N2666" s="37" t="s">
        <v>889</v>
      </c>
      <c r="O2666" s="37" t="s">
        <v>890</v>
      </c>
      <c r="P2666" s="39"/>
      <c r="Q2666" s="37" t="s">
        <v>5747</v>
      </c>
      <c r="R2666" s="37" t="s">
        <v>389</v>
      </c>
      <c r="S2666" s="37"/>
      <c r="T2666" s="31"/>
    </row>
    <row r="2667" spans="1:20">
      <c r="A2667" s="31"/>
      <c r="B2667" s="32"/>
      <c r="C2667" s="33"/>
      <c r="D2667" s="32" t="s">
        <v>5748</v>
      </c>
      <c r="E2667" s="33" t="s">
        <v>116</v>
      </c>
      <c r="F2667" s="34">
        <v>1</v>
      </c>
      <c r="G2667" s="35">
        <v>0</v>
      </c>
      <c r="H2667" s="35">
        <v>0</v>
      </c>
      <c r="I2667" s="35">
        <f>Tabla1[[#This Row],[P.U. M.N.]]*Tabla1[[#This Row],[CANTIDADES DE REFERENCIA]]</f>
        <v>0</v>
      </c>
      <c r="J2667" s="35">
        <f>Tabla1[[#This Row],[P.U. USD]]*Tabla1[[#This Row],[CANTIDADES DE REFERENCIA]]</f>
        <v>0</v>
      </c>
      <c r="K2667" s="36"/>
      <c r="L2667" s="36"/>
      <c r="M2667" s="36"/>
      <c r="N2667" s="37" t="s">
        <v>889</v>
      </c>
      <c r="O2667" s="37" t="s">
        <v>890</v>
      </c>
      <c r="P2667" s="39"/>
      <c r="Q2667" s="37" t="s">
        <v>5749</v>
      </c>
      <c r="R2667" s="37" t="s">
        <v>389</v>
      </c>
      <c r="S2667" s="37"/>
      <c r="T2667" s="31"/>
    </row>
    <row r="2668" spans="1:20">
      <c r="A2668" s="31"/>
      <c r="B2668" s="32"/>
      <c r="C2668" s="33"/>
      <c r="D2668" s="32" t="s">
        <v>5750</v>
      </c>
      <c r="E2668" s="33" t="s">
        <v>116</v>
      </c>
      <c r="F2668" s="34">
        <v>1</v>
      </c>
      <c r="G2668" s="35">
        <v>0</v>
      </c>
      <c r="H2668" s="35">
        <v>0</v>
      </c>
      <c r="I2668" s="35">
        <f>Tabla1[[#This Row],[P.U. M.N.]]*Tabla1[[#This Row],[CANTIDADES DE REFERENCIA]]</f>
        <v>0</v>
      </c>
      <c r="J2668" s="35">
        <f>Tabla1[[#This Row],[P.U. USD]]*Tabla1[[#This Row],[CANTIDADES DE REFERENCIA]]</f>
        <v>0</v>
      </c>
      <c r="K2668" s="36"/>
      <c r="L2668" s="36"/>
      <c r="M2668" s="36"/>
      <c r="N2668" s="37" t="s">
        <v>889</v>
      </c>
      <c r="O2668" s="37" t="s">
        <v>890</v>
      </c>
      <c r="P2668" s="39"/>
      <c r="Q2668" s="37" t="s">
        <v>5751</v>
      </c>
      <c r="R2668" s="37" t="s">
        <v>389</v>
      </c>
      <c r="S2668" s="37"/>
      <c r="T2668" s="31"/>
    </row>
    <row r="2669" spans="1:20">
      <c r="A2669" s="31"/>
      <c r="B2669" s="32"/>
      <c r="C2669" s="33"/>
      <c r="D2669" s="32" t="s">
        <v>5752</v>
      </c>
      <c r="E2669" s="33" t="s">
        <v>116</v>
      </c>
      <c r="F2669" s="34">
        <v>1</v>
      </c>
      <c r="G2669" s="35">
        <v>0</v>
      </c>
      <c r="H2669" s="35">
        <v>0</v>
      </c>
      <c r="I2669" s="35">
        <f>Tabla1[[#This Row],[P.U. M.N.]]*Tabla1[[#This Row],[CANTIDADES DE REFERENCIA]]</f>
        <v>0</v>
      </c>
      <c r="J2669" s="35">
        <f>Tabla1[[#This Row],[P.U. USD]]*Tabla1[[#This Row],[CANTIDADES DE REFERENCIA]]</f>
        <v>0</v>
      </c>
      <c r="K2669" s="36"/>
      <c r="L2669" s="36"/>
      <c r="M2669" s="36"/>
      <c r="N2669" s="37" t="s">
        <v>889</v>
      </c>
      <c r="O2669" s="37" t="s">
        <v>890</v>
      </c>
      <c r="P2669" s="39"/>
      <c r="Q2669" s="37" t="s">
        <v>5753</v>
      </c>
      <c r="R2669" s="37" t="s">
        <v>389</v>
      </c>
      <c r="S2669" s="37"/>
      <c r="T2669" s="31"/>
    </row>
    <row r="2670" spans="1:20">
      <c r="A2670" s="31"/>
      <c r="B2670" s="32"/>
      <c r="C2670" s="33"/>
      <c r="D2670" s="32" t="s">
        <v>5754</v>
      </c>
      <c r="E2670" s="33" t="s">
        <v>116</v>
      </c>
      <c r="F2670" s="34">
        <v>1</v>
      </c>
      <c r="G2670" s="35">
        <v>0</v>
      </c>
      <c r="H2670" s="35">
        <v>0</v>
      </c>
      <c r="I2670" s="35">
        <f>Tabla1[[#This Row],[P.U. M.N.]]*Tabla1[[#This Row],[CANTIDADES DE REFERENCIA]]</f>
        <v>0</v>
      </c>
      <c r="J2670" s="35">
        <f>Tabla1[[#This Row],[P.U. USD]]*Tabla1[[#This Row],[CANTIDADES DE REFERENCIA]]</f>
        <v>0</v>
      </c>
      <c r="K2670" s="36"/>
      <c r="L2670" s="36"/>
      <c r="M2670" s="36"/>
      <c r="N2670" s="37" t="s">
        <v>5731</v>
      </c>
      <c r="O2670" s="37" t="s">
        <v>5732</v>
      </c>
      <c r="P2670" s="39"/>
      <c r="Q2670" s="37" t="s">
        <v>5755</v>
      </c>
      <c r="R2670" s="37" t="s">
        <v>389</v>
      </c>
      <c r="S2670" s="37"/>
      <c r="T2670" s="31"/>
    </row>
    <row r="2671" spans="1:20" ht="15" customHeight="1">
      <c r="A2671" s="31"/>
      <c r="B2671" s="32"/>
      <c r="C2671" s="33"/>
      <c r="D2671" s="32" t="s">
        <v>5756</v>
      </c>
      <c r="E2671" s="33" t="s">
        <v>116</v>
      </c>
      <c r="F2671" s="34">
        <v>1</v>
      </c>
      <c r="G2671" s="35">
        <v>0</v>
      </c>
      <c r="H2671" s="35">
        <v>0</v>
      </c>
      <c r="I2671" s="35">
        <f>Tabla1[[#This Row],[P.U. M.N.]]*Tabla1[[#This Row],[CANTIDADES DE REFERENCIA]]</f>
        <v>0</v>
      </c>
      <c r="J2671" s="35">
        <f>Tabla1[[#This Row],[P.U. USD]]*Tabla1[[#This Row],[CANTIDADES DE REFERENCIA]]</f>
        <v>0</v>
      </c>
      <c r="K2671" s="36"/>
      <c r="L2671" s="36"/>
      <c r="M2671" s="36"/>
      <c r="N2671" s="37" t="s">
        <v>5731</v>
      </c>
      <c r="O2671" s="37" t="s">
        <v>5732</v>
      </c>
      <c r="P2671" s="39"/>
      <c r="Q2671" s="37" t="s">
        <v>5757</v>
      </c>
      <c r="R2671" s="37" t="s">
        <v>389</v>
      </c>
      <c r="S2671" s="37"/>
      <c r="T2671" s="31"/>
    </row>
    <row r="2672" spans="1:20" ht="15" customHeight="1">
      <c r="A2672" s="31"/>
      <c r="B2672" s="32"/>
      <c r="C2672" s="33"/>
      <c r="D2672" s="32" t="s">
        <v>5758</v>
      </c>
      <c r="E2672" s="33" t="s">
        <v>116</v>
      </c>
      <c r="F2672" s="34">
        <v>1</v>
      </c>
      <c r="G2672" s="35">
        <v>0</v>
      </c>
      <c r="H2672" s="35">
        <v>0</v>
      </c>
      <c r="I2672" s="35">
        <f>Tabla1[[#This Row],[P.U. M.N.]]*Tabla1[[#This Row],[CANTIDADES DE REFERENCIA]]</f>
        <v>0</v>
      </c>
      <c r="J2672" s="35">
        <f>Tabla1[[#This Row],[P.U. USD]]*Tabla1[[#This Row],[CANTIDADES DE REFERENCIA]]</f>
        <v>0</v>
      </c>
      <c r="K2672" s="36"/>
      <c r="L2672" s="36"/>
      <c r="M2672" s="36"/>
      <c r="N2672" s="37" t="s">
        <v>5731</v>
      </c>
      <c r="O2672" s="37" t="s">
        <v>5732</v>
      </c>
      <c r="P2672" s="39"/>
      <c r="Q2672" s="37" t="s">
        <v>5759</v>
      </c>
      <c r="R2672" s="37" t="s">
        <v>389</v>
      </c>
      <c r="S2672" s="37"/>
      <c r="T2672" s="31"/>
    </row>
    <row r="2673" spans="1:20" ht="15" customHeight="1">
      <c r="A2673" s="31"/>
      <c r="B2673" s="32"/>
      <c r="C2673" s="33"/>
      <c r="D2673" s="32" t="s">
        <v>5760</v>
      </c>
      <c r="E2673" s="33" t="s">
        <v>116</v>
      </c>
      <c r="F2673" s="34">
        <v>1</v>
      </c>
      <c r="G2673" s="35">
        <v>0</v>
      </c>
      <c r="H2673" s="35">
        <v>0</v>
      </c>
      <c r="I2673" s="35">
        <f>Tabla1[[#This Row],[P.U. M.N.]]*Tabla1[[#This Row],[CANTIDADES DE REFERENCIA]]</f>
        <v>0</v>
      </c>
      <c r="J2673" s="35">
        <f>Tabla1[[#This Row],[P.U. USD]]*Tabla1[[#This Row],[CANTIDADES DE REFERENCIA]]</f>
        <v>0</v>
      </c>
      <c r="K2673" s="36"/>
      <c r="L2673" s="36"/>
      <c r="M2673" s="36"/>
      <c r="N2673" s="37" t="s">
        <v>5731</v>
      </c>
      <c r="O2673" s="37" t="s">
        <v>5732</v>
      </c>
      <c r="P2673" s="39"/>
      <c r="Q2673" s="37" t="s">
        <v>5761</v>
      </c>
      <c r="R2673" s="37" t="s">
        <v>389</v>
      </c>
      <c r="S2673" s="37"/>
      <c r="T2673" s="31"/>
    </row>
    <row r="2674" spans="1:20" ht="15" customHeight="1">
      <c r="A2674" s="31"/>
      <c r="B2674" s="32"/>
      <c r="C2674" s="33"/>
      <c r="D2674" s="32" t="s">
        <v>5762</v>
      </c>
      <c r="E2674" s="33" t="s">
        <v>116</v>
      </c>
      <c r="F2674" s="34">
        <v>1</v>
      </c>
      <c r="G2674" s="35">
        <v>0</v>
      </c>
      <c r="H2674" s="35">
        <v>0</v>
      </c>
      <c r="I2674" s="35">
        <f>Tabla1[[#This Row],[P.U. M.N.]]*Tabla1[[#This Row],[CANTIDADES DE REFERENCIA]]</f>
        <v>0</v>
      </c>
      <c r="J2674" s="35">
        <f>Tabla1[[#This Row],[P.U. USD]]*Tabla1[[#This Row],[CANTIDADES DE REFERENCIA]]</f>
        <v>0</v>
      </c>
      <c r="K2674" s="36"/>
      <c r="L2674" s="36"/>
      <c r="M2674" s="36"/>
      <c r="N2674" s="37" t="s">
        <v>5731</v>
      </c>
      <c r="O2674" s="37" t="s">
        <v>5732</v>
      </c>
      <c r="P2674" s="39"/>
      <c r="Q2674" s="37" t="s">
        <v>5763</v>
      </c>
      <c r="R2674" s="37" t="s">
        <v>389</v>
      </c>
      <c r="S2674" s="37"/>
      <c r="T2674" s="31"/>
    </row>
    <row r="2675" spans="1:20" ht="15" customHeight="1">
      <c r="A2675" s="31"/>
      <c r="B2675" s="32"/>
      <c r="C2675" s="33"/>
      <c r="D2675" s="32" t="s">
        <v>5764</v>
      </c>
      <c r="E2675" s="33" t="s">
        <v>116</v>
      </c>
      <c r="F2675" s="34">
        <v>1</v>
      </c>
      <c r="G2675" s="35">
        <v>0</v>
      </c>
      <c r="H2675" s="35">
        <v>0</v>
      </c>
      <c r="I2675" s="35">
        <f>Tabla1[[#This Row],[P.U. M.N.]]*Tabla1[[#This Row],[CANTIDADES DE REFERENCIA]]</f>
        <v>0</v>
      </c>
      <c r="J2675" s="35">
        <f>Tabla1[[#This Row],[P.U. USD]]*Tabla1[[#This Row],[CANTIDADES DE REFERENCIA]]</f>
        <v>0</v>
      </c>
      <c r="K2675" s="36"/>
      <c r="L2675" s="36"/>
      <c r="M2675" s="36"/>
      <c r="N2675" s="37" t="s">
        <v>5731</v>
      </c>
      <c r="O2675" s="37" t="s">
        <v>5732</v>
      </c>
      <c r="P2675" s="39"/>
      <c r="Q2675" s="37" t="s">
        <v>5765</v>
      </c>
      <c r="R2675" s="37" t="s">
        <v>389</v>
      </c>
      <c r="S2675" s="37"/>
      <c r="T2675" s="31"/>
    </row>
    <row r="2676" spans="1:20" ht="15" customHeight="1">
      <c r="A2676" s="31"/>
      <c r="B2676" s="32"/>
      <c r="C2676" s="33"/>
      <c r="D2676" s="32" t="s">
        <v>5766</v>
      </c>
      <c r="E2676" s="33" t="s">
        <v>116</v>
      </c>
      <c r="F2676" s="34">
        <v>1</v>
      </c>
      <c r="G2676" s="35">
        <v>0</v>
      </c>
      <c r="H2676" s="35">
        <v>0</v>
      </c>
      <c r="I2676" s="35">
        <f>Tabla1[[#This Row],[P.U. M.N.]]*Tabla1[[#This Row],[CANTIDADES DE REFERENCIA]]</f>
        <v>0</v>
      </c>
      <c r="J2676" s="35">
        <f>Tabla1[[#This Row],[P.U. USD]]*Tabla1[[#This Row],[CANTIDADES DE REFERENCIA]]</f>
        <v>0</v>
      </c>
      <c r="K2676" s="36"/>
      <c r="L2676" s="36"/>
      <c r="M2676" s="36"/>
      <c r="N2676" s="37" t="s">
        <v>5731</v>
      </c>
      <c r="O2676" s="37" t="s">
        <v>5732</v>
      </c>
      <c r="P2676" s="39"/>
      <c r="Q2676" s="37" t="s">
        <v>5767</v>
      </c>
      <c r="R2676" s="37" t="s">
        <v>389</v>
      </c>
      <c r="S2676" s="37"/>
      <c r="T2676" s="31"/>
    </row>
    <row r="2677" spans="1:20" ht="15" customHeight="1">
      <c r="A2677" s="31"/>
      <c r="B2677" s="32"/>
      <c r="C2677" s="33"/>
      <c r="D2677" s="32" t="s">
        <v>5768</v>
      </c>
      <c r="E2677" s="33" t="s">
        <v>116</v>
      </c>
      <c r="F2677" s="34">
        <v>1</v>
      </c>
      <c r="G2677" s="35">
        <v>0</v>
      </c>
      <c r="H2677" s="35">
        <v>0</v>
      </c>
      <c r="I2677" s="35">
        <f>Tabla1[[#This Row],[P.U. M.N.]]*Tabla1[[#This Row],[CANTIDADES DE REFERENCIA]]</f>
        <v>0</v>
      </c>
      <c r="J2677" s="35">
        <f>Tabla1[[#This Row],[P.U. USD]]*Tabla1[[#This Row],[CANTIDADES DE REFERENCIA]]</f>
        <v>0</v>
      </c>
      <c r="K2677" s="36"/>
      <c r="L2677" s="36"/>
      <c r="M2677" s="36"/>
      <c r="N2677" s="37" t="s">
        <v>5731</v>
      </c>
      <c r="O2677" s="37" t="s">
        <v>5732</v>
      </c>
      <c r="P2677" s="39"/>
      <c r="Q2677" s="37" t="s">
        <v>5769</v>
      </c>
      <c r="R2677" s="37" t="s">
        <v>389</v>
      </c>
      <c r="S2677" s="37"/>
      <c r="T2677" s="31"/>
    </row>
    <row r="2678" spans="1:20" ht="15" customHeight="1">
      <c r="A2678" s="31"/>
      <c r="B2678" s="32"/>
      <c r="C2678" s="33"/>
      <c r="D2678" s="32" t="s">
        <v>5770</v>
      </c>
      <c r="E2678" s="33" t="s">
        <v>116</v>
      </c>
      <c r="F2678" s="34">
        <v>1</v>
      </c>
      <c r="G2678" s="35">
        <v>0</v>
      </c>
      <c r="H2678" s="35">
        <v>0</v>
      </c>
      <c r="I2678" s="35">
        <f>Tabla1[[#This Row],[P.U. M.N.]]*Tabla1[[#This Row],[CANTIDADES DE REFERENCIA]]</f>
        <v>0</v>
      </c>
      <c r="J2678" s="35">
        <f>Tabla1[[#This Row],[P.U. USD]]*Tabla1[[#This Row],[CANTIDADES DE REFERENCIA]]</f>
        <v>0</v>
      </c>
      <c r="K2678" s="36"/>
      <c r="L2678" s="36"/>
      <c r="M2678" s="36"/>
      <c r="N2678" s="37" t="s">
        <v>5731</v>
      </c>
      <c r="O2678" s="37" t="s">
        <v>5732</v>
      </c>
      <c r="P2678" s="39"/>
      <c r="Q2678" s="37" t="s">
        <v>5771</v>
      </c>
      <c r="R2678" s="37" t="s">
        <v>389</v>
      </c>
      <c r="S2678" s="37"/>
      <c r="T2678" s="31"/>
    </row>
    <row r="2679" spans="1:20" ht="15" customHeight="1">
      <c r="A2679" s="31"/>
      <c r="B2679" s="32"/>
      <c r="C2679" s="33"/>
      <c r="D2679" s="32" t="s">
        <v>5772</v>
      </c>
      <c r="E2679" s="33" t="s">
        <v>116</v>
      </c>
      <c r="F2679" s="34">
        <v>1</v>
      </c>
      <c r="G2679" s="35">
        <v>0</v>
      </c>
      <c r="H2679" s="35">
        <v>0</v>
      </c>
      <c r="I2679" s="35">
        <f>Tabla1[[#This Row],[P.U. M.N.]]*Tabla1[[#This Row],[CANTIDADES DE REFERENCIA]]</f>
        <v>0</v>
      </c>
      <c r="J2679" s="35">
        <f>Tabla1[[#This Row],[P.U. USD]]*Tabla1[[#This Row],[CANTIDADES DE REFERENCIA]]</f>
        <v>0</v>
      </c>
      <c r="K2679" s="36"/>
      <c r="L2679" s="36"/>
      <c r="M2679" s="36"/>
      <c r="N2679" s="37" t="s">
        <v>5731</v>
      </c>
      <c r="O2679" s="37" t="s">
        <v>5732</v>
      </c>
      <c r="P2679" s="39"/>
      <c r="Q2679" s="37" t="s">
        <v>5773</v>
      </c>
      <c r="R2679" s="37" t="s">
        <v>389</v>
      </c>
      <c r="S2679" s="37"/>
      <c r="T2679" s="31"/>
    </row>
    <row r="2680" spans="1:20" ht="15" customHeight="1">
      <c r="A2680" s="31"/>
      <c r="B2680" s="32"/>
      <c r="C2680" s="33"/>
      <c r="D2680" s="32" t="s">
        <v>5774</v>
      </c>
      <c r="E2680" s="33" t="s">
        <v>116</v>
      </c>
      <c r="F2680" s="34">
        <v>1</v>
      </c>
      <c r="G2680" s="35">
        <v>0</v>
      </c>
      <c r="H2680" s="35">
        <v>0</v>
      </c>
      <c r="I2680" s="35">
        <f>Tabla1[[#This Row],[P.U. M.N.]]*Tabla1[[#This Row],[CANTIDADES DE REFERENCIA]]</f>
        <v>0</v>
      </c>
      <c r="J2680" s="35">
        <f>Tabla1[[#This Row],[P.U. USD]]*Tabla1[[#This Row],[CANTIDADES DE REFERENCIA]]</f>
        <v>0</v>
      </c>
      <c r="K2680" s="36"/>
      <c r="L2680" s="36"/>
      <c r="M2680" s="36"/>
      <c r="N2680" s="37" t="s">
        <v>889</v>
      </c>
      <c r="O2680" s="37" t="s">
        <v>890</v>
      </c>
      <c r="P2680" s="39"/>
      <c r="Q2680" s="37" t="s">
        <v>5775</v>
      </c>
      <c r="R2680" s="37" t="s">
        <v>389</v>
      </c>
      <c r="S2680" s="37"/>
      <c r="T2680" s="31"/>
    </row>
    <row r="2681" spans="1:20" ht="15" customHeight="1">
      <c r="A2681" s="31"/>
      <c r="B2681" s="32"/>
      <c r="C2681" s="33"/>
      <c r="D2681" s="32" t="s">
        <v>5776</v>
      </c>
      <c r="E2681" s="33" t="s">
        <v>116</v>
      </c>
      <c r="F2681" s="34">
        <v>1</v>
      </c>
      <c r="G2681" s="35">
        <v>0</v>
      </c>
      <c r="H2681" s="35">
        <v>0</v>
      </c>
      <c r="I2681" s="35">
        <f>Tabla1[[#This Row],[P.U. M.N.]]*Tabla1[[#This Row],[CANTIDADES DE REFERENCIA]]</f>
        <v>0</v>
      </c>
      <c r="J2681" s="35">
        <f>Tabla1[[#This Row],[P.U. USD]]*Tabla1[[#This Row],[CANTIDADES DE REFERENCIA]]</f>
        <v>0</v>
      </c>
      <c r="K2681" s="36"/>
      <c r="L2681" s="36"/>
      <c r="M2681" s="36"/>
      <c r="N2681" s="37" t="s">
        <v>889</v>
      </c>
      <c r="O2681" s="37" t="s">
        <v>890</v>
      </c>
      <c r="P2681" s="39"/>
      <c r="Q2681" s="37" t="s">
        <v>5777</v>
      </c>
      <c r="R2681" s="37" t="s">
        <v>389</v>
      </c>
      <c r="S2681" s="37"/>
      <c r="T2681" s="31"/>
    </row>
    <row r="2682" spans="1:20" ht="15" customHeight="1">
      <c r="A2682" s="31"/>
      <c r="B2682" s="32"/>
      <c r="C2682" s="33"/>
      <c r="D2682" s="32" t="s">
        <v>5778</v>
      </c>
      <c r="E2682" s="33" t="s">
        <v>116</v>
      </c>
      <c r="F2682" s="34">
        <v>1</v>
      </c>
      <c r="G2682" s="35">
        <v>0</v>
      </c>
      <c r="H2682" s="35">
        <v>0</v>
      </c>
      <c r="I2682" s="35">
        <f>Tabla1[[#This Row],[P.U. M.N.]]*Tabla1[[#This Row],[CANTIDADES DE REFERENCIA]]</f>
        <v>0</v>
      </c>
      <c r="J2682" s="35">
        <f>Tabla1[[#This Row],[P.U. USD]]*Tabla1[[#This Row],[CANTIDADES DE REFERENCIA]]</f>
        <v>0</v>
      </c>
      <c r="K2682" s="36"/>
      <c r="L2682" s="36"/>
      <c r="M2682" s="36"/>
      <c r="N2682" s="37" t="s">
        <v>889</v>
      </c>
      <c r="O2682" s="37" t="s">
        <v>890</v>
      </c>
      <c r="P2682" s="39"/>
      <c r="Q2682" s="37" t="s">
        <v>5779</v>
      </c>
      <c r="R2682" s="37" t="s">
        <v>389</v>
      </c>
      <c r="S2682" s="37"/>
      <c r="T2682" s="31"/>
    </row>
    <row r="2683" spans="1:20" ht="15" customHeight="1">
      <c r="A2683" s="31"/>
      <c r="B2683" s="32"/>
      <c r="C2683" s="33"/>
      <c r="D2683" s="32" t="s">
        <v>5780</v>
      </c>
      <c r="E2683" s="33" t="s">
        <v>116</v>
      </c>
      <c r="F2683" s="34">
        <v>1</v>
      </c>
      <c r="G2683" s="35">
        <v>0</v>
      </c>
      <c r="H2683" s="35">
        <v>0</v>
      </c>
      <c r="I2683" s="35">
        <f>Tabla1[[#This Row],[P.U. M.N.]]*Tabla1[[#This Row],[CANTIDADES DE REFERENCIA]]</f>
        <v>0</v>
      </c>
      <c r="J2683" s="35">
        <f>Tabla1[[#This Row],[P.U. USD]]*Tabla1[[#This Row],[CANTIDADES DE REFERENCIA]]</f>
        <v>0</v>
      </c>
      <c r="K2683" s="36"/>
      <c r="L2683" s="36"/>
      <c r="M2683" s="36"/>
      <c r="N2683" s="37" t="s">
        <v>5781</v>
      </c>
      <c r="O2683" s="37" t="s">
        <v>5782</v>
      </c>
      <c r="P2683" s="39"/>
      <c r="Q2683" s="37" t="s">
        <v>5783</v>
      </c>
      <c r="R2683" s="37" t="s">
        <v>389</v>
      </c>
      <c r="S2683" s="37"/>
      <c r="T2683" s="31"/>
    </row>
    <row r="2684" spans="1:20" ht="15" customHeight="1">
      <c r="A2684" s="31"/>
      <c r="B2684" s="32"/>
      <c r="C2684" s="33"/>
      <c r="D2684" s="32" t="s">
        <v>5784</v>
      </c>
      <c r="E2684" s="33" t="s">
        <v>116</v>
      </c>
      <c r="F2684" s="34">
        <v>1</v>
      </c>
      <c r="G2684" s="35">
        <v>0</v>
      </c>
      <c r="H2684" s="35">
        <v>0</v>
      </c>
      <c r="I2684" s="35">
        <f>Tabla1[[#This Row],[P.U. M.N.]]*Tabla1[[#This Row],[CANTIDADES DE REFERENCIA]]</f>
        <v>0</v>
      </c>
      <c r="J2684" s="35">
        <f>Tabla1[[#This Row],[P.U. USD]]*Tabla1[[#This Row],[CANTIDADES DE REFERENCIA]]</f>
        <v>0</v>
      </c>
      <c r="K2684" s="36"/>
      <c r="L2684" s="36"/>
      <c r="M2684" s="36"/>
      <c r="N2684" s="37" t="s">
        <v>5781</v>
      </c>
      <c r="O2684" s="37" t="s">
        <v>5782</v>
      </c>
      <c r="P2684" s="39"/>
      <c r="Q2684" s="37" t="s">
        <v>5785</v>
      </c>
      <c r="R2684" s="37" t="s">
        <v>389</v>
      </c>
      <c r="S2684" s="37"/>
      <c r="T2684" s="31"/>
    </row>
    <row r="2685" spans="1:20" ht="15" customHeight="1">
      <c r="A2685" s="31"/>
      <c r="B2685" s="32"/>
      <c r="C2685" s="33"/>
      <c r="D2685" s="32" t="s">
        <v>5786</v>
      </c>
      <c r="E2685" s="33" t="s">
        <v>116</v>
      </c>
      <c r="F2685" s="34">
        <v>1</v>
      </c>
      <c r="G2685" s="35">
        <v>0</v>
      </c>
      <c r="H2685" s="35">
        <v>0</v>
      </c>
      <c r="I2685" s="35">
        <f>Tabla1[[#This Row],[P.U. M.N.]]*Tabla1[[#This Row],[CANTIDADES DE REFERENCIA]]</f>
        <v>0</v>
      </c>
      <c r="J2685" s="35">
        <f>Tabla1[[#This Row],[P.U. USD]]*Tabla1[[#This Row],[CANTIDADES DE REFERENCIA]]</f>
        <v>0</v>
      </c>
      <c r="K2685" s="36"/>
      <c r="L2685" s="36"/>
      <c r="M2685" s="36"/>
      <c r="N2685" s="37" t="s">
        <v>5781</v>
      </c>
      <c r="O2685" s="37" t="s">
        <v>5782</v>
      </c>
      <c r="P2685" s="39"/>
      <c r="Q2685" s="37" t="s">
        <v>5787</v>
      </c>
      <c r="R2685" s="37" t="s">
        <v>389</v>
      </c>
      <c r="S2685" s="37"/>
      <c r="T2685" s="31"/>
    </row>
    <row r="2686" spans="1:20" ht="15" customHeight="1">
      <c r="A2686" s="31"/>
      <c r="B2686" s="32"/>
      <c r="C2686" s="33"/>
      <c r="D2686" s="32" t="s">
        <v>5788</v>
      </c>
      <c r="E2686" s="33" t="s">
        <v>116</v>
      </c>
      <c r="F2686" s="34">
        <v>1</v>
      </c>
      <c r="G2686" s="35">
        <v>0</v>
      </c>
      <c r="H2686" s="35">
        <v>0</v>
      </c>
      <c r="I2686" s="35">
        <f>Tabla1[[#This Row],[P.U. M.N.]]*Tabla1[[#This Row],[CANTIDADES DE REFERENCIA]]</f>
        <v>0</v>
      </c>
      <c r="J2686" s="35">
        <f>Tabla1[[#This Row],[P.U. USD]]*Tabla1[[#This Row],[CANTIDADES DE REFERENCIA]]</f>
        <v>0</v>
      </c>
      <c r="K2686" s="36"/>
      <c r="L2686" s="36"/>
      <c r="M2686" s="36"/>
      <c r="N2686" s="37" t="s">
        <v>5781</v>
      </c>
      <c r="O2686" s="37" t="s">
        <v>5782</v>
      </c>
      <c r="P2686" s="39"/>
      <c r="Q2686" s="37" t="s">
        <v>5789</v>
      </c>
      <c r="R2686" s="37" t="s">
        <v>389</v>
      </c>
      <c r="S2686" s="37"/>
      <c r="T2686" s="31"/>
    </row>
    <row r="2687" spans="1:20" ht="15" customHeight="1">
      <c r="A2687" s="31"/>
      <c r="B2687" s="32"/>
      <c r="C2687" s="33"/>
      <c r="D2687" s="32" t="s">
        <v>5790</v>
      </c>
      <c r="E2687" s="33" t="s">
        <v>116</v>
      </c>
      <c r="F2687" s="34">
        <v>1</v>
      </c>
      <c r="G2687" s="35">
        <v>0</v>
      </c>
      <c r="H2687" s="35">
        <v>0</v>
      </c>
      <c r="I2687" s="35">
        <f>Tabla1[[#This Row],[P.U. M.N.]]*Tabla1[[#This Row],[CANTIDADES DE REFERENCIA]]</f>
        <v>0</v>
      </c>
      <c r="J2687" s="35">
        <f>Tabla1[[#This Row],[P.U. USD]]*Tabla1[[#This Row],[CANTIDADES DE REFERENCIA]]</f>
        <v>0</v>
      </c>
      <c r="K2687" s="36"/>
      <c r="L2687" s="36"/>
      <c r="M2687" s="36"/>
      <c r="N2687" s="37" t="s">
        <v>5781</v>
      </c>
      <c r="O2687" s="37" t="s">
        <v>5782</v>
      </c>
      <c r="P2687" s="39"/>
      <c r="Q2687" s="37" t="s">
        <v>5791</v>
      </c>
      <c r="R2687" s="37" t="s">
        <v>389</v>
      </c>
      <c r="S2687" s="37"/>
      <c r="T2687" s="31"/>
    </row>
    <row r="2688" spans="1:20" ht="15" customHeight="1">
      <c r="A2688" s="31"/>
      <c r="B2688" s="32"/>
      <c r="C2688" s="33"/>
      <c r="D2688" s="32" t="s">
        <v>5792</v>
      </c>
      <c r="E2688" s="33" t="s">
        <v>116</v>
      </c>
      <c r="F2688" s="34">
        <v>1</v>
      </c>
      <c r="G2688" s="35">
        <v>0</v>
      </c>
      <c r="H2688" s="35">
        <v>0</v>
      </c>
      <c r="I2688" s="35">
        <f>Tabla1[[#This Row],[P.U. M.N.]]*Tabla1[[#This Row],[CANTIDADES DE REFERENCIA]]</f>
        <v>0</v>
      </c>
      <c r="J2688" s="35">
        <f>Tabla1[[#This Row],[P.U. USD]]*Tabla1[[#This Row],[CANTIDADES DE REFERENCIA]]</f>
        <v>0</v>
      </c>
      <c r="K2688" s="36"/>
      <c r="L2688" s="36"/>
      <c r="M2688" s="36"/>
      <c r="N2688" s="37" t="s">
        <v>5781</v>
      </c>
      <c r="O2688" s="37" t="s">
        <v>5782</v>
      </c>
      <c r="P2688" s="39"/>
      <c r="Q2688" s="37" t="s">
        <v>5793</v>
      </c>
      <c r="R2688" s="37" t="s">
        <v>389</v>
      </c>
      <c r="S2688" s="37"/>
      <c r="T2688" s="31"/>
    </row>
    <row r="2689" spans="1:20" ht="15" customHeight="1">
      <c r="A2689" s="31"/>
      <c r="B2689" s="32"/>
      <c r="C2689" s="33"/>
      <c r="D2689" s="32" t="s">
        <v>5794</v>
      </c>
      <c r="E2689" s="33" t="s">
        <v>116</v>
      </c>
      <c r="F2689" s="34">
        <v>1</v>
      </c>
      <c r="G2689" s="35">
        <v>0</v>
      </c>
      <c r="H2689" s="35">
        <v>0</v>
      </c>
      <c r="I2689" s="35">
        <f>Tabla1[[#This Row],[P.U. M.N.]]*Tabla1[[#This Row],[CANTIDADES DE REFERENCIA]]</f>
        <v>0</v>
      </c>
      <c r="J2689" s="35">
        <f>Tabla1[[#This Row],[P.U. USD]]*Tabla1[[#This Row],[CANTIDADES DE REFERENCIA]]</f>
        <v>0</v>
      </c>
      <c r="K2689" s="36"/>
      <c r="L2689" s="36"/>
      <c r="M2689" s="36"/>
      <c r="N2689" s="37" t="s">
        <v>5781</v>
      </c>
      <c r="O2689" s="37" t="s">
        <v>5782</v>
      </c>
      <c r="P2689" s="39"/>
      <c r="Q2689" s="37" t="s">
        <v>5795</v>
      </c>
      <c r="R2689" s="37" t="s">
        <v>389</v>
      </c>
      <c r="S2689" s="37"/>
      <c r="T2689" s="31"/>
    </row>
    <row r="2690" spans="1:20" ht="15" customHeight="1">
      <c r="A2690" s="31"/>
      <c r="B2690" s="32"/>
      <c r="C2690" s="33"/>
      <c r="D2690" s="32" t="s">
        <v>5796</v>
      </c>
      <c r="E2690" s="33" t="s">
        <v>116</v>
      </c>
      <c r="F2690" s="34">
        <v>1</v>
      </c>
      <c r="G2690" s="35">
        <v>0</v>
      </c>
      <c r="H2690" s="35">
        <v>0</v>
      </c>
      <c r="I2690" s="35">
        <f>Tabla1[[#This Row],[P.U. M.N.]]*Tabla1[[#This Row],[CANTIDADES DE REFERENCIA]]</f>
        <v>0</v>
      </c>
      <c r="J2690" s="35">
        <f>Tabla1[[#This Row],[P.U. USD]]*Tabla1[[#This Row],[CANTIDADES DE REFERENCIA]]</f>
        <v>0</v>
      </c>
      <c r="K2690" s="36"/>
      <c r="L2690" s="36"/>
      <c r="M2690" s="36"/>
      <c r="N2690" s="37" t="s">
        <v>5781</v>
      </c>
      <c r="O2690" s="37" t="s">
        <v>5782</v>
      </c>
      <c r="P2690" s="39"/>
      <c r="Q2690" s="37" t="s">
        <v>5797</v>
      </c>
      <c r="R2690" s="37" t="s">
        <v>389</v>
      </c>
      <c r="S2690" s="37"/>
      <c r="T2690" s="31"/>
    </row>
    <row r="2691" spans="1:20" ht="15" customHeight="1">
      <c r="A2691" s="31"/>
      <c r="B2691" s="32"/>
      <c r="C2691" s="33"/>
      <c r="D2691" s="32" t="s">
        <v>5798</v>
      </c>
      <c r="E2691" s="33" t="s">
        <v>116</v>
      </c>
      <c r="F2691" s="34">
        <v>1</v>
      </c>
      <c r="G2691" s="35">
        <v>0</v>
      </c>
      <c r="H2691" s="35">
        <v>0</v>
      </c>
      <c r="I2691" s="35">
        <f>Tabla1[[#This Row],[P.U. M.N.]]*Tabla1[[#This Row],[CANTIDADES DE REFERENCIA]]</f>
        <v>0</v>
      </c>
      <c r="J2691" s="35">
        <f>Tabla1[[#This Row],[P.U. USD]]*Tabla1[[#This Row],[CANTIDADES DE REFERENCIA]]</f>
        <v>0</v>
      </c>
      <c r="K2691" s="36"/>
      <c r="L2691" s="36"/>
      <c r="M2691" s="36"/>
      <c r="N2691" s="37" t="s">
        <v>5731</v>
      </c>
      <c r="O2691" s="37" t="s">
        <v>5732</v>
      </c>
      <c r="P2691" s="39"/>
      <c r="Q2691" s="37" t="s">
        <v>5799</v>
      </c>
      <c r="R2691" s="37" t="s">
        <v>389</v>
      </c>
      <c r="S2691" s="37"/>
      <c r="T2691" s="31"/>
    </row>
    <row r="2692" spans="1:20" ht="15" customHeight="1">
      <c r="A2692" s="31"/>
      <c r="B2692" s="32"/>
      <c r="C2692" s="33"/>
      <c r="D2692" s="32" t="s">
        <v>5800</v>
      </c>
      <c r="E2692" s="33" t="s">
        <v>116</v>
      </c>
      <c r="F2692" s="34">
        <v>1</v>
      </c>
      <c r="G2692" s="35">
        <v>0</v>
      </c>
      <c r="H2692" s="35">
        <v>0</v>
      </c>
      <c r="I2692" s="35">
        <f>Tabla1[[#This Row],[P.U. M.N.]]*Tabla1[[#This Row],[CANTIDADES DE REFERENCIA]]</f>
        <v>0</v>
      </c>
      <c r="J2692" s="35">
        <f>Tabla1[[#This Row],[P.U. USD]]*Tabla1[[#This Row],[CANTIDADES DE REFERENCIA]]</f>
        <v>0</v>
      </c>
      <c r="K2692" s="36"/>
      <c r="L2692" s="36"/>
      <c r="M2692" s="36"/>
      <c r="N2692" s="37" t="s">
        <v>5731</v>
      </c>
      <c r="O2692" s="37" t="s">
        <v>5732</v>
      </c>
      <c r="P2692" s="39"/>
      <c r="Q2692" s="37" t="s">
        <v>5801</v>
      </c>
      <c r="R2692" s="37" t="s">
        <v>389</v>
      </c>
      <c r="S2692" s="37"/>
      <c r="T2692" s="31"/>
    </row>
    <row r="2693" spans="1:20" ht="15" customHeight="1">
      <c r="A2693" s="31"/>
      <c r="B2693" s="32"/>
      <c r="C2693" s="33"/>
      <c r="D2693" s="32" t="s">
        <v>5802</v>
      </c>
      <c r="E2693" s="33" t="s">
        <v>116</v>
      </c>
      <c r="F2693" s="34">
        <v>1</v>
      </c>
      <c r="G2693" s="35">
        <v>0</v>
      </c>
      <c r="H2693" s="35">
        <v>0</v>
      </c>
      <c r="I2693" s="35">
        <f>Tabla1[[#This Row],[P.U. M.N.]]*Tabla1[[#This Row],[CANTIDADES DE REFERENCIA]]</f>
        <v>0</v>
      </c>
      <c r="J2693" s="35">
        <f>Tabla1[[#This Row],[P.U. USD]]*Tabla1[[#This Row],[CANTIDADES DE REFERENCIA]]</f>
        <v>0</v>
      </c>
      <c r="K2693" s="36"/>
      <c r="L2693" s="36"/>
      <c r="M2693" s="36"/>
      <c r="N2693" s="37" t="s">
        <v>5731</v>
      </c>
      <c r="O2693" s="37" t="s">
        <v>5732</v>
      </c>
      <c r="P2693" s="39"/>
      <c r="Q2693" s="37" t="s">
        <v>5803</v>
      </c>
      <c r="R2693" s="37" t="s">
        <v>389</v>
      </c>
      <c r="S2693" s="37"/>
      <c r="T2693" s="31"/>
    </row>
    <row r="2694" spans="1:20" ht="15" customHeight="1">
      <c r="A2694" s="31"/>
      <c r="B2694" s="32"/>
      <c r="C2694" s="33"/>
      <c r="D2694" s="32" t="s">
        <v>5804</v>
      </c>
      <c r="E2694" s="33" t="s">
        <v>54</v>
      </c>
      <c r="F2694" s="34">
        <v>1</v>
      </c>
      <c r="G2694" s="35">
        <v>0</v>
      </c>
      <c r="H2694" s="35">
        <v>0</v>
      </c>
      <c r="I2694" s="35">
        <f>Tabla1[[#This Row],[P.U. M.N.]]*Tabla1[[#This Row],[CANTIDADES DE REFERENCIA]]</f>
        <v>0</v>
      </c>
      <c r="J2694" s="35">
        <f>Tabla1[[#This Row],[P.U. USD]]*Tabla1[[#This Row],[CANTIDADES DE REFERENCIA]]</f>
        <v>0</v>
      </c>
      <c r="K2694" s="36"/>
      <c r="L2694" s="36"/>
      <c r="M2694" s="36"/>
      <c r="N2694" s="37" t="s">
        <v>5603</v>
      </c>
      <c r="O2694" s="37" t="s">
        <v>5604</v>
      </c>
      <c r="P2694" s="39"/>
      <c r="Q2694" s="37" t="s">
        <v>5805</v>
      </c>
      <c r="R2694" s="37" t="s">
        <v>389</v>
      </c>
      <c r="S2694" s="37"/>
      <c r="T2694" s="31"/>
    </row>
    <row r="2695" spans="1:20" ht="15" customHeight="1">
      <c r="A2695" s="31"/>
      <c r="B2695" s="32"/>
      <c r="C2695" s="33"/>
      <c r="D2695" s="32" t="s">
        <v>5806</v>
      </c>
      <c r="E2695" s="33" t="s">
        <v>116</v>
      </c>
      <c r="F2695" s="34">
        <v>1</v>
      </c>
      <c r="G2695" s="35">
        <v>0</v>
      </c>
      <c r="H2695" s="35">
        <v>0</v>
      </c>
      <c r="I2695" s="35">
        <f>Tabla1[[#This Row],[P.U. M.N.]]*Tabla1[[#This Row],[CANTIDADES DE REFERENCIA]]</f>
        <v>0</v>
      </c>
      <c r="J2695" s="35">
        <f>Tabla1[[#This Row],[P.U. USD]]*Tabla1[[#This Row],[CANTIDADES DE REFERENCIA]]</f>
        <v>0</v>
      </c>
      <c r="K2695" s="36"/>
      <c r="L2695" s="36"/>
      <c r="M2695" s="36"/>
      <c r="N2695" s="37" t="s">
        <v>1849</v>
      </c>
      <c r="O2695" s="37" t="s">
        <v>5807</v>
      </c>
      <c r="P2695" s="39"/>
      <c r="Q2695" s="37" t="s">
        <v>5808</v>
      </c>
      <c r="R2695" s="37" t="s">
        <v>389</v>
      </c>
      <c r="S2695" s="37"/>
      <c r="T2695" s="31"/>
    </row>
    <row r="2696" spans="1:20" ht="15" customHeight="1">
      <c r="A2696" s="31"/>
      <c r="B2696" s="32"/>
      <c r="C2696" s="33"/>
      <c r="D2696" s="32" t="s">
        <v>5809</v>
      </c>
      <c r="E2696" s="33" t="s">
        <v>116</v>
      </c>
      <c r="F2696" s="34">
        <v>1</v>
      </c>
      <c r="G2696" s="35">
        <v>0</v>
      </c>
      <c r="H2696" s="35">
        <v>0</v>
      </c>
      <c r="I2696" s="35">
        <f>Tabla1[[#This Row],[P.U. M.N.]]*Tabla1[[#This Row],[CANTIDADES DE REFERENCIA]]</f>
        <v>0</v>
      </c>
      <c r="J2696" s="35">
        <f>Tabla1[[#This Row],[P.U. USD]]*Tabla1[[#This Row],[CANTIDADES DE REFERENCIA]]</f>
        <v>0</v>
      </c>
      <c r="K2696" s="36"/>
      <c r="L2696" s="36"/>
      <c r="M2696" s="36"/>
      <c r="N2696" s="37" t="s">
        <v>5559</v>
      </c>
      <c r="O2696" s="37" t="s">
        <v>5560</v>
      </c>
      <c r="P2696" s="39"/>
      <c r="Q2696" s="37" t="s">
        <v>5810</v>
      </c>
      <c r="R2696" s="37" t="s">
        <v>389</v>
      </c>
      <c r="S2696" s="37"/>
      <c r="T2696" s="31"/>
    </row>
    <row r="2697" spans="1:20" ht="15" customHeight="1">
      <c r="A2697" s="31"/>
      <c r="B2697" s="32"/>
      <c r="C2697" s="33"/>
      <c r="D2697" s="32" t="s">
        <v>5811</v>
      </c>
      <c r="E2697" s="33" t="s">
        <v>116</v>
      </c>
      <c r="F2697" s="34">
        <v>1</v>
      </c>
      <c r="G2697" s="35">
        <v>0</v>
      </c>
      <c r="H2697" s="35">
        <v>0</v>
      </c>
      <c r="I2697" s="35">
        <f>Tabla1[[#This Row],[P.U. M.N.]]*Tabla1[[#This Row],[CANTIDADES DE REFERENCIA]]</f>
        <v>0</v>
      </c>
      <c r="J2697" s="35">
        <f>Tabla1[[#This Row],[P.U. USD]]*Tabla1[[#This Row],[CANTIDADES DE REFERENCIA]]</f>
        <v>0</v>
      </c>
      <c r="K2697" s="36"/>
      <c r="L2697" s="36"/>
      <c r="M2697" s="36"/>
      <c r="N2697" s="37" t="s">
        <v>3584</v>
      </c>
      <c r="O2697" s="37" t="s">
        <v>5563</v>
      </c>
      <c r="P2697" s="39"/>
      <c r="Q2697" s="37" t="s">
        <v>5812</v>
      </c>
      <c r="R2697" s="37" t="s">
        <v>389</v>
      </c>
      <c r="S2697" s="37"/>
      <c r="T2697" s="31"/>
    </row>
    <row r="2698" spans="1:20" ht="15" customHeight="1">
      <c r="A2698" s="31"/>
      <c r="B2698" s="32"/>
      <c r="C2698" s="33"/>
      <c r="D2698" s="32" t="s">
        <v>5813</v>
      </c>
      <c r="E2698" s="33" t="s">
        <v>116</v>
      </c>
      <c r="F2698" s="34">
        <v>1</v>
      </c>
      <c r="G2698" s="35">
        <v>0</v>
      </c>
      <c r="H2698" s="35">
        <v>0</v>
      </c>
      <c r="I2698" s="35">
        <f>Tabla1[[#This Row],[P.U. M.N.]]*Tabla1[[#This Row],[CANTIDADES DE REFERENCIA]]</f>
        <v>0</v>
      </c>
      <c r="J2698" s="35">
        <f>Tabla1[[#This Row],[P.U. USD]]*Tabla1[[#This Row],[CANTIDADES DE REFERENCIA]]</f>
        <v>0</v>
      </c>
      <c r="K2698" s="36"/>
      <c r="L2698" s="36"/>
      <c r="M2698" s="36"/>
      <c r="N2698" s="37" t="s">
        <v>3584</v>
      </c>
      <c r="O2698" s="37" t="s">
        <v>5563</v>
      </c>
      <c r="P2698" s="39"/>
      <c r="Q2698" s="37" t="s">
        <v>5814</v>
      </c>
      <c r="R2698" s="37" t="s">
        <v>389</v>
      </c>
      <c r="S2698" s="37"/>
      <c r="T2698" s="31"/>
    </row>
    <row r="2699" spans="1:20" ht="15" customHeight="1">
      <c r="A2699" s="31"/>
      <c r="B2699" s="32"/>
      <c r="C2699" s="33"/>
      <c r="D2699" s="32" t="s">
        <v>5815</v>
      </c>
      <c r="E2699" s="33" t="s">
        <v>116</v>
      </c>
      <c r="F2699" s="34">
        <v>1</v>
      </c>
      <c r="G2699" s="35">
        <v>0</v>
      </c>
      <c r="H2699" s="35">
        <v>0</v>
      </c>
      <c r="I2699" s="35">
        <f>Tabla1[[#This Row],[P.U. M.N.]]*Tabla1[[#This Row],[CANTIDADES DE REFERENCIA]]</f>
        <v>0</v>
      </c>
      <c r="J2699" s="35">
        <f>Tabla1[[#This Row],[P.U. USD]]*Tabla1[[#This Row],[CANTIDADES DE REFERENCIA]]</f>
        <v>0</v>
      </c>
      <c r="K2699" s="36"/>
      <c r="L2699" s="36"/>
      <c r="M2699" s="36"/>
      <c r="N2699" s="37" t="s">
        <v>5781</v>
      </c>
      <c r="O2699" s="37" t="s">
        <v>5782</v>
      </c>
      <c r="P2699" s="39"/>
      <c r="Q2699" s="37" t="s">
        <v>5816</v>
      </c>
      <c r="R2699" s="37" t="s">
        <v>389</v>
      </c>
      <c r="S2699" s="37"/>
      <c r="T2699" s="31"/>
    </row>
    <row r="2700" spans="1:20" ht="15" customHeight="1">
      <c r="A2700" s="31"/>
      <c r="B2700" s="32"/>
      <c r="C2700" s="33"/>
      <c r="D2700" s="32" t="s">
        <v>5817</v>
      </c>
      <c r="E2700" s="33" t="s">
        <v>116</v>
      </c>
      <c r="F2700" s="34">
        <v>1</v>
      </c>
      <c r="G2700" s="35">
        <v>0</v>
      </c>
      <c r="H2700" s="35">
        <v>0</v>
      </c>
      <c r="I2700" s="35">
        <f>Tabla1[[#This Row],[P.U. M.N.]]*Tabla1[[#This Row],[CANTIDADES DE REFERENCIA]]</f>
        <v>0</v>
      </c>
      <c r="J2700" s="35">
        <f>Tabla1[[#This Row],[P.U. USD]]*Tabla1[[#This Row],[CANTIDADES DE REFERENCIA]]</f>
        <v>0</v>
      </c>
      <c r="K2700" s="36"/>
      <c r="L2700" s="36"/>
      <c r="M2700" s="36"/>
      <c r="N2700" s="37" t="s">
        <v>5781</v>
      </c>
      <c r="O2700" s="37" t="s">
        <v>5782</v>
      </c>
      <c r="P2700" s="39"/>
      <c r="Q2700" s="37" t="s">
        <v>5818</v>
      </c>
      <c r="R2700" s="37" t="s">
        <v>389</v>
      </c>
      <c r="S2700" s="37"/>
      <c r="T2700" s="31"/>
    </row>
    <row r="2701" spans="1:20" ht="15" customHeight="1">
      <c r="A2701" s="31"/>
      <c r="B2701" s="32"/>
      <c r="C2701" s="33"/>
      <c r="D2701" s="32" t="s">
        <v>5819</v>
      </c>
      <c r="E2701" s="33" t="s">
        <v>116</v>
      </c>
      <c r="F2701" s="34">
        <v>1</v>
      </c>
      <c r="G2701" s="35">
        <v>0</v>
      </c>
      <c r="H2701" s="35">
        <v>0</v>
      </c>
      <c r="I2701" s="35">
        <f>Tabla1[[#This Row],[P.U. M.N.]]*Tabla1[[#This Row],[CANTIDADES DE REFERENCIA]]</f>
        <v>0</v>
      </c>
      <c r="J2701" s="35">
        <f>Tabla1[[#This Row],[P.U. USD]]*Tabla1[[#This Row],[CANTIDADES DE REFERENCIA]]</f>
        <v>0</v>
      </c>
      <c r="K2701" s="36"/>
      <c r="L2701" s="36"/>
      <c r="M2701" s="36"/>
      <c r="N2701" s="37" t="s">
        <v>5820</v>
      </c>
      <c r="O2701" s="37" t="s">
        <v>5821</v>
      </c>
      <c r="P2701" s="39"/>
      <c r="Q2701" s="37" t="s">
        <v>5822</v>
      </c>
      <c r="R2701" s="37" t="s">
        <v>389</v>
      </c>
      <c r="S2701" s="37"/>
      <c r="T2701" s="31"/>
    </row>
    <row r="2702" spans="1:20" ht="15" customHeight="1">
      <c r="A2702" s="31"/>
      <c r="B2702" s="32"/>
      <c r="C2702" s="33"/>
      <c r="D2702" s="32" t="s">
        <v>5823</v>
      </c>
      <c r="E2702" s="33" t="s">
        <v>116</v>
      </c>
      <c r="F2702" s="34">
        <v>1</v>
      </c>
      <c r="G2702" s="35">
        <v>0</v>
      </c>
      <c r="H2702" s="35">
        <v>0</v>
      </c>
      <c r="I2702" s="35">
        <f>Tabla1[[#This Row],[P.U. M.N.]]*Tabla1[[#This Row],[CANTIDADES DE REFERENCIA]]</f>
        <v>0</v>
      </c>
      <c r="J2702" s="35">
        <f>Tabla1[[#This Row],[P.U. USD]]*Tabla1[[#This Row],[CANTIDADES DE REFERENCIA]]</f>
        <v>0</v>
      </c>
      <c r="K2702" s="36"/>
      <c r="L2702" s="36"/>
      <c r="M2702" s="36"/>
      <c r="N2702" s="37" t="s">
        <v>5820</v>
      </c>
      <c r="O2702" s="37" t="s">
        <v>5821</v>
      </c>
      <c r="P2702" s="39"/>
      <c r="Q2702" s="37" t="s">
        <v>5824</v>
      </c>
      <c r="R2702" s="37" t="s">
        <v>389</v>
      </c>
      <c r="S2702" s="37"/>
      <c r="T2702" s="31"/>
    </row>
    <row r="2703" spans="1:20" ht="15" customHeight="1">
      <c r="A2703" s="31"/>
      <c r="B2703" s="32"/>
      <c r="C2703" s="33"/>
      <c r="D2703" s="32" t="s">
        <v>5825</v>
      </c>
      <c r="E2703" s="33" t="s">
        <v>116</v>
      </c>
      <c r="F2703" s="34">
        <v>1</v>
      </c>
      <c r="G2703" s="35">
        <v>0</v>
      </c>
      <c r="H2703" s="35">
        <v>0</v>
      </c>
      <c r="I2703" s="35">
        <f>Tabla1[[#This Row],[P.U. M.N.]]*Tabla1[[#This Row],[CANTIDADES DE REFERENCIA]]</f>
        <v>0</v>
      </c>
      <c r="J2703" s="35">
        <f>Tabla1[[#This Row],[P.U. USD]]*Tabla1[[#This Row],[CANTIDADES DE REFERENCIA]]</f>
        <v>0</v>
      </c>
      <c r="K2703" s="36"/>
      <c r="L2703" s="36"/>
      <c r="M2703" s="36"/>
      <c r="N2703" s="37" t="s">
        <v>5820</v>
      </c>
      <c r="O2703" s="37" t="s">
        <v>5821</v>
      </c>
      <c r="P2703" s="39"/>
      <c r="Q2703" s="37" t="s">
        <v>5826</v>
      </c>
      <c r="R2703" s="37" t="s">
        <v>389</v>
      </c>
      <c r="S2703" s="37"/>
      <c r="T2703" s="31"/>
    </row>
    <row r="2704" spans="1:20" ht="15" customHeight="1">
      <c r="A2704" s="31"/>
      <c r="B2704" s="32"/>
      <c r="C2704" s="33"/>
      <c r="D2704" s="32" t="s">
        <v>5827</v>
      </c>
      <c r="E2704" s="33" t="s">
        <v>116</v>
      </c>
      <c r="F2704" s="34">
        <v>1</v>
      </c>
      <c r="G2704" s="35">
        <v>0</v>
      </c>
      <c r="H2704" s="35">
        <v>0</v>
      </c>
      <c r="I2704" s="35">
        <f>Tabla1[[#This Row],[P.U. M.N.]]*Tabla1[[#This Row],[CANTIDADES DE REFERENCIA]]</f>
        <v>0</v>
      </c>
      <c r="J2704" s="35">
        <f>Tabla1[[#This Row],[P.U. USD]]*Tabla1[[#This Row],[CANTIDADES DE REFERENCIA]]</f>
        <v>0</v>
      </c>
      <c r="K2704" s="36"/>
      <c r="L2704" s="36"/>
      <c r="M2704" s="36"/>
      <c r="N2704" s="37" t="s">
        <v>1849</v>
      </c>
      <c r="O2704" s="37" t="s">
        <v>5807</v>
      </c>
      <c r="P2704" s="39"/>
      <c r="Q2704" s="37" t="s">
        <v>5828</v>
      </c>
      <c r="R2704" s="37" t="s">
        <v>389</v>
      </c>
      <c r="S2704" s="37"/>
      <c r="T2704" s="31"/>
    </row>
    <row r="2705" spans="1:20" ht="15" customHeight="1">
      <c r="A2705" s="31"/>
      <c r="B2705" s="32"/>
      <c r="C2705" s="33"/>
      <c r="D2705" s="32" t="s">
        <v>5829</v>
      </c>
      <c r="E2705" s="33" t="s">
        <v>116</v>
      </c>
      <c r="F2705" s="34">
        <v>1</v>
      </c>
      <c r="G2705" s="35">
        <v>0</v>
      </c>
      <c r="H2705" s="35">
        <v>0</v>
      </c>
      <c r="I2705" s="35">
        <f>Tabla1[[#This Row],[P.U. M.N.]]*Tabla1[[#This Row],[CANTIDADES DE REFERENCIA]]</f>
        <v>0</v>
      </c>
      <c r="J2705" s="35">
        <f>Tabla1[[#This Row],[P.U. USD]]*Tabla1[[#This Row],[CANTIDADES DE REFERENCIA]]</f>
        <v>0</v>
      </c>
      <c r="K2705" s="36"/>
      <c r="L2705" s="36"/>
      <c r="M2705" s="36"/>
      <c r="N2705" s="37" t="s">
        <v>4382</v>
      </c>
      <c r="O2705" s="37" t="s">
        <v>3442</v>
      </c>
      <c r="P2705" s="39"/>
      <c r="Q2705" s="37" t="s">
        <v>5830</v>
      </c>
      <c r="R2705" s="37" t="s">
        <v>389</v>
      </c>
      <c r="S2705" s="37"/>
      <c r="T2705" s="31"/>
    </row>
    <row r="2706" spans="1:20" ht="15" customHeight="1">
      <c r="A2706" s="31"/>
      <c r="B2706" s="32"/>
      <c r="C2706" s="33"/>
      <c r="D2706" s="32" t="s">
        <v>5831</v>
      </c>
      <c r="E2706" s="33" t="s">
        <v>116</v>
      </c>
      <c r="F2706" s="34">
        <v>1</v>
      </c>
      <c r="G2706" s="35">
        <v>0</v>
      </c>
      <c r="H2706" s="35">
        <v>0</v>
      </c>
      <c r="I2706" s="35">
        <f>Tabla1[[#This Row],[P.U. M.N.]]*Tabla1[[#This Row],[CANTIDADES DE REFERENCIA]]</f>
        <v>0</v>
      </c>
      <c r="J2706" s="35">
        <f>Tabla1[[#This Row],[P.U. USD]]*Tabla1[[#This Row],[CANTIDADES DE REFERENCIA]]</f>
        <v>0</v>
      </c>
      <c r="K2706" s="36"/>
      <c r="L2706" s="36"/>
      <c r="M2706" s="36"/>
      <c r="N2706" s="37" t="s">
        <v>4382</v>
      </c>
      <c r="O2706" s="37" t="s">
        <v>3442</v>
      </c>
      <c r="P2706" s="39"/>
      <c r="Q2706" s="37" t="s">
        <v>5832</v>
      </c>
      <c r="R2706" s="37" t="s">
        <v>389</v>
      </c>
      <c r="S2706" s="37"/>
      <c r="T2706" s="31"/>
    </row>
    <row r="2707" spans="1:20" ht="15" customHeight="1">
      <c r="A2707" s="31"/>
      <c r="B2707" s="32"/>
      <c r="C2707" s="33"/>
      <c r="D2707" s="32" t="s">
        <v>5833</v>
      </c>
      <c r="E2707" s="33" t="s">
        <v>116</v>
      </c>
      <c r="F2707" s="34">
        <v>1</v>
      </c>
      <c r="G2707" s="35">
        <v>0</v>
      </c>
      <c r="H2707" s="35">
        <v>0</v>
      </c>
      <c r="I2707" s="35">
        <f>Tabla1[[#This Row],[P.U. M.N.]]*Tabla1[[#This Row],[CANTIDADES DE REFERENCIA]]</f>
        <v>0</v>
      </c>
      <c r="J2707" s="35">
        <f>Tabla1[[#This Row],[P.U. USD]]*Tabla1[[#This Row],[CANTIDADES DE REFERENCIA]]</f>
        <v>0</v>
      </c>
      <c r="K2707" s="36"/>
      <c r="L2707" s="36"/>
      <c r="M2707" s="36"/>
      <c r="N2707" s="37" t="s">
        <v>4382</v>
      </c>
      <c r="O2707" s="37" t="s">
        <v>3442</v>
      </c>
      <c r="P2707" s="39"/>
      <c r="Q2707" s="37" t="s">
        <v>5834</v>
      </c>
      <c r="R2707" s="37" t="s">
        <v>389</v>
      </c>
      <c r="S2707" s="37"/>
      <c r="T2707" s="31"/>
    </row>
    <row r="2708" spans="1:20" ht="15" customHeight="1">
      <c r="A2708" s="31"/>
      <c r="B2708" s="32"/>
      <c r="C2708" s="33"/>
      <c r="D2708" s="32" t="s">
        <v>5835</v>
      </c>
      <c r="E2708" s="33" t="s">
        <v>116</v>
      </c>
      <c r="F2708" s="34">
        <v>1</v>
      </c>
      <c r="G2708" s="35">
        <v>0</v>
      </c>
      <c r="H2708" s="35">
        <v>0</v>
      </c>
      <c r="I2708" s="35">
        <f>Tabla1[[#This Row],[P.U. M.N.]]*Tabla1[[#This Row],[CANTIDADES DE REFERENCIA]]</f>
        <v>0</v>
      </c>
      <c r="J2708" s="35">
        <f>Tabla1[[#This Row],[P.U. USD]]*Tabla1[[#This Row],[CANTIDADES DE REFERENCIA]]</f>
        <v>0</v>
      </c>
      <c r="K2708" s="36"/>
      <c r="L2708" s="36"/>
      <c r="M2708" s="36"/>
      <c r="N2708" s="37" t="s">
        <v>4382</v>
      </c>
      <c r="O2708" s="37" t="s">
        <v>3442</v>
      </c>
      <c r="P2708" s="39"/>
      <c r="Q2708" s="37" t="s">
        <v>5836</v>
      </c>
      <c r="R2708" s="37" t="s">
        <v>389</v>
      </c>
      <c r="S2708" s="37"/>
      <c r="T2708" s="31"/>
    </row>
    <row r="2709" spans="1:20" ht="15" customHeight="1">
      <c r="A2709" s="31"/>
      <c r="B2709" s="32"/>
      <c r="C2709" s="33"/>
      <c r="D2709" s="32" t="s">
        <v>5837</v>
      </c>
      <c r="E2709" s="33" t="s">
        <v>116</v>
      </c>
      <c r="F2709" s="34">
        <v>1</v>
      </c>
      <c r="G2709" s="35">
        <v>0</v>
      </c>
      <c r="H2709" s="35">
        <v>0</v>
      </c>
      <c r="I2709" s="35">
        <f>Tabla1[[#This Row],[P.U. M.N.]]*Tabla1[[#This Row],[CANTIDADES DE REFERENCIA]]</f>
        <v>0</v>
      </c>
      <c r="J2709" s="35">
        <f>Tabla1[[#This Row],[P.U. USD]]*Tabla1[[#This Row],[CANTIDADES DE REFERENCIA]]</f>
        <v>0</v>
      </c>
      <c r="K2709" s="36"/>
      <c r="L2709" s="36"/>
      <c r="M2709" s="36"/>
      <c r="N2709" s="37" t="s">
        <v>4382</v>
      </c>
      <c r="O2709" s="37" t="s">
        <v>3442</v>
      </c>
      <c r="P2709" s="39"/>
      <c r="Q2709" s="37" t="s">
        <v>5838</v>
      </c>
      <c r="R2709" s="37" t="s">
        <v>389</v>
      </c>
      <c r="S2709" s="37"/>
      <c r="T2709" s="31"/>
    </row>
    <row r="2710" spans="1:20" ht="15" customHeight="1">
      <c r="A2710" s="31"/>
      <c r="B2710" s="32"/>
      <c r="C2710" s="33"/>
      <c r="D2710" s="32" t="s">
        <v>5839</v>
      </c>
      <c r="E2710" s="33" t="s">
        <v>116</v>
      </c>
      <c r="F2710" s="34">
        <v>1</v>
      </c>
      <c r="G2710" s="35">
        <v>0</v>
      </c>
      <c r="H2710" s="35">
        <v>0</v>
      </c>
      <c r="I2710" s="35">
        <f>Tabla1[[#This Row],[P.U. M.N.]]*Tabla1[[#This Row],[CANTIDADES DE REFERENCIA]]</f>
        <v>0</v>
      </c>
      <c r="J2710" s="35">
        <f>Tabla1[[#This Row],[P.U. USD]]*Tabla1[[#This Row],[CANTIDADES DE REFERENCIA]]</f>
        <v>0</v>
      </c>
      <c r="K2710" s="36"/>
      <c r="L2710" s="36"/>
      <c r="M2710" s="36"/>
      <c r="N2710" s="37" t="s">
        <v>4382</v>
      </c>
      <c r="O2710" s="37" t="s">
        <v>3442</v>
      </c>
      <c r="P2710" s="39"/>
      <c r="Q2710" s="37" t="s">
        <v>5840</v>
      </c>
      <c r="R2710" s="37" t="s">
        <v>389</v>
      </c>
      <c r="S2710" s="37"/>
      <c r="T2710" s="31"/>
    </row>
    <row r="2711" spans="1:20" ht="15" customHeight="1">
      <c r="A2711" s="31"/>
      <c r="B2711" s="32"/>
      <c r="C2711" s="33"/>
      <c r="D2711" s="32" t="s">
        <v>5841</v>
      </c>
      <c r="E2711" s="33" t="s">
        <v>116</v>
      </c>
      <c r="F2711" s="34">
        <v>1</v>
      </c>
      <c r="G2711" s="35">
        <v>0</v>
      </c>
      <c r="H2711" s="35">
        <v>0</v>
      </c>
      <c r="I2711" s="35">
        <f>Tabla1[[#This Row],[P.U. M.N.]]*Tabla1[[#This Row],[CANTIDADES DE REFERENCIA]]</f>
        <v>0</v>
      </c>
      <c r="J2711" s="35">
        <f>Tabla1[[#This Row],[P.U. USD]]*Tabla1[[#This Row],[CANTIDADES DE REFERENCIA]]</f>
        <v>0</v>
      </c>
      <c r="K2711" s="36"/>
      <c r="L2711" s="36"/>
      <c r="M2711" s="36"/>
      <c r="N2711" s="37" t="s">
        <v>5842</v>
      </c>
      <c r="O2711" s="37" t="s">
        <v>5843</v>
      </c>
      <c r="P2711" s="39"/>
      <c r="Q2711" s="37" t="s">
        <v>5844</v>
      </c>
      <c r="R2711" s="37" t="s">
        <v>389</v>
      </c>
      <c r="S2711" s="37"/>
      <c r="T2711" s="31"/>
    </row>
    <row r="2712" spans="1:20" ht="15" customHeight="1">
      <c r="A2712" s="31"/>
      <c r="B2712" s="32"/>
      <c r="C2712" s="33"/>
      <c r="D2712" s="32" t="s">
        <v>5845</v>
      </c>
      <c r="E2712" s="33" t="s">
        <v>54</v>
      </c>
      <c r="F2712" s="34">
        <v>1</v>
      </c>
      <c r="G2712" s="35">
        <v>0</v>
      </c>
      <c r="H2712" s="35">
        <v>0</v>
      </c>
      <c r="I2712" s="35">
        <f>Tabla1[[#This Row],[P.U. M.N.]]*Tabla1[[#This Row],[CANTIDADES DE REFERENCIA]]</f>
        <v>0</v>
      </c>
      <c r="J2712" s="35">
        <f>Tabla1[[#This Row],[P.U. USD]]*Tabla1[[#This Row],[CANTIDADES DE REFERENCIA]]</f>
        <v>0</v>
      </c>
      <c r="K2712" s="36"/>
      <c r="L2712" s="36"/>
      <c r="M2712" s="36"/>
      <c r="N2712" s="37" t="s">
        <v>5842</v>
      </c>
      <c r="O2712" s="37" t="s">
        <v>5843</v>
      </c>
      <c r="P2712" s="39"/>
      <c r="Q2712" s="37" t="s">
        <v>5846</v>
      </c>
      <c r="R2712" s="37" t="s">
        <v>389</v>
      </c>
      <c r="S2712" s="37"/>
      <c r="T2712" s="31"/>
    </row>
    <row r="2713" spans="1:20" ht="15" customHeight="1">
      <c r="A2713" s="31"/>
      <c r="B2713" s="32"/>
      <c r="C2713" s="33"/>
      <c r="D2713" s="32" t="s">
        <v>5847</v>
      </c>
      <c r="E2713" s="33" t="s">
        <v>116</v>
      </c>
      <c r="F2713" s="34">
        <v>1</v>
      </c>
      <c r="G2713" s="35">
        <v>0</v>
      </c>
      <c r="H2713" s="35">
        <v>0</v>
      </c>
      <c r="I2713" s="35">
        <f>Tabla1[[#This Row],[P.U. M.N.]]*Tabla1[[#This Row],[CANTIDADES DE REFERENCIA]]</f>
        <v>0</v>
      </c>
      <c r="J2713" s="35">
        <f>Tabla1[[#This Row],[P.U. USD]]*Tabla1[[#This Row],[CANTIDADES DE REFERENCIA]]</f>
        <v>0</v>
      </c>
      <c r="K2713" s="36"/>
      <c r="L2713" s="36"/>
      <c r="M2713" s="36"/>
      <c r="N2713" s="37" t="s">
        <v>5842</v>
      </c>
      <c r="O2713" s="37" t="s">
        <v>5843</v>
      </c>
      <c r="P2713" s="39"/>
      <c r="Q2713" s="37" t="s">
        <v>5848</v>
      </c>
      <c r="R2713" s="37" t="s">
        <v>389</v>
      </c>
      <c r="S2713" s="37"/>
      <c r="T2713" s="31"/>
    </row>
    <row r="2714" spans="1:20" ht="15" customHeight="1">
      <c r="A2714" s="31"/>
      <c r="B2714" s="32"/>
      <c r="C2714" s="33"/>
      <c r="D2714" s="32" t="s">
        <v>5849</v>
      </c>
      <c r="E2714" s="33" t="s">
        <v>116</v>
      </c>
      <c r="F2714" s="34">
        <v>1</v>
      </c>
      <c r="G2714" s="35">
        <v>0</v>
      </c>
      <c r="H2714" s="35">
        <v>0</v>
      </c>
      <c r="I2714" s="35">
        <f>Tabla1[[#This Row],[P.U. M.N.]]*Tabla1[[#This Row],[CANTIDADES DE REFERENCIA]]</f>
        <v>0</v>
      </c>
      <c r="J2714" s="35">
        <f>Tabla1[[#This Row],[P.U. USD]]*Tabla1[[#This Row],[CANTIDADES DE REFERENCIA]]</f>
        <v>0</v>
      </c>
      <c r="K2714" s="36"/>
      <c r="L2714" s="36"/>
      <c r="M2714" s="36"/>
      <c r="N2714" s="37" t="s">
        <v>5842</v>
      </c>
      <c r="O2714" s="37" t="s">
        <v>5843</v>
      </c>
      <c r="P2714" s="39"/>
      <c r="Q2714" s="37" t="s">
        <v>5850</v>
      </c>
      <c r="R2714" s="37" t="s">
        <v>389</v>
      </c>
      <c r="S2714" s="37"/>
      <c r="T2714" s="31"/>
    </row>
    <row r="2715" spans="1:20" ht="15" customHeight="1">
      <c r="A2715" s="31"/>
      <c r="B2715" s="32"/>
      <c r="C2715" s="33"/>
      <c r="D2715" s="32" t="s">
        <v>5851</v>
      </c>
      <c r="E2715" s="33" t="s">
        <v>116</v>
      </c>
      <c r="F2715" s="34">
        <v>1</v>
      </c>
      <c r="G2715" s="35">
        <v>0</v>
      </c>
      <c r="H2715" s="35">
        <v>0</v>
      </c>
      <c r="I2715" s="35">
        <f>Tabla1[[#This Row],[P.U. M.N.]]*Tabla1[[#This Row],[CANTIDADES DE REFERENCIA]]</f>
        <v>0</v>
      </c>
      <c r="J2715" s="35">
        <f>Tabla1[[#This Row],[P.U. USD]]*Tabla1[[#This Row],[CANTIDADES DE REFERENCIA]]</f>
        <v>0</v>
      </c>
      <c r="K2715" s="36"/>
      <c r="L2715" s="36"/>
      <c r="M2715" s="36"/>
      <c r="N2715" s="37" t="s">
        <v>5842</v>
      </c>
      <c r="O2715" s="37" t="s">
        <v>5843</v>
      </c>
      <c r="P2715" s="39"/>
      <c r="Q2715" s="37" t="s">
        <v>5852</v>
      </c>
      <c r="R2715" s="37" t="s">
        <v>389</v>
      </c>
      <c r="S2715" s="37"/>
      <c r="T2715" s="31"/>
    </row>
    <row r="2716" spans="1:20" ht="15" customHeight="1">
      <c r="A2716" s="31"/>
      <c r="B2716" s="32"/>
      <c r="C2716" s="33"/>
      <c r="D2716" s="32" t="s">
        <v>5853</v>
      </c>
      <c r="E2716" s="33" t="s">
        <v>116</v>
      </c>
      <c r="F2716" s="34">
        <v>1</v>
      </c>
      <c r="G2716" s="35">
        <v>0</v>
      </c>
      <c r="H2716" s="35">
        <v>0</v>
      </c>
      <c r="I2716" s="35">
        <f>Tabla1[[#This Row],[P.U. M.N.]]*Tabla1[[#This Row],[CANTIDADES DE REFERENCIA]]</f>
        <v>0</v>
      </c>
      <c r="J2716" s="35">
        <f>Tabla1[[#This Row],[P.U. USD]]*Tabla1[[#This Row],[CANTIDADES DE REFERENCIA]]</f>
        <v>0</v>
      </c>
      <c r="K2716" s="36"/>
      <c r="L2716" s="36"/>
      <c r="M2716" s="36"/>
      <c r="N2716" s="37" t="s">
        <v>5854</v>
      </c>
      <c r="O2716" s="37" t="s">
        <v>5855</v>
      </c>
      <c r="P2716" s="39"/>
      <c r="Q2716" s="37" t="s">
        <v>5856</v>
      </c>
      <c r="R2716" s="37" t="s">
        <v>389</v>
      </c>
      <c r="S2716" s="37"/>
      <c r="T2716" s="31"/>
    </row>
    <row r="2717" spans="1:20" ht="15" customHeight="1">
      <c r="A2717" s="31"/>
      <c r="B2717" s="32"/>
      <c r="C2717" s="33"/>
      <c r="D2717" s="32" t="s">
        <v>5857</v>
      </c>
      <c r="E2717" s="33" t="s">
        <v>116</v>
      </c>
      <c r="F2717" s="34">
        <v>1</v>
      </c>
      <c r="G2717" s="35">
        <v>0</v>
      </c>
      <c r="H2717" s="35">
        <v>0</v>
      </c>
      <c r="I2717" s="35">
        <f>Tabla1[[#This Row],[P.U. M.N.]]*Tabla1[[#This Row],[CANTIDADES DE REFERENCIA]]</f>
        <v>0</v>
      </c>
      <c r="J2717" s="35">
        <f>Tabla1[[#This Row],[P.U. USD]]*Tabla1[[#This Row],[CANTIDADES DE REFERENCIA]]</f>
        <v>0</v>
      </c>
      <c r="K2717" s="36"/>
      <c r="L2717" s="36"/>
      <c r="M2717" s="36"/>
      <c r="N2717" s="37" t="s">
        <v>1849</v>
      </c>
      <c r="O2717" s="37" t="s">
        <v>5807</v>
      </c>
      <c r="P2717" s="39"/>
      <c r="Q2717" s="37" t="s">
        <v>5858</v>
      </c>
      <c r="R2717" s="37" t="s">
        <v>389</v>
      </c>
      <c r="S2717" s="37"/>
      <c r="T2717" s="31"/>
    </row>
    <row r="2718" spans="1:20" ht="15" customHeight="1">
      <c r="A2718" s="31"/>
      <c r="B2718" s="32"/>
      <c r="C2718" s="33"/>
      <c r="D2718" s="32" t="s">
        <v>5859</v>
      </c>
      <c r="E2718" s="33" t="s">
        <v>116</v>
      </c>
      <c r="F2718" s="34">
        <v>1</v>
      </c>
      <c r="G2718" s="35">
        <v>0</v>
      </c>
      <c r="H2718" s="35">
        <v>0</v>
      </c>
      <c r="I2718" s="35">
        <f>Tabla1[[#This Row],[P.U. M.N.]]*Tabla1[[#This Row],[CANTIDADES DE REFERENCIA]]</f>
        <v>0</v>
      </c>
      <c r="J2718" s="35">
        <f>Tabla1[[#This Row],[P.U. USD]]*Tabla1[[#This Row],[CANTIDADES DE REFERENCIA]]</f>
        <v>0</v>
      </c>
      <c r="K2718" s="36"/>
      <c r="L2718" s="36"/>
      <c r="M2718" s="36"/>
      <c r="N2718" s="37" t="s">
        <v>1849</v>
      </c>
      <c r="O2718" s="37" t="s">
        <v>5807</v>
      </c>
      <c r="P2718" s="39"/>
      <c r="Q2718" s="37" t="s">
        <v>5860</v>
      </c>
      <c r="R2718" s="37" t="s">
        <v>389</v>
      </c>
      <c r="S2718" s="37"/>
      <c r="T2718" s="31"/>
    </row>
    <row r="2719" spans="1:20" ht="15" customHeight="1">
      <c r="A2719" s="31"/>
      <c r="B2719" s="32"/>
      <c r="C2719" s="33"/>
      <c r="D2719" s="32" t="s">
        <v>5861</v>
      </c>
      <c r="E2719" s="33" t="s">
        <v>116</v>
      </c>
      <c r="F2719" s="34">
        <v>1</v>
      </c>
      <c r="G2719" s="35">
        <v>0</v>
      </c>
      <c r="H2719" s="35">
        <v>0</v>
      </c>
      <c r="I2719" s="35">
        <f>Tabla1[[#This Row],[P.U. M.N.]]*Tabla1[[#This Row],[CANTIDADES DE REFERENCIA]]</f>
        <v>0</v>
      </c>
      <c r="J2719" s="35">
        <f>Tabla1[[#This Row],[P.U. USD]]*Tabla1[[#This Row],[CANTIDADES DE REFERENCIA]]</f>
        <v>0</v>
      </c>
      <c r="K2719" s="36"/>
      <c r="L2719" s="36"/>
      <c r="M2719" s="36"/>
      <c r="N2719" s="37" t="s">
        <v>1849</v>
      </c>
      <c r="O2719" s="37" t="s">
        <v>5807</v>
      </c>
      <c r="P2719" s="39"/>
      <c r="Q2719" s="37" t="s">
        <v>5862</v>
      </c>
      <c r="R2719" s="37" t="s">
        <v>389</v>
      </c>
      <c r="S2719" s="37"/>
      <c r="T2719" s="31"/>
    </row>
    <row r="2720" spans="1:20" ht="15" customHeight="1">
      <c r="A2720" s="31"/>
      <c r="B2720" s="32"/>
      <c r="C2720" s="33"/>
      <c r="D2720" s="32" t="s">
        <v>5863</v>
      </c>
      <c r="E2720" s="33" t="s">
        <v>116</v>
      </c>
      <c r="F2720" s="34">
        <v>1</v>
      </c>
      <c r="G2720" s="35">
        <v>0</v>
      </c>
      <c r="H2720" s="35">
        <v>0</v>
      </c>
      <c r="I2720" s="35">
        <f>Tabla1[[#This Row],[P.U. M.N.]]*Tabla1[[#This Row],[CANTIDADES DE REFERENCIA]]</f>
        <v>0</v>
      </c>
      <c r="J2720" s="35">
        <f>Tabla1[[#This Row],[P.U. USD]]*Tabla1[[#This Row],[CANTIDADES DE REFERENCIA]]</f>
        <v>0</v>
      </c>
      <c r="K2720" s="36"/>
      <c r="L2720" s="36"/>
      <c r="M2720" s="36"/>
      <c r="N2720" s="37" t="s">
        <v>1849</v>
      </c>
      <c r="O2720" s="37" t="s">
        <v>5807</v>
      </c>
      <c r="P2720" s="39"/>
      <c r="Q2720" s="37" t="s">
        <v>5864</v>
      </c>
      <c r="R2720" s="37" t="s">
        <v>389</v>
      </c>
      <c r="S2720" s="37"/>
      <c r="T2720" s="31"/>
    </row>
    <row r="2721" spans="1:20" ht="15" customHeight="1">
      <c r="A2721" s="31"/>
      <c r="B2721" s="32"/>
      <c r="C2721" s="33"/>
      <c r="D2721" s="32" t="s">
        <v>5865</v>
      </c>
      <c r="E2721" s="33" t="s">
        <v>116</v>
      </c>
      <c r="F2721" s="34">
        <v>1</v>
      </c>
      <c r="G2721" s="35">
        <v>0</v>
      </c>
      <c r="H2721" s="35">
        <v>0</v>
      </c>
      <c r="I2721" s="35">
        <f>Tabla1[[#This Row],[P.U. M.N.]]*Tabla1[[#This Row],[CANTIDADES DE REFERENCIA]]</f>
        <v>0</v>
      </c>
      <c r="J2721" s="35">
        <f>Tabla1[[#This Row],[P.U. USD]]*Tabla1[[#This Row],[CANTIDADES DE REFERENCIA]]</f>
        <v>0</v>
      </c>
      <c r="K2721" s="36"/>
      <c r="L2721" s="36"/>
      <c r="M2721" s="36"/>
      <c r="N2721" s="37" t="s">
        <v>1849</v>
      </c>
      <c r="O2721" s="37" t="s">
        <v>5807</v>
      </c>
      <c r="P2721" s="39"/>
      <c r="Q2721" s="37" t="s">
        <v>5866</v>
      </c>
      <c r="R2721" s="37" t="s">
        <v>389</v>
      </c>
      <c r="S2721" s="37"/>
      <c r="T2721" s="31"/>
    </row>
    <row r="2722" spans="1:20" ht="15" customHeight="1">
      <c r="A2722" s="31"/>
      <c r="B2722" s="32"/>
      <c r="C2722" s="33"/>
      <c r="D2722" s="32" t="s">
        <v>5867</v>
      </c>
      <c r="E2722" s="33" t="s">
        <v>116</v>
      </c>
      <c r="F2722" s="34">
        <v>1</v>
      </c>
      <c r="G2722" s="35">
        <v>0</v>
      </c>
      <c r="H2722" s="35">
        <v>0</v>
      </c>
      <c r="I2722" s="35">
        <f>Tabla1[[#This Row],[P.U. M.N.]]*Tabla1[[#This Row],[CANTIDADES DE REFERENCIA]]</f>
        <v>0</v>
      </c>
      <c r="J2722" s="35">
        <f>Tabla1[[#This Row],[P.U. USD]]*Tabla1[[#This Row],[CANTIDADES DE REFERENCIA]]</f>
        <v>0</v>
      </c>
      <c r="K2722" s="36"/>
      <c r="L2722" s="36"/>
      <c r="M2722" s="36"/>
      <c r="N2722" s="37" t="s">
        <v>1849</v>
      </c>
      <c r="O2722" s="37" t="s">
        <v>5807</v>
      </c>
      <c r="P2722" s="39"/>
      <c r="Q2722" s="37" t="s">
        <v>5868</v>
      </c>
      <c r="R2722" s="37" t="s">
        <v>389</v>
      </c>
      <c r="S2722" s="37"/>
      <c r="T2722" s="31"/>
    </row>
    <row r="2723" spans="1:20" ht="15" customHeight="1">
      <c r="A2723" s="31"/>
      <c r="B2723" s="32"/>
      <c r="C2723" s="33"/>
      <c r="D2723" s="32" t="s">
        <v>5869</v>
      </c>
      <c r="E2723" s="33" t="s">
        <v>116</v>
      </c>
      <c r="F2723" s="34">
        <v>1</v>
      </c>
      <c r="G2723" s="35">
        <v>0</v>
      </c>
      <c r="H2723" s="35">
        <v>0</v>
      </c>
      <c r="I2723" s="35">
        <f>Tabla1[[#This Row],[P.U. M.N.]]*Tabla1[[#This Row],[CANTIDADES DE REFERENCIA]]</f>
        <v>0</v>
      </c>
      <c r="J2723" s="35">
        <f>Tabla1[[#This Row],[P.U. USD]]*Tabla1[[#This Row],[CANTIDADES DE REFERENCIA]]</f>
        <v>0</v>
      </c>
      <c r="K2723" s="36"/>
      <c r="L2723" s="36"/>
      <c r="M2723" s="36"/>
      <c r="N2723" s="37" t="s">
        <v>1849</v>
      </c>
      <c r="O2723" s="37" t="s">
        <v>5807</v>
      </c>
      <c r="P2723" s="39"/>
      <c r="Q2723" s="37" t="s">
        <v>5870</v>
      </c>
      <c r="R2723" s="37" t="s">
        <v>389</v>
      </c>
      <c r="S2723" s="37"/>
      <c r="T2723" s="31"/>
    </row>
    <row r="2724" spans="1:20" ht="15" customHeight="1">
      <c r="A2724" s="31"/>
      <c r="B2724" s="32"/>
      <c r="C2724" s="33"/>
      <c r="D2724" s="32" t="s">
        <v>5871</v>
      </c>
      <c r="E2724" s="33" t="s">
        <v>116</v>
      </c>
      <c r="F2724" s="34">
        <v>1</v>
      </c>
      <c r="G2724" s="35">
        <v>0</v>
      </c>
      <c r="H2724" s="35">
        <v>0</v>
      </c>
      <c r="I2724" s="35">
        <f>Tabla1[[#This Row],[P.U. M.N.]]*Tabla1[[#This Row],[CANTIDADES DE REFERENCIA]]</f>
        <v>0</v>
      </c>
      <c r="J2724" s="35">
        <f>Tabla1[[#This Row],[P.U. USD]]*Tabla1[[#This Row],[CANTIDADES DE REFERENCIA]]</f>
        <v>0</v>
      </c>
      <c r="K2724" s="36"/>
      <c r="L2724" s="36"/>
      <c r="M2724" s="36"/>
      <c r="N2724" s="37" t="s">
        <v>1849</v>
      </c>
      <c r="O2724" s="37" t="s">
        <v>5807</v>
      </c>
      <c r="P2724" s="39"/>
      <c r="Q2724" s="37" t="s">
        <v>5872</v>
      </c>
      <c r="R2724" s="37" t="s">
        <v>389</v>
      </c>
      <c r="S2724" s="37"/>
      <c r="T2724" s="31"/>
    </row>
    <row r="2725" spans="1:20" ht="15" customHeight="1">
      <c r="A2725" s="31"/>
      <c r="B2725" s="32"/>
      <c r="C2725" s="33"/>
      <c r="D2725" s="32" t="s">
        <v>5873</v>
      </c>
      <c r="E2725" s="33" t="s">
        <v>116</v>
      </c>
      <c r="F2725" s="34">
        <v>1</v>
      </c>
      <c r="G2725" s="35">
        <v>0</v>
      </c>
      <c r="H2725" s="35">
        <v>0</v>
      </c>
      <c r="I2725" s="35">
        <f>Tabla1[[#This Row],[P.U. M.N.]]*Tabla1[[#This Row],[CANTIDADES DE REFERENCIA]]</f>
        <v>0</v>
      </c>
      <c r="J2725" s="35">
        <f>Tabla1[[#This Row],[P.U. USD]]*Tabla1[[#This Row],[CANTIDADES DE REFERENCIA]]</f>
        <v>0</v>
      </c>
      <c r="K2725" s="36"/>
      <c r="L2725" s="36"/>
      <c r="M2725" s="36"/>
      <c r="N2725" s="37" t="s">
        <v>1849</v>
      </c>
      <c r="O2725" s="37" t="s">
        <v>5807</v>
      </c>
      <c r="P2725" s="39"/>
      <c r="Q2725" s="37" t="s">
        <v>5874</v>
      </c>
      <c r="R2725" s="37" t="s">
        <v>389</v>
      </c>
      <c r="S2725" s="37"/>
      <c r="T2725" s="31"/>
    </row>
    <row r="2726" spans="1:20" ht="15" customHeight="1">
      <c r="A2726" s="31"/>
      <c r="B2726" s="32"/>
      <c r="C2726" s="33"/>
      <c r="D2726" s="32" t="s">
        <v>5875</v>
      </c>
      <c r="E2726" s="33" t="s">
        <v>116</v>
      </c>
      <c r="F2726" s="34">
        <v>1</v>
      </c>
      <c r="G2726" s="35">
        <v>0</v>
      </c>
      <c r="H2726" s="35">
        <v>0</v>
      </c>
      <c r="I2726" s="35">
        <f>Tabla1[[#This Row],[P.U. M.N.]]*Tabla1[[#This Row],[CANTIDADES DE REFERENCIA]]</f>
        <v>0</v>
      </c>
      <c r="J2726" s="35">
        <f>Tabla1[[#This Row],[P.U. USD]]*Tabla1[[#This Row],[CANTIDADES DE REFERENCIA]]</f>
        <v>0</v>
      </c>
      <c r="K2726" s="36"/>
      <c r="L2726" s="36"/>
      <c r="M2726" s="36"/>
      <c r="N2726" s="37" t="s">
        <v>1849</v>
      </c>
      <c r="O2726" s="37" t="s">
        <v>5807</v>
      </c>
      <c r="P2726" s="39"/>
      <c r="Q2726" s="37" t="s">
        <v>5876</v>
      </c>
      <c r="R2726" s="37" t="s">
        <v>389</v>
      </c>
      <c r="S2726" s="37"/>
      <c r="T2726" s="31"/>
    </row>
    <row r="2727" spans="1:20" ht="15" customHeight="1">
      <c r="A2727" s="31"/>
      <c r="B2727" s="32"/>
      <c r="C2727" s="33"/>
      <c r="D2727" s="32" t="s">
        <v>5877</v>
      </c>
      <c r="E2727" s="33" t="s">
        <v>116</v>
      </c>
      <c r="F2727" s="34">
        <v>1</v>
      </c>
      <c r="G2727" s="35">
        <v>0</v>
      </c>
      <c r="H2727" s="35">
        <v>0</v>
      </c>
      <c r="I2727" s="35">
        <f>Tabla1[[#This Row],[P.U. M.N.]]*Tabla1[[#This Row],[CANTIDADES DE REFERENCIA]]</f>
        <v>0</v>
      </c>
      <c r="J2727" s="35">
        <f>Tabla1[[#This Row],[P.U. USD]]*Tabla1[[#This Row],[CANTIDADES DE REFERENCIA]]</f>
        <v>0</v>
      </c>
      <c r="K2727" s="36"/>
      <c r="L2727" s="36"/>
      <c r="M2727" s="36"/>
      <c r="N2727" s="37" t="s">
        <v>1849</v>
      </c>
      <c r="O2727" s="37" t="s">
        <v>5807</v>
      </c>
      <c r="P2727" s="39"/>
      <c r="Q2727" s="37" t="s">
        <v>5878</v>
      </c>
      <c r="R2727" s="37" t="s">
        <v>389</v>
      </c>
      <c r="S2727" s="37"/>
      <c r="T2727" s="31"/>
    </row>
    <row r="2728" spans="1:20" ht="15" customHeight="1">
      <c r="A2728" s="31"/>
      <c r="B2728" s="32"/>
      <c r="C2728" s="33"/>
      <c r="D2728" s="32" t="s">
        <v>5879</v>
      </c>
      <c r="E2728" s="33" t="s">
        <v>116</v>
      </c>
      <c r="F2728" s="34">
        <v>1</v>
      </c>
      <c r="G2728" s="35">
        <v>0</v>
      </c>
      <c r="H2728" s="35">
        <v>0</v>
      </c>
      <c r="I2728" s="35">
        <f>Tabla1[[#This Row],[P.U. M.N.]]*Tabla1[[#This Row],[CANTIDADES DE REFERENCIA]]</f>
        <v>0</v>
      </c>
      <c r="J2728" s="35">
        <f>Tabla1[[#This Row],[P.U. USD]]*Tabla1[[#This Row],[CANTIDADES DE REFERENCIA]]</f>
        <v>0</v>
      </c>
      <c r="K2728" s="36"/>
      <c r="L2728" s="36"/>
      <c r="M2728" s="36"/>
      <c r="N2728" s="37" t="s">
        <v>1849</v>
      </c>
      <c r="O2728" s="37" t="s">
        <v>5807</v>
      </c>
      <c r="P2728" s="39"/>
      <c r="Q2728" s="37" t="s">
        <v>5880</v>
      </c>
      <c r="R2728" s="37" t="s">
        <v>389</v>
      </c>
      <c r="S2728" s="37"/>
      <c r="T2728" s="31"/>
    </row>
    <row r="2729" spans="1:20" ht="15" customHeight="1">
      <c r="A2729" s="31"/>
      <c r="B2729" s="32"/>
      <c r="C2729" s="33"/>
      <c r="D2729" s="32" t="s">
        <v>5881</v>
      </c>
      <c r="E2729" s="33" t="s">
        <v>116</v>
      </c>
      <c r="F2729" s="34">
        <v>1</v>
      </c>
      <c r="G2729" s="35">
        <v>0</v>
      </c>
      <c r="H2729" s="35">
        <v>0</v>
      </c>
      <c r="I2729" s="35">
        <f>Tabla1[[#This Row],[P.U. M.N.]]*Tabla1[[#This Row],[CANTIDADES DE REFERENCIA]]</f>
        <v>0</v>
      </c>
      <c r="J2729" s="35">
        <f>Tabla1[[#This Row],[P.U. USD]]*Tabla1[[#This Row],[CANTIDADES DE REFERENCIA]]</f>
        <v>0</v>
      </c>
      <c r="K2729" s="36"/>
      <c r="L2729" s="36"/>
      <c r="M2729" s="36"/>
      <c r="N2729" s="37" t="s">
        <v>1849</v>
      </c>
      <c r="O2729" s="37" t="s">
        <v>5807</v>
      </c>
      <c r="P2729" s="39"/>
      <c r="Q2729" s="37" t="s">
        <v>5882</v>
      </c>
      <c r="R2729" s="37" t="s">
        <v>389</v>
      </c>
      <c r="S2729" s="37"/>
      <c r="T2729" s="31"/>
    </row>
    <row r="2730" spans="1:20" ht="15" customHeight="1">
      <c r="A2730" s="31"/>
      <c r="B2730" s="32"/>
      <c r="C2730" s="33"/>
      <c r="D2730" s="32" t="s">
        <v>5883</v>
      </c>
      <c r="E2730" s="33" t="s">
        <v>116</v>
      </c>
      <c r="F2730" s="34">
        <v>1</v>
      </c>
      <c r="G2730" s="35">
        <v>0</v>
      </c>
      <c r="H2730" s="35">
        <v>0</v>
      </c>
      <c r="I2730" s="35">
        <f>Tabla1[[#This Row],[P.U. M.N.]]*Tabla1[[#This Row],[CANTIDADES DE REFERENCIA]]</f>
        <v>0</v>
      </c>
      <c r="J2730" s="35">
        <f>Tabla1[[#This Row],[P.U. USD]]*Tabla1[[#This Row],[CANTIDADES DE REFERENCIA]]</f>
        <v>0</v>
      </c>
      <c r="K2730" s="36"/>
      <c r="L2730" s="36"/>
      <c r="M2730" s="36"/>
      <c r="N2730" s="37" t="s">
        <v>1849</v>
      </c>
      <c r="O2730" s="37" t="s">
        <v>5807</v>
      </c>
      <c r="P2730" s="39"/>
      <c r="Q2730" s="37" t="s">
        <v>5884</v>
      </c>
      <c r="R2730" s="37" t="s">
        <v>389</v>
      </c>
      <c r="S2730" s="37"/>
      <c r="T2730" s="31"/>
    </row>
    <row r="2731" spans="1:20" ht="15" customHeight="1">
      <c r="A2731" s="31"/>
      <c r="B2731" s="32"/>
      <c r="C2731" s="33"/>
      <c r="D2731" s="32" t="s">
        <v>5885</v>
      </c>
      <c r="E2731" s="33" t="s">
        <v>116</v>
      </c>
      <c r="F2731" s="34">
        <v>1</v>
      </c>
      <c r="G2731" s="35">
        <v>0</v>
      </c>
      <c r="H2731" s="35">
        <v>0</v>
      </c>
      <c r="I2731" s="35">
        <f>Tabla1[[#This Row],[P.U. M.N.]]*Tabla1[[#This Row],[CANTIDADES DE REFERENCIA]]</f>
        <v>0</v>
      </c>
      <c r="J2731" s="35">
        <f>Tabla1[[#This Row],[P.U. USD]]*Tabla1[[#This Row],[CANTIDADES DE REFERENCIA]]</f>
        <v>0</v>
      </c>
      <c r="K2731" s="36"/>
      <c r="L2731" s="36"/>
      <c r="M2731" s="36"/>
      <c r="N2731" s="37" t="s">
        <v>1849</v>
      </c>
      <c r="O2731" s="37" t="s">
        <v>5807</v>
      </c>
      <c r="P2731" s="39"/>
      <c r="Q2731" s="37" t="s">
        <v>5886</v>
      </c>
      <c r="R2731" s="37" t="s">
        <v>389</v>
      </c>
      <c r="S2731" s="37"/>
      <c r="T2731" s="31"/>
    </row>
    <row r="2732" spans="1:20" ht="15" customHeight="1">
      <c r="A2732" s="31"/>
      <c r="B2732" s="32"/>
      <c r="C2732" s="33"/>
      <c r="D2732" s="32" t="s">
        <v>5887</v>
      </c>
      <c r="E2732" s="33" t="s">
        <v>116</v>
      </c>
      <c r="F2732" s="34">
        <v>1</v>
      </c>
      <c r="G2732" s="35">
        <v>0</v>
      </c>
      <c r="H2732" s="35">
        <v>0</v>
      </c>
      <c r="I2732" s="35">
        <f>Tabla1[[#This Row],[P.U. M.N.]]*Tabla1[[#This Row],[CANTIDADES DE REFERENCIA]]</f>
        <v>0</v>
      </c>
      <c r="J2732" s="35">
        <f>Tabla1[[#This Row],[P.U. USD]]*Tabla1[[#This Row],[CANTIDADES DE REFERENCIA]]</f>
        <v>0</v>
      </c>
      <c r="K2732" s="36"/>
      <c r="L2732" s="36"/>
      <c r="M2732" s="36"/>
      <c r="N2732" s="37" t="s">
        <v>1849</v>
      </c>
      <c r="O2732" s="37" t="s">
        <v>5807</v>
      </c>
      <c r="P2732" s="39"/>
      <c r="Q2732" s="37" t="s">
        <v>5888</v>
      </c>
      <c r="R2732" s="37" t="s">
        <v>389</v>
      </c>
      <c r="S2732" s="37"/>
      <c r="T2732" s="31"/>
    </row>
    <row r="2733" spans="1:20" ht="15" customHeight="1">
      <c r="A2733" s="31"/>
      <c r="B2733" s="32"/>
      <c r="C2733" s="33"/>
      <c r="D2733" s="32" t="s">
        <v>5889</v>
      </c>
      <c r="E2733" s="33" t="s">
        <v>135</v>
      </c>
      <c r="F2733" s="34">
        <v>1</v>
      </c>
      <c r="G2733" s="35">
        <v>0</v>
      </c>
      <c r="H2733" s="35">
        <v>0</v>
      </c>
      <c r="I2733" s="35">
        <f>Tabla1[[#This Row],[P.U. M.N.]]*Tabla1[[#This Row],[CANTIDADES DE REFERENCIA]]</f>
        <v>0</v>
      </c>
      <c r="J2733" s="35">
        <f>Tabla1[[#This Row],[P.U. USD]]*Tabla1[[#This Row],[CANTIDADES DE REFERENCIA]]</f>
        <v>0</v>
      </c>
      <c r="K2733" s="36"/>
      <c r="L2733" s="36"/>
      <c r="M2733" s="36"/>
      <c r="N2733" s="37" t="s">
        <v>1849</v>
      </c>
      <c r="O2733" s="37" t="s">
        <v>5807</v>
      </c>
      <c r="P2733" s="39"/>
      <c r="Q2733" s="37" t="s">
        <v>5890</v>
      </c>
      <c r="R2733" s="37" t="s">
        <v>389</v>
      </c>
      <c r="S2733" s="37"/>
      <c r="T2733" s="31"/>
    </row>
    <row r="2734" spans="1:20" ht="15" customHeight="1">
      <c r="A2734" s="31"/>
      <c r="B2734" s="32"/>
      <c r="C2734" s="33"/>
      <c r="D2734" s="32" t="s">
        <v>5891</v>
      </c>
      <c r="E2734" s="33" t="s">
        <v>54</v>
      </c>
      <c r="F2734" s="34">
        <v>1</v>
      </c>
      <c r="G2734" s="35">
        <v>0</v>
      </c>
      <c r="H2734" s="35">
        <v>0</v>
      </c>
      <c r="I2734" s="35">
        <f>Tabla1[[#This Row],[P.U. M.N.]]*Tabla1[[#This Row],[CANTIDADES DE REFERENCIA]]</f>
        <v>0</v>
      </c>
      <c r="J2734" s="35">
        <f>Tabla1[[#This Row],[P.U. USD]]*Tabla1[[#This Row],[CANTIDADES DE REFERENCIA]]</f>
        <v>0</v>
      </c>
      <c r="K2734" s="36"/>
      <c r="L2734" s="36"/>
      <c r="M2734" s="36"/>
      <c r="N2734" s="37" t="s">
        <v>1849</v>
      </c>
      <c r="O2734" s="37" t="s">
        <v>5807</v>
      </c>
      <c r="P2734" s="39"/>
      <c r="Q2734" s="37" t="s">
        <v>5892</v>
      </c>
      <c r="R2734" s="37" t="s">
        <v>389</v>
      </c>
      <c r="S2734" s="37"/>
      <c r="T2734" s="31"/>
    </row>
    <row r="2735" spans="1:20" ht="15" customHeight="1">
      <c r="A2735" s="31"/>
      <c r="B2735" s="32"/>
      <c r="C2735" s="33"/>
      <c r="D2735" s="32" t="s">
        <v>5893</v>
      </c>
      <c r="E2735" s="33" t="s">
        <v>116</v>
      </c>
      <c r="F2735" s="34">
        <v>1</v>
      </c>
      <c r="G2735" s="35">
        <v>0</v>
      </c>
      <c r="H2735" s="35">
        <v>0</v>
      </c>
      <c r="I2735" s="35">
        <f>Tabla1[[#This Row],[P.U. M.N.]]*Tabla1[[#This Row],[CANTIDADES DE REFERENCIA]]</f>
        <v>0</v>
      </c>
      <c r="J2735" s="35">
        <f>Tabla1[[#This Row],[P.U. USD]]*Tabla1[[#This Row],[CANTIDADES DE REFERENCIA]]</f>
        <v>0</v>
      </c>
      <c r="K2735" s="36"/>
      <c r="L2735" s="36"/>
      <c r="M2735" s="36"/>
      <c r="N2735" s="37" t="s">
        <v>1849</v>
      </c>
      <c r="O2735" s="37" t="s">
        <v>5807</v>
      </c>
      <c r="P2735" s="39"/>
      <c r="Q2735" s="37" t="s">
        <v>5894</v>
      </c>
      <c r="R2735" s="37" t="s">
        <v>389</v>
      </c>
      <c r="S2735" s="37"/>
      <c r="T2735" s="31"/>
    </row>
    <row r="2736" spans="1:20" ht="15" customHeight="1">
      <c r="A2736" s="31"/>
      <c r="B2736" s="32"/>
      <c r="C2736" s="33"/>
      <c r="D2736" s="32" t="s">
        <v>5895</v>
      </c>
      <c r="E2736" s="33" t="s">
        <v>116</v>
      </c>
      <c r="F2736" s="34">
        <v>1</v>
      </c>
      <c r="G2736" s="35">
        <v>0</v>
      </c>
      <c r="H2736" s="35">
        <v>0</v>
      </c>
      <c r="I2736" s="35">
        <f>Tabla1[[#This Row],[P.U. M.N.]]*Tabla1[[#This Row],[CANTIDADES DE REFERENCIA]]</f>
        <v>0</v>
      </c>
      <c r="J2736" s="35">
        <f>Tabla1[[#This Row],[P.U. USD]]*Tabla1[[#This Row],[CANTIDADES DE REFERENCIA]]</f>
        <v>0</v>
      </c>
      <c r="K2736" s="36"/>
      <c r="L2736" s="36"/>
      <c r="M2736" s="36"/>
      <c r="N2736" s="37" t="s">
        <v>1849</v>
      </c>
      <c r="O2736" s="37" t="s">
        <v>5807</v>
      </c>
      <c r="P2736" s="39"/>
      <c r="Q2736" s="37" t="s">
        <v>5896</v>
      </c>
      <c r="R2736" s="37" t="s">
        <v>389</v>
      </c>
      <c r="S2736" s="37"/>
      <c r="T2736" s="31"/>
    </row>
    <row r="2737" spans="1:20" ht="15" customHeight="1">
      <c r="A2737" s="31"/>
      <c r="B2737" s="32"/>
      <c r="C2737" s="33"/>
      <c r="D2737" s="32" t="s">
        <v>5897</v>
      </c>
      <c r="E2737" s="33" t="s">
        <v>116</v>
      </c>
      <c r="F2737" s="34">
        <v>1</v>
      </c>
      <c r="G2737" s="35">
        <v>0</v>
      </c>
      <c r="H2737" s="35">
        <v>0</v>
      </c>
      <c r="I2737" s="35">
        <f>Tabla1[[#This Row],[P.U. M.N.]]*Tabla1[[#This Row],[CANTIDADES DE REFERENCIA]]</f>
        <v>0</v>
      </c>
      <c r="J2737" s="35">
        <f>Tabla1[[#This Row],[P.U. USD]]*Tabla1[[#This Row],[CANTIDADES DE REFERENCIA]]</f>
        <v>0</v>
      </c>
      <c r="K2737" s="36"/>
      <c r="L2737" s="36"/>
      <c r="M2737" s="36"/>
      <c r="N2737" s="37" t="s">
        <v>4382</v>
      </c>
      <c r="O2737" s="37" t="s">
        <v>3442</v>
      </c>
      <c r="P2737" s="39"/>
      <c r="Q2737" s="37" t="s">
        <v>5898</v>
      </c>
      <c r="R2737" s="37" t="s">
        <v>389</v>
      </c>
      <c r="S2737" s="37"/>
      <c r="T2737" s="31"/>
    </row>
    <row r="2738" spans="1:20" ht="15" customHeight="1">
      <c r="A2738" s="31"/>
      <c r="B2738" s="32"/>
      <c r="C2738" s="33"/>
      <c r="D2738" s="32" t="s">
        <v>5899</v>
      </c>
      <c r="E2738" s="33" t="s">
        <v>42</v>
      </c>
      <c r="F2738" s="34">
        <v>1</v>
      </c>
      <c r="G2738" s="35">
        <v>0</v>
      </c>
      <c r="H2738" s="35">
        <v>0</v>
      </c>
      <c r="I2738" s="35">
        <f>Tabla1[[#This Row],[P.U. M.N.]]*Tabla1[[#This Row],[CANTIDADES DE REFERENCIA]]</f>
        <v>0</v>
      </c>
      <c r="J2738" s="35">
        <f>Tabla1[[#This Row],[P.U. USD]]*Tabla1[[#This Row],[CANTIDADES DE REFERENCIA]]</f>
        <v>0</v>
      </c>
      <c r="K2738" s="36"/>
      <c r="L2738" s="36"/>
      <c r="M2738" s="36"/>
      <c r="N2738" s="37"/>
      <c r="O2738" s="37"/>
      <c r="P2738" s="39"/>
      <c r="Q2738" s="37" t="s">
        <v>5900</v>
      </c>
      <c r="R2738" s="37" t="s">
        <v>389</v>
      </c>
      <c r="S2738" s="37"/>
      <c r="T2738" s="31"/>
    </row>
    <row r="2739" spans="1:20" ht="15" customHeight="1">
      <c r="A2739" s="31"/>
      <c r="B2739" s="32"/>
      <c r="C2739" s="33"/>
      <c r="D2739" s="32" t="s">
        <v>5901</v>
      </c>
      <c r="E2739" s="33" t="s">
        <v>116</v>
      </c>
      <c r="F2739" s="34">
        <v>1</v>
      </c>
      <c r="G2739" s="35">
        <v>0</v>
      </c>
      <c r="H2739" s="35">
        <v>0</v>
      </c>
      <c r="I2739" s="35">
        <f>Tabla1[[#This Row],[P.U. M.N.]]*Tabla1[[#This Row],[CANTIDADES DE REFERENCIA]]</f>
        <v>0</v>
      </c>
      <c r="J2739" s="35">
        <f>Tabla1[[#This Row],[P.U. USD]]*Tabla1[[#This Row],[CANTIDADES DE REFERENCIA]]</f>
        <v>0</v>
      </c>
      <c r="K2739" s="36"/>
      <c r="L2739" s="36"/>
      <c r="M2739" s="36"/>
      <c r="N2739" s="37" t="s">
        <v>5743</v>
      </c>
      <c r="O2739" s="37"/>
      <c r="P2739" s="39"/>
      <c r="Q2739" s="37" t="s">
        <v>5902</v>
      </c>
      <c r="R2739" s="37" t="s">
        <v>389</v>
      </c>
      <c r="S2739" s="37"/>
      <c r="T2739" s="31"/>
    </row>
    <row r="2740" spans="1:20" ht="15" customHeight="1">
      <c r="A2740" s="31"/>
      <c r="B2740" s="32"/>
      <c r="C2740" s="33"/>
      <c r="D2740" s="32" t="s">
        <v>5903</v>
      </c>
      <c r="E2740" s="33" t="s">
        <v>116</v>
      </c>
      <c r="F2740" s="34">
        <v>1</v>
      </c>
      <c r="G2740" s="35">
        <v>0</v>
      </c>
      <c r="H2740" s="35">
        <v>0</v>
      </c>
      <c r="I2740" s="35">
        <f>Tabla1[[#This Row],[P.U. M.N.]]*Tabla1[[#This Row],[CANTIDADES DE REFERENCIA]]</f>
        <v>0</v>
      </c>
      <c r="J2740" s="35">
        <f>Tabla1[[#This Row],[P.U. USD]]*Tabla1[[#This Row],[CANTIDADES DE REFERENCIA]]</f>
        <v>0</v>
      </c>
      <c r="K2740" s="36"/>
      <c r="L2740" s="36"/>
      <c r="M2740" s="36"/>
      <c r="N2740" s="37" t="s">
        <v>5743</v>
      </c>
      <c r="O2740" s="37"/>
      <c r="P2740" s="39"/>
      <c r="Q2740" s="37" t="s">
        <v>5904</v>
      </c>
      <c r="R2740" s="37" t="s">
        <v>389</v>
      </c>
      <c r="S2740" s="37"/>
      <c r="T2740" s="31"/>
    </row>
    <row r="2741" spans="1:20" ht="15" customHeight="1">
      <c r="A2741" s="31"/>
      <c r="B2741" s="32"/>
      <c r="C2741" s="33"/>
      <c r="D2741" s="32" t="s">
        <v>5905</v>
      </c>
      <c r="E2741" s="33" t="s">
        <v>116</v>
      </c>
      <c r="F2741" s="34">
        <v>1</v>
      </c>
      <c r="G2741" s="35">
        <v>0</v>
      </c>
      <c r="H2741" s="35">
        <v>0</v>
      </c>
      <c r="I2741" s="35">
        <f>Tabla1[[#This Row],[P.U. M.N.]]*Tabla1[[#This Row],[CANTIDADES DE REFERENCIA]]</f>
        <v>0</v>
      </c>
      <c r="J2741" s="35">
        <f>Tabla1[[#This Row],[P.U. USD]]*Tabla1[[#This Row],[CANTIDADES DE REFERENCIA]]</f>
        <v>0</v>
      </c>
      <c r="K2741" s="36"/>
      <c r="L2741" s="36"/>
      <c r="M2741" s="36"/>
      <c r="N2741" s="37" t="s">
        <v>5743</v>
      </c>
      <c r="O2741" s="37"/>
      <c r="P2741" s="39"/>
      <c r="Q2741" s="37" t="s">
        <v>5906</v>
      </c>
      <c r="R2741" s="37" t="s">
        <v>389</v>
      </c>
      <c r="S2741" s="37"/>
      <c r="T2741" s="31"/>
    </row>
    <row r="2742" spans="1:20" ht="15" customHeight="1">
      <c r="A2742" s="31"/>
      <c r="B2742" s="32"/>
      <c r="C2742" s="33"/>
      <c r="D2742" s="32" t="s">
        <v>5907</v>
      </c>
      <c r="E2742" s="33" t="s">
        <v>116</v>
      </c>
      <c r="F2742" s="34">
        <v>1</v>
      </c>
      <c r="G2742" s="35">
        <v>0</v>
      </c>
      <c r="H2742" s="35">
        <v>0</v>
      </c>
      <c r="I2742" s="35">
        <f>Tabla1[[#This Row],[P.U. M.N.]]*Tabla1[[#This Row],[CANTIDADES DE REFERENCIA]]</f>
        <v>0</v>
      </c>
      <c r="J2742" s="35">
        <f>Tabla1[[#This Row],[P.U. USD]]*Tabla1[[#This Row],[CANTIDADES DE REFERENCIA]]</f>
        <v>0</v>
      </c>
      <c r="K2742" s="36"/>
      <c r="L2742" s="36"/>
      <c r="M2742" s="36"/>
      <c r="N2742" s="37" t="s">
        <v>5743</v>
      </c>
      <c r="O2742" s="37"/>
      <c r="P2742" s="39"/>
      <c r="Q2742" s="37" t="s">
        <v>5908</v>
      </c>
      <c r="R2742" s="37" t="s">
        <v>389</v>
      </c>
      <c r="S2742" s="37"/>
      <c r="T2742" s="31"/>
    </row>
    <row r="2743" spans="1:20" ht="15" customHeight="1">
      <c r="A2743" s="31"/>
      <c r="B2743" s="32"/>
      <c r="C2743" s="33"/>
      <c r="D2743" s="32" t="s">
        <v>5909</v>
      </c>
      <c r="E2743" s="33" t="s">
        <v>116</v>
      </c>
      <c r="F2743" s="34">
        <v>1</v>
      </c>
      <c r="G2743" s="35">
        <v>0</v>
      </c>
      <c r="H2743" s="35">
        <v>0</v>
      </c>
      <c r="I2743" s="35">
        <f>Tabla1[[#This Row],[P.U. M.N.]]*Tabla1[[#This Row],[CANTIDADES DE REFERENCIA]]</f>
        <v>0</v>
      </c>
      <c r="J2743" s="35">
        <f>Tabla1[[#This Row],[P.U. USD]]*Tabla1[[#This Row],[CANTIDADES DE REFERENCIA]]</f>
        <v>0</v>
      </c>
      <c r="K2743" s="36"/>
      <c r="L2743" s="36"/>
      <c r="M2743" s="36"/>
      <c r="N2743" s="37" t="s">
        <v>5743</v>
      </c>
      <c r="O2743" s="37"/>
      <c r="P2743" s="39"/>
      <c r="Q2743" s="37" t="s">
        <v>5910</v>
      </c>
      <c r="R2743" s="37" t="s">
        <v>389</v>
      </c>
      <c r="S2743" s="37"/>
      <c r="T2743" s="31"/>
    </row>
    <row r="2744" spans="1:20" ht="15" customHeight="1">
      <c r="A2744" s="31"/>
      <c r="B2744" s="32"/>
      <c r="C2744" s="33"/>
      <c r="D2744" s="32" t="s">
        <v>5911</v>
      </c>
      <c r="E2744" s="33" t="s">
        <v>116</v>
      </c>
      <c r="F2744" s="34">
        <v>1</v>
      </c>
      <c r="G2744" s="35">
        <v>0</v>
      </c>
      <c r="H2744" s="35">
        <v>0</v>
      </c>
      <c r="I2744" s="35">
        <f>Tabla1[[#This Row],[P.U. M.N.]]*Tabla1[[#This Row],[CANTIDADES DE REFERENCIA]]</f>
        <v>0</v>
      </c>
      <c r="J2744" s="35">
        <f>Tabla1[[#This Row],[P.U. USD]]*Tabla1[[#This Row],[CANTIDADES DE REFERENCIA]]</f>
        <v>0</v>
      </c>
      <c r="K2744" s="36"/>
      <c r="L2744" s="36"/>
      <c r="M2744" s="36"/>
      <c r="N2744" s="37" t="s">
        <v>5743</v>
      </c>
      <c r="O2744" s="37"/>
      <c r="P2744" s="39"/>
      <c r="Q2744" s="37" t="s">
        <v>5912</v>
      </c>
      <c r="R2744" s="37" t="s">
        <v>389</v>
      </c>
      <c r="S2744" s="37"/>
      <c r="T2744" s="31"/>
    </row>
    <row r="2745" spans="1:20" ht="15" customHeight="1">
      <c r="A2745" s="31"/>
      <c r="B2745" s="32"/>
      <c r="C2745" s="33"/>
      <c r="D2745" s="32" t="s">
        <v>5913</v>
      </c>
      <c r="E2745" s="33" t="s">
        <v>116</v>
      </c>
      <c r="F2745" s="34">
        <v>1</v>
      </c>
      <c r="G2745" s="35">
        <v>0</v>
      </c>
      <c r="H2745" s="35">
        <v>0</v>
      </c>
      <c r="I2745" s="35">
        <f>Tabla1[[#This Row],[P.U. M.N.]]*Tabla1[[#This Row],[CANTIDADES DE REFERENCIA]]</f>
        <v>0</v>
      </c>
      <c r="J2745" s="35">
        <f>Tabla1[[#This Row],[P.U. USD]]*Tabla1[[#This Row],[CANTIDADES DE REFERENCIA]]</f>
        <v>0</v>
      </c>
      <c r="K2745" s="36"/>
      <c r="L2745" s="36"/>
      <c r="M2745" s="36"/>
      <c r="N2745" s="37" t="s">
        <v>5743</v>
      </c>
      <c r="O2745" s="37"/>
      <c r="P2745" s="39"/>
      <c r="Q2745" s="37" t="s">
        <v>5914</v>
      </c>
      <c r="R2745" s="37" t="s">
        <v>389</v>
      </c>
      <c r="S2745" s="37"/>
      <c r="T2745" s="31"/>
    </row>
    <row r="2746" spans="1:20" ht="15" customHeight="1">
      <c r="A2746" s="31"/>
      <c r="B2746" s="32"/>
      <c r="C2746" s="33"/>
      <c r="D2746" s="32" t="s">
        <v>5915</v>
      </c>
      <c r="E2746" s="33" t="s">
        <v>116</v>
      </c>
      <c r="F2746" s="34">
        <v>1</v>
      </c>
      <c r="G2746" s="35">
        <v>0</v>
      </c>
      <c r="H2746" s="35">
        <v>0</v>
      </c>
      <c r="I2746" s="35">
        <f>Tabla1[[#This Row],[P.U. M.N.]]*Tabla1[[#This Row],[CANTIDADES DE REFERENCIA]]</f>
        <v>0</v>
      </c>
      <c r="J2746" s="35">
        <f>Tabla1[[#This Row],[P.U. USD]]*Tabla1[[#This Row],[CANTIDADES DE REFERENCIA]]</f>
        <v>0</v>
      </c>
      <c r="K2746" s="36"/>
      <c r="L2746" s="36"/>
      <c r="M2746" s="36"/>
      <c r="N2746" s="37" t="s">
        <v>5743</v>
      </c>
      <c r="O2746" s="37"/>
      <c r="P2746" s="39"/>
      <c r="Q2746" s="37" t="s">
        <v>5916</v>
      </c>
      <c r="R2746" s="37" t="s">
        <v>389</v>
      </c>
      <c r="S2746" s="37"/>
      <c r="T2746" s="31"/>
    </row>
    <row r="2747" spans="1:20" ht="15" customHeight="1">
      <c r="A2747" s="31"/>
      <c r="B2747" s="32"/>
      <c r="C2747" s="33"/>
      <c r="D2747" s="32" t="s">
        <v>5917</v>
      </c>
      <c r="E2747" s="33" t="s">
        <v>116</v>
      </c>
      <c r="F2747" s="34">
        <v>1</v>
      </c>
      <c r="G2747" s="35">
        <v>0</v>
      </c>
      <c r="H2747" s="35">
        <v>0</v>
      </c>
      <c r="I2747" s="35">
        <f>Tabla1[[#This Row],[P.U. M.N.]]*Tabla1[[#This Row],[CANTIDADES DE REFERENCIA]]</f>
        <v>0</v>
      </c>
      <c r="J2747" s="35">
        <f>Tabla1[[#This Row],[P.U. USD]]*Tabla1[[#This Row],[CANTIDADES DE REFERENCIA]]</f>
        <v>0</v>
      </c>
      <c r="K2747" s="36"/>
      <c r="L2747" s="36"/>
      <c r="M2747" s="36"/>
      <c r="N2747" s="37" t="s">
        <v>5743</v>
      </c>
      <c r="O2747" s="37"/>
      <c r="P2747" s="39"/>
      <c r="Q2747" s="37" t="s">
        <v>5918</v>
      </c>
      <c r="R2747" s="37" t="s">
        <v>389</v>
      </c>
      <c r="S2747" s="37"/>
      <c r="T2747" s="31"/>
    </row>
    <row r="2748" spans="1:20" ht="15" customHeight="1">
      <c r="A2748" s="31"/>
      <c r="B2748" s="32"/>
      <c r="C2748" s="33"/>
      <c r="D2748" s="32" t="s">
        <v>5919</v>
      </c>
      <c r="E2748" s="33" t="s">
        <v>116</v>
      </c>
      <c r="F2748" s="34">
        <v>1</v>
      </c>
      <c r="G2748" s="35">
        <v>0</v>
      </c>
      <c r="H2748" s="35">
        <v>0</v>
      </c>
      <c r="I2748" s="35">
        <f>Tabla1[[#This Row],[P.U. M.N.]]*Tabla1[[#This Row],[CANTIDADES DE REFERENCIA]]</f>
        <v>0</v>
      </c>
      <c r="J2748" s="35">
        <f>Tabla1[[#This Row],[P.U. USD]]*Tabla1[[#This Row],[CANTIDADES DE REFERENCIA]]</f>
        <v>0</v>
      </c>
      <c r="K2748" s="36"/>
      <c r="L2748" s="36"/>
      <c r="M2748" s="36"/>
      <c r="N2748" s="37" t="s">
        <v>5743</v>
      </c>
      <c r="O2748" s="37"/>
      <c r="P2748" s="39"/>
      <c r="Q2748" s="37" t="s">
        <v>5920</v>
      </c>
      <c r="R2748" s="37" t="s">
        <v>389</v>
      </c>
      <c r="S2748" s="37"/>
      <c r="T2748" s="31"/>
    </row>
    <row r="2749" spans="1:20" ht="15" customHeight="1">
      <c r="A2749" s="31"/>
      <c r="B2749" s="32"/>
      <c r="C2749" s="33"/>
      <c r="D2749" s="32" t="s">
        <v>5921</v>
      </c>
      <c r="E2749" s="33" t="s">
        <v>116</v>
      </c>
      <c r="F2749" s="34">
        <v>1</v>
      </c>
      <c r="G2749" s="35">
        <v>0</v>
      </c>
      <c r="H2749" s="35">
        <v>0</v>
      </c>
      <c r="I2749" s="35">
        <f>Tabla1[[#This Row],[P.U. M.N.]]*Tabla1[[#This Row],[CANTIDADES DE REFERENCIA]]</f>
        <v>0</v>
      </c>
      <c r="J2749" s="35">
        <f>Tabla1[[#This Row],[P.U. USD]]*Tabla1[[#This Row],[CANTIDADES DE REFERENCIA]]</f>
        <v>0</v>
      </c>
      <c r="K2749" s="36"/>
      <c r="L2749" s="36"/>
      <c r="M2749" s="36"/>
      <c r="N2749" s="37" t="s">
        <v>5743</v>
      </c>
      <c r="O2749" s="37"/>
      <c r="P2749" s="39"/>
      <c r="Q2749" s="37" t="s">
        <v>5922</v>
      </c>
      <c r="R2749" s="37" t="s">
        <v>389</v>
      </c>
      <c r="S2749" s="37"/>
      <c r="T2749" s="31"/>
    </row>
    <row r="2750" spans="1:20" ht="15" customHeight="1">
      <c r="A2750" s="31"/>
      <c r="B2750" s="32"/>
      <c r="C2750" s="33"/>
      <c r="D2750" s="32" t="s">
        <v>5923</v>
      </c>
      <c r="E2750" s="33" t="s">
        <v>116</v>
      </c>
      <c r="F2750" s="34">
        <v>1</v>
      </c>
      <c r="G2750" s="35">
        <v>0</v>
      </c>
      <c r="H2750" s="35">
        <v>0</v>
      </c>
      <c r="I2750" s="35">
        <f>Tabla1[[#This Row],[P.U. M.N.]]*Tabla1[[#This Row],[CANTIDADES DE REFERENCIA]]</f>
        <v>0</v>
      </c>
      <c r="J2750" s="35">
        <f>Tabla1[[#This Row],[P.U. USD]]*Tabla1[[#This Row],[CANTIDADES DE REFERENCIA]]</f>
        <v>0</v>
      </c>
      <c r="K2750" s="36"/>
      <c r="L2750" s="36"/>
      <c r="M2750" s="36"/>
      <c r="N2750" s="37" t="s">
        <v>5743</v>
      </c>
      <c r="O2750" s="37"/>
      <c r="P2750" s="39"/>
      <c r="Q2750" s="37" t="s">
        <v>5924</v>
      </c>
      <c r="R2750" s="37" t="s">
        <v>389</v>
      </c>
      <c r="S2750" s="37"/>
      <c r="T2750" s="31"/>
    </row>
    <row r="2751" spans="1:20" ht="15" customHeight="1">
      <c r="A2751" s="31"/>
      <c r="B2751" s="32"/>
      <c r="C2751" s="33"/>
      <c r="D2751" s="32" t="s">
        <v>5925</v>
      </c>
      <c r="E2751" s="33" t="s">
        <v>116</v>
      </c>
      <c r="F2751" s="34">
        <v>1</v>
      </c>
      <c r="G2751" s="35">
        <v>0</v>
      </c>
      <c r="H2751" s="35">
        <v>0</v>
      </c>
      <c r="I2751" s="35">
        <f>Tabla1[[#This Row],[P.U. M.N.]]*Tabla1[[#This Row],[CANTIDADES DE REFERENCIA]]</f>
        <v>0</v>
      </c>
      <c r="J2751" s="35">
        <f>Tabla1[[#This Row],[P.U. USD]]*Tabla1[[#This Row],[CANTIDADES DE REFERENCIA]]</f>
        <v>0</v>
      </c>
      <c r="K2751" s="36"/>
      <c r="L2751" s="36"/>
      <c r="M2751" s="36"/>
      <c r="N2751" s="37" t="s">
        <v>4382</v>
      </c>
      <c r="O2751" s="37" t="s">
        <v>3442</v>
      </c>
      <c r="P2751" s="39"/>
      <c r="Q2751" s="37" t="s">
        <v>5926</v>
      </c>
      <c r="R2751" s="37" t="s">
        <v>389</v>
      </c>
      <c r="S2751" s="37"/>
      <c r="T2751" s="31"/>
    </row>
    <row r="2752" spans="1:20" ht="15" customHeight="1">
      <c r="A2752" s="31"/>
      <c r="B2752" s="32"/>
      <c r="C2752" s="33"/>
      <c r="D2752" s="32" t="s">
        <v>5927</v>
      </c>
      <c r="E2752" s="33" t="s">
        <v>116</v>
      </c>
      <c r="F2752" s="34">
        <v>1</v>
      </c>
      <c r="G2752" s="35">
        <v>0</v>
      </c>
      <c r="H2752" s="35">
        <v>0</v>
      </c>
      <c r="I2752" s="35">
        <f>Tabla1[[#This Row],[P.U. M.N.]]*Tabla1[[#This Row],[CANTIDADES DE REFERENCIA]]</f>
        <v>0</v>
      </c>
      <c r="J2752" s="35">
        <f>Tabla1[[#This Row],[P.U. USD]]*Tabla1[[#This Row],[CANTIDADES DE REFERENCIA]]</f>
        <v>0</v>
      </c>
      <c r="K2752" s="36"/>
      <c r="L2752" s="36"/>
      <c r="M2752" s="36"/>
      <c r="N2752" s="37" t="s">
        <v>4382</v>
      </c>
      <c r="O2752" s="37" t="s">
        <v>3442</v>
      </c>
      <c r="P2752" s="39"/>
      <c r="Q2752" s="37" t="s">
        <v>5928</v>
      </c>
      <c r="R2752" s="37" t="s">
        <v>389</v>
      </c>
      <c r="S2752" s="37"/>
      <c r="T2752" s="31"/>
    </row>
    <row r="2753" spans="1:20" ht="15" customHeight="1">
      <c r="A2753" s="31"/>
      <c r="B2753" s="32"/>
      <c r="C2753" s="33"/>
      <c r="D2753" s="32" t="s">
        <v>5929</v>
      </c>
      <c r="E2753" s="33" t="s">
        <v>116</v>
      </c>
      <c r="F2753" s="34">
        <v>1</v>
      </c>
      <c r="G2753" s="35">
        <v>0</v>
      </c>
      <c r="H2753" s="35">
        <v>0</v>
      </c>
      <c r="I2753" s="35">
        <f>Tabla1[[#This Row],[P.U. M.N.]]*Tabla1[[#This Row],[CANTIDADES DE REFERENCIA]]</f>
        <v>0</v>
      </c>
      <c r="J2753" s="35">
        <f>Tabla1[[#This Row],[P.U. USD]]*Tabla1[[#This Row],[CANTIDADES DE REFERENCIA]]</f>
        <v>0</v>
      </c>
      <c r="K2753" s="36"/>
      <c r="L2753" s="36"/>
      <c r="M2753" s="36"/>
      <c r="N2753" s="37" t="s">
        <v>4382</v>
      </c>
      <c r="O2753" s="37" t="s">
        <v>3442</v>
      </c>
      <c r="P2753" s="39"/>
      <c r="Q2753" s="37" t="s">
        <v>5930</v>
      </c>
      <c r="R2753" s="37" t="s">
        <v>389</v>
      </c>
      <c r="S2753" s="37"/>
      <c r="T2753" s="31"/>
    </row>
    <row r="2754" spans="1:20" ht="15" customHeight="1">
      <c r="A2754" s="31"/>
      <c r="B2754" s="32"/>
      <c r="C2754" s="33"/>
      <c r="D2754" s="32" t="s">
        <v>5931</v>
      </c>
      <c r="E2754" s="33" t="s">
        <v>116</v>
      </c>
      <c r="F2754" s="34">
        <v>1</v>
      </c>
      <c r="G2754" s="35">
        <v>0</v>
      </c>
      <c r="H2754" s="35">
        <v>0</v>
      </c>
      <c r="I2754" s="35">
        <f>Tabla1[[#This Row],[P.U. M.N.]]*Tabla1[[#This Row],[CANTIDADES DE REFERENCIA]]</f>
        <v>0</v>
      </c>
      <c r="J2754" s="35">
        <f>Tabla1[[#This Row],[P.U. USD]]*Tabla1[[#This Row],[CANTIDADES DE REFERENCIA]]</f>
        <v>0</v>
      </c>
      <c r="K2754" s="36"/>
      <c r="L2754" s="36"/>
      <c r="M2754" s="36"/>
      <c r="N2754" s="37" t="s">
        <v>4382</v>
      </c>
      <c r="O2754" s="37" t="s">
        <v>3442</v>
      </c>
      <c r="P2754" s="39"/>
      <c r="Q2754" s="37" t="s">
        <v>5932</v>
      </c>
      <c r="R2754" s="37" t="s">
        <v>389</v>
      </c>
      <c r="S2754" s="37"/>
      <c r="T2754" s="31"/>
    </row>
    <row r="2755" spans="1:20">
      <c r="A2755" s="31"/>
      <c r="B2755" s="32"/>
      <c r="C2755" s="33"/>
      <c r="D2755" s="32" t="s">
        <v>5933</v>
      </c>
      <c r="E2755" s="33" t="s">
        <v>5151</v>
      </c>
      <c r="F2755" s="34">
        <v>1</v>
      </c>
      <c r="G2755" s="35">
        <v>0</v>
      </c>
      <c r="H2755" s="35">
        <v>0</v>
      </c>
      <c r="I2755" s="35">
        <f>Tabla1[[#This Row],[P.U. M.N.]]*Tabla1[[#This Row],[CANTIDADES DE REFERENCIA]]</f>
        <v>0</v>
      </c>
      <c r="J2755" s="35">
        <f>Tabla1[[#This Row],[P.U. USD]]*Tabla1[[#This Row],[CANTIDADES DE REFERENCIA]]</f>
        <v>0</v>
      </c>
      <c r="K2755" s="36"/>
      <c r="L2755" s="36"/>
      <c r="M2755" s="36"/>
      <c r="N2755" s="37" t="s">
        <v>5934</v>
      </c>
      <c r="O2755" s="37"/>
      <c r="P2755" s="39"/>
      <c r="Q2755" s="37" t="s">
        <v>5935</v>
      </c>
      <c r="R2755" s="37" t="s">
        <v>389</v>
      </c>
      <c r="S2755" s="37"/>
      <c r="T2755" s="31"/>
    </row>
    <row r="2756" spans="1:20">
      <c r="A2756" s="31"/>
      <c r="B2756" s="32"/>
      <c r="C2756" s="33"/>
      <c r="D2756" s="32" t="s">
        <v>5936</v>
      </c>
      <c r="E2756" s="33" t="s">
        <v>116</v>
      </c>
      <c r="F2756" s="34">
        <v>1</v>
      </c>
      <c r="G2756" s="35">
        <v>0</v>
      </c>
      <c r="H2756" s="35">
        <v>0</v>
      </c>
      <c r="I2756" s="35">
        <f>Tabla1[[#This Row],[P.U. M.N.]]*Tabla1[[#This Row],[CANTIDADES DE REFERENCIA]]</f>
        <v>0</v>
      </c>
      <c r="J2756" s="35">
        <f>Tabla1[[#This Row],[P.U. USD]]*Tabla1[[#This Row],[CANTIDADES DE REFERENCIA]]</f>
        <v>0</v>
      </c>
      <c r="K2756" s="36"/>
      <c r="L2756" s="36"/>
      <c r="M2756" s="36"/>
      <c r="N2756" s="37" t="s">
        <v>5934</v>
      </c>
      <c r="O2756" s="37"/>
      <c r="P2756" s="39"/>
      <c r="Q2756" s="37" t="s">
        <v>5937</v>
      </c>
      <c r="R2756" s="37" t="s">
        <v>389</v>
      </c>
      <c r="S2756" s="37"/>
      <c r="T2756" s="31"/>
    </row>
    <row r="2757" spans="1:20">
      <c r="A2757" s="31"/>
      <c r="B2757" s="32"/>
      <c r="C2757" s="33"/>
      <c r="D2757" s="32" t="s">
        <v>5938</v>
      </c>
      <c r="E2757" s="33" t="s">
        <v>54</v>
      </c>
      <c r="F2757" s="34">
        <v>1</v>
      </c>
      <c r="G2757" s="35">
        <v>0</v>
      </c>
      <c r="H2757" s="35">
        <v>0</v>
      </c>
      <c r="I2757" s="35">
        <f>Tabla1[[#This Row],[P.U. M.N.]]*Tabla1[[#This Row],[CANTIDADES DE REFERENCIA]]</f>
        <v>0</v>
      </c>
      <c r="J2757" s="35">
        <f>Tabla1[[#This Row],[P.U. USD]]*Tabla1[[#This Row],[CANTIDADES DE REFERENCIA]]</f>
        <v>0</v>
      </c>
      <c r="K2757" s="36"/>
      <c r="L2757" s="36"/>
      <c r="M2757" s="36"/>
      <c r="N2757" s="37" t="s">
        <v>5934</v>
      </c>
      <c r="O2757" s="37"/>
      <c r="P2757" s="39"/>
      <c r="Q2757" s="37" t="s">
        <v>5939</v>
      </c>
      <c r="R2757" s="37" t="s">
        <v>389</v>
      </c>
      <c r="S2757" s="37"/>
      <c r="T2757" s="31"/>
    </row>
    <row r="2758" spans="1:20" ht="15" customHeight="1">
      <c r="A2758" s="31"/>
      <c r="B2758" s="32"/>
      <c r="C2758" s="33"/>
      <c r="D2758" s="32" t="s">
        <v>5940</v>
      </c>
      <c r="E2758" s="33" t="s">
        <v>130</v>
      </c>
      <c r="F2758" s="34">
        <v>1</v>
      </c>
      <c r="G2758" s="35">
        <v>0</v>
      </c>
      <c r="H2758" s="35">
        <v>0</v>
      </c>
      <c r="I2758" s="35">
        <f>Tabla1[[#This Row],[P.U. M.N.]]*Tabla1[[#This Row],[CANTIDADES DE REFERENCIA]]</f>
        <v>0</v>
      </c>
      <c r="J2758" s="35">
        <f>Tabla1[[#This Row],[P.U. USD]]*Tabla1[[#This Row],[CANTIDADES DE REFERENCIA]]</f>
        <v>0</v>
      </c>
      <c r="K2758" s="36"/>
      <c r="L2758" s="36"/>
      <c r="M2758" s="36"/>
      <c r="N2758" s="37" t="s">
        <v>5941</v>
      </c>
      <c r="O2758" s="37"/>
      <c r="P2758" s="39"/>
      <c r="Q2758" s="37" t="s">
        <v>5942</v>
      </c>
      <c r="R2758" s="37" t="s">
        <v>389</v>
      </c>
      <c r="S2758" s="37"/>
      <c r="T2758" s="31"/>
    </row>
    <row r="2759" spans="1:20" ht="15" customHeight="1">
      <c r="A2759" s="31"/>
      <c r="B2759" s="32"/>
      <c r="C2759" s="33"/>
      <c r="D2759" s="32" t="s">
        <v>5943</v>
      </c>
      <c r="E2759" s="33" t="s">
        <v>116</v>
      </c>
      <c r="F2759" s="34">
        <v>1</v>
      </c>
      <c r="G2759" s="35">
        <v>0</v>
      </c>
      <c r="H2759" s="35">
        <v>0</v>
      </c>
      <c r="I2759" s="35">
        <f>Tabla1[[#This Row],[P.U. M.N.]]*Tabla1[[#This Row],[CANTIDADES DE REFERENCIA]]</f>
        <v>0</v>
      </c>
      <c r="J2759" s="35">
        <f>Tabla1[[#This Row],[P.U. USD]]*Tabla1[[#This Row],[CANTIDADES DE REFERENCIA]]</f>
        <v>0</v>
      </c>
      <c r="K2759" s="36"/>
      <c r="L2759" s="36"/>
      <c r="M2759" s="36"/>
      <c r="N2759" s="37" t="s">
        <v>5944</v>
      </c>
      <c r="O2759" s="37"/>
      <c r="P2759" s="39"/>
      <c r="Q2759" s="37" t="s">
        <v>5945</v>
      </c>
      <c r="R2759" s="37" t="s">
        <v>389</v>
      </c>
      <c r="S2759" s="37"/>
      <c r="T2759" s="31"/>
    </row>
    <row r="2760" spans="1:20" ht="15" customHeight="1">
      <c r="A2760" s="31"/>
      <c r="B2760" s="32"/>
      <c r="C2760" s="33"/>
      <c r="D2760" s="32" t="s">
        <v>5946</v>
      </c>
      <c r="E2760" s="33" t="s">
        <v>116</v>
      </c>
      <c r="F2760" s="34">
        <v>1</v>
      </c>
      <c r="G2760" s="35">
        <v>0</v>
      </c>
      <c r="H2760" s="35">
        <v>0</v>
      </c>
      <c r="I2760" s="35">
        <f>Tabla1[[#This Row],[P.U. M.N.]]*Tabla1[[#This Row],[CANTIDADES DE REFERENCIA]]</f>
        <v>0</v>
      </c>
      <c r="J2760" s="35">
        <f>Tabla1[[#This Row],[P.U. USD]]*Tabla1[[#This Row],[CANTIDADES DE REFERENCIA]]</f>
        <v>0</v>
      </c>
      <c r="K2760" s="36"/>
      <c r="L2760" s="36"/>
      <c r="M2760" s="36"/>
      <c r="N2760" s="37" t="s">
        <v>5947</v>
      </c>
      <c r="O2760" s="37"/>
      <c r="P2760" s="39"/>
      <c r="Q2760" s="37" t="s">
        <v>5948</v>
      </c>
      <c r="R2760" s="37" t="s">
        <v>389</v>
      </c>
      <c r="S2760" s="37"/>
      <c r="T2760" s="31"/>
    </row>
    <row r="2761" spans="1:20" ht="15" customHeight="1">
      <c r="A2761" s="31"/>
      <c r="B2761" s="32"/>
      <c r="C2761" s="33"/>
      <c r="D2761" s="32" t="s">
        <v>5949</v>
      </c>
      <c r="E2761" s="33" t="s">
        <v>116</v>
      </c>
      <c r="F2761" s="34">
        <v>1</v>
      </c>
      <c r="G2761" s="35">
        <v>0</v>
      </c>
      <c r="H2761" s="35">
        <v>0</v>
      </c>
      <c r="I2761" s="35">
        <f>Tabla1[[#This Row],[P.U. M.N.]]*Tabla1[[#This Row],[CANTIDADES DE REFERENCIA]]</f>
        <v>0</v>
      </c>
      <c r="J2761" s="35">
        <f>Tabla1[[#This Row],[P.U. USD]]*Tabla1[[#This Row],[CANTIDADES DE REFERENCIA]]</f>
        <v>0</v>
      </c>
      <c r="K2761" s="36"/>
      <c r="L2761" s="36"/>
      <c r="M2761" s="36"/>
      <c r="N2761" s="37" t="s">
        <v>5947</v>
      </c>
      <c r="O2761" s="37"/>
      <c r="P2761" s="39"/>
      <c r="Q2761" s="37" t="s">
        <v>5950</v>
      </c>
      <c r="R2761" s="37" t="s">
        <v>389</v>
      </c>
      <c r="S2761" s="37"/>
      <c r="T2761" s="31"/>
    </row>
    <row r="2762" spans="1:20" ht="15" customHeight="1">
      <c r="A2762" s="31"/>
      <c r="B2762" s="32"/>
      <c r="C2762" s="33"/>
      <c r="D2762" s="32" t="s">
        <v>5951</v>
      </c>
      <c r="E2762" s="33" t="s">
        <v>116</v>
      </c>
      <c r="F2762" s="34">
        <v>1</v>
      </c>
      <c r="G2762" s="35">
        <v>0</v>
      </c>
      <c r="H2762" s="35">
        <v>0</v>
      </c>
      <c r="I2762" s="35">
        <f>Tabla1[[#This Row],[P.U. M.N.]]*Tabla1[[#This Row],[CANTIDADES DE REFERENCIA]]</f>
        <v>0</v>
      </c>
      <c r="J2762" s="35">
        <f>Tabla1[[#This Row],[P.U. USD]]*Tabla1[[#This Row],[CANTIDADES DE REFERENCIA]]</f>
        <v>0</v>
      </c>
      <c r="K2762" s="36"/>
      <c r="L2762" s="36"/>
      <c r="M2762" s="36"/>
      <c r="N2762" s="37" t="s">
        <v>5947</v>
      </c>
      <c r="O2762" s="37"/>
      <c r="P2762" s="39"/>
      <c r="Q2762" s="37" t="s">
        <v>5952</v>
      </c>
      <c r="R2762" s="37" t="s">
        <v>389</v>
      </c>
      <c r="S2762" s="37"/>
      <c r="T2762" s="31"/>
    </row>
    <row r="2763" spans="1:20" ht="15" customHeight="1">
      <c r="A2763" s="31"/>
      <c r="B2763" s="32"/>
      <c r="C2763" s="33"/>
      <c r="D2763" s="32" t="s">
        <v>5953</v>
      </c>
      <c r="E2763" s="33" t="s">
        <v>42</v>
      </c>
      <c r="F2763" s="34">
        <v>1</v>
      </c>
      <c r="G2763" s="35">
        <v>0</v>
      </c>
      <c r="H2763" s="35">
        <v>0</v>
      </c>
      <c r="I2763" s="35">
        <f>Tabla1[[#This Row],[P.U. M.N.]]*Tabla1[[#This Row],[CANTIDADES DE REFERENCIA]]</f>
        <v>0</v>
      </c>
      <c r="J2763" s="35">
        <f>Tabla1[[#This Row],[P.U. USD]]*Tabla1[[#This Row],[CANTIDADES DE REFERENCIA]]</f>
        <v>0</v>
      </c>
      <c r="K2763" s="36"/>
      <c r="L2763" s="36"/>
      <c r="M2763" s="36"/>
      <c r="N2763" s="37" t="s">
        <v>5639</v>
      </c>
      <c r="O2763" s="37" t="s">
        <v>5640</v>
      </c>
      <c r="P2763" s="39"/>
      <c r="Q2763" s="37" t="s">
        <v>5954</v>
      </c>
      <c r="R2763" s="37" t="s">
        <v>389</v>
      </c>
      <c r="S2763" s="37"/>
      <c r="T2763" s="31"/>
    </row>
    <row r="2764" spans="1:20" ht="15" customHeight="1">
      <c r="A2764" s="31"/>
      <c r="B2764" s="32"/>
      <c r="C2764" s="33"/>
      <c r="D2764" s="32" t="s">
        <v>5955</v>
      </c>
      <c r="E2764" s="33" t="s">
        <v>42</v>
      </c>
      <c r="F2764" s="34">
        <v>1</v>
      </c>
      <c r="G2764" s="35">
        <v>0</v>
      </c>
      <c r="H2764" s="35">
        <v>0</v>
      </c>
      <c r="I2764" s="35">
        <f>Tabla1[[#This Row],[P.U. M.N.]]*Tabla1[[#This Row],[CANTIDADES DE REFERENCIA]]</f>
        <v>0</v>
      </c>
      <c r="J2764" s="35">
        <f>Tabla1[[#This Row],[P.U. USD]]*Tabla1[[#This Row],[CANTIDADES DE REFERENCIA]]</f>
        <v>0</v>
      </c>
      <c r="K2764" s="36"/>
      <c r="L2764" s="36"/>
      <c r="M2764" s="36"/>
      <c r="N2764" s="37" t="s">
        <v>5639</v>
      </c>
      <c r="O2764" s="37" t="s">
        <v>5640</v>
      </c>
      <c r="P2764" s="39"/>
      <c r="Q2764" s="37" t="s">
        <v>5956</v>
      </c>
      <c r="R2764" s="37" t="s">
        <v>389</v>
      </c>
      <c r="S2764" s="37"/>
      <c r="T2764" s="31"/>
    </row>
    <row r="2765" spans="1:20" ht="15" customHeight="1">
      <c r="A2765" s="31"/>
      <c r="B2765" s="32"/>
      <c r="C2765" s="33"/>
      <c r="D2765" s="32" t="s">
        <v>5957</v>
      </c>
      <c r="E2765" s="33" t="s">
        <v>42</v>
      </c>
      <c r="F2765" s="34">
        <v>1</v>
      </c>
      <c r="G2765" s="35">
        <v>0</v>
      </c>
      <c r="H2765" s="35">
        <v>0</v>
      </c>
      <c r="I2765" s="35">
        <f>Tabla1[[#This Row],[P.U. M.N.]]*Tabla1[[#This Row],[CANTIDADES DE REFERENCIA]]</f>
        <v>0</v>
      </c>
      <c r="J2765" s="35">
        <f>Tabla1[[#This Row],[P.U. USD]]*Tabla1[[#This Row],[CANTIDADES DE REFERENCIA]]</f>
        <v>0</v>
      </c>
      <c r="K2765" s="36"/>
      <c r="L2765" s="36"/>
      <c r="M2765" s="36"/>
      <c r="N2765" s="37" t="s">
        <v>5639</v>
      </c>
      <c r="O2765" s="37" t="s">
        <v>5640</v>
      </c>
      <c r="P2765" s="39"/>
      <c r="Q2765" s="37" t="s">
        <v>5958</v>
      </c>
      <c r="R2765" s="37" t="s">
        <v>389</v>
      </c>
      <c r="S2765" s="37"/>
      <c r="T2765" s="31"/>
    </row>
    <row r="2766" spans="1:20" ht="15" customHeight="1">
      <c r="A2766" s="31"/>
      <c r="B2766" s="32"/>
      <c r="C2766" s="33"/>
      <c r="D2766" s="32" t="s">
        <v>5959</v>
      </c>
      <c r="E2766" s="33" t="s">
        <v>42</v>
      </c>
      <c r="F2766" s="34">
        <v>1</v>
      </c>
      <c r="G2766" s="35">
        <v>0</v>
      </c>
      <c r="H2766" s="35">
        <v>0</v>
      </c>
      <c r="I2766" s="35">
        <f>Tabla1[[#This Row],[P.U. M.N.]]*Tabla1[[#This Row],[CANTIDADES DE REFERENCIA]]</f>
        <v>0</v>
      </c>
      <c r="J2766" s="35">
        <f>Tabla1[[#This Row],[P.U. USD]]*Tabla1[[#This Row],[CANTIDADES DE REFERENCIA]]</f>
        <v>0</v>
      </c>
      <c r="K2766" s="36"/>
      <c r="L2766" s="36"/>
      <c r="M2766" s="36"/>
      <c r="N2766" s="37" t="s">
        <v>5639</v>
      </c>
      <c r="O2766" s="37" t="s">
        <v>5640</v>
      </c>
      <c r="P2766" s="39"/>
      <c r="Q2766" s="37" t="s">
        <v>5960</v>
      </c>
      <c r="R2766" s="37" t="s">
        <v>389</v>
      </c>
      <c r="S2766" s="37"/>
      <c r="T2766" s="31"/>
    </row>
    <row r="2767" spans="1:20" ht="15" customHeight="1">
      <c r="A2767" s="31"/>
      <c r="B2767" s="32"/>
      <c r="C2767" s="33"/>
      <c r="D2767" s="32" t="s">
        <v>5961</v>
      </c>
      <c r="E2767" s="33" t="s">
        <v>42</v>
      </c>
      <c r="F2767" s="34">
        <v>1</v>
      </c>
      <c r="G2767" s="35">
        <v>0</v>
      </c>
      <c r="H2767" s="35">
        <v>0</v>
      </c>
      <c r="I2767" s="35">
        <f>Tabla1[[#This Row],[P.U. M.N.]]*Tabla1[[#This Row],[CANTIDADES DE REFERENCIA]]</f>
        <v>0</v>
      </c>
      <c r="J2767" s="35">
        <f>Tabla1[[#This Row],[P.U. USD]]*Tabla1[[#This Row],[CANTIDADES DE REFERENCIA]]</f>
        <v>0</v>
      </c>
      <c r="K2767" s="36"/>
      <c r="L2767" s="36"/>
      <c r="M2767" s="36"/>
      <c r="N2767" s="37" t="s">
        <v>5639</v>
      </c>
      <c r="O2767" s="37" t="s">
        <v>5640</v>
      </c>
      <c r="P2767" s="39"/>
      <c r="Q2767" s="37" t="s">
        <v>5962</v>
      </c>
      <c r="R2767" s="37" t="s">
        <v>389</v>
      </c>
      <c r="S2767" s="37"/>
      <c r="T2767" s="31"/>
    </row>
    <row r="2768" spans="1:20" ht="15" customHeight="1">
      <c r="A2768" s="31"/>
      <c r="B2768" s="32"/>
      <c r="C2768" s="33"/>
      <c r="D2768" s="32" t="s">
        <v>5963</v>
      </c>
      <c r="E2768" s="33" t="s">
        <v>42</v>
      </c>
      <c r="F2768" s="34">
        <v>1</v>
      </c>
      <c r="G2768" s="35">
        <v>0</v>
      </c>
      <c r="H2768" s="35">
        <v>0</v>
      </c>
      <c r="I2768" s="35">
        <f>Tabla1[[#This Row],[P.U. M.N.]]*Tabla1[[#This Row],[CANTIDADES DE REFERENCIA]]</f>
        <v>0</v>
      </c>
      <c r="J2768" s="35">
        <f>Tabla1[[#This Row],[P.U. USD]]*Tabla1[[#This Row],[CANTIDADES DE REFERENCIA]]</f>
        <v>0</v>
      </c>
      <c r="K2768" s="36"/>
      <c r="L2768" s="36"/>
      <c r="M2768" s="36"/>
      <c r="N2768" s="37" t="s">
        <v>5639</v>
      </c>
      <c r="O2768" s="37" t="s">
        <v>5640</v>
      </c>
      <c r="P2768" s="39"/>
      <c r="Q2768" s="37" t="s">
        <v>5964</v>
      </c>
      <c r="R2768" s="37" t="s">
        <v>389</v>
      </c>
      <c r="S2768" s="37"/>
      <c r="T2768" s="31"/>
    </row>
    <row r="2769" spans="1:20" ht="15" customHeight="1">
      <c r="A2769" s="31"/>
      <c r="B2769" s="32"/>
      <c r="C2769" s="33"/>
      <c r="D2769" s="32" t="s">
        <v>5965</v>
      </c>
      <c r="E2769" s="33" t="s">
        <v>42</v>
      </c>
      <c r="F2769" s="34">
        <v>1</v>
      </c>
      <c r="G2769" s="35">
        <v>0</v>
      </c>
      <c r="H2769" s="35">
        <v>0</v>
      </c>
      <c r="I2769" s="35">
        <f>Tabla1[[#This Row],[P.U. M.N.]]*Tabla1[[#This Row],[CANTIDADES DE REFERENCIA]]</f>
        <v>0</v>
      </c>
      <c r="J2769" s="35">
        <f>Tabla1[[#This Row],[P.U. USD]]*Tabla1[[#This Row],[CANTIDADES DE REFERENCIA]]</f>
        <v>0</v>
      </c>
      <c r="K2769" s="36"/>
      <c r="L2769" s="36"/>
      <c r="M2769" s="36"/>
      <c r="N2769" s="37" t="s">
        <v>5639</v>
      </c>
      <c r="O2769" s="37" t="s">
        <v>5640</v>
      </c>
      <c r="P2769" s="39"/>
      <c r="Q2769" s="37" t="s">
        <v>5966</v>
      </c>
      <c r="R2769" s="37" t="s">
        <v>389</v>
      </c>
      <c r="S2769" s="37"/>
      <c r="T2769" s="31"/>
    </row>
    <row r="2770" spans="1:20" ht="15" customHeight="1">
      <c r="A2770" s="31"/>
      <c r="B2770" s="32"/>
      <c r="C2770" s="33"/>
      <c r="D2770" s="32" t="s">
        <v>5967</v>
      </c>
      <c r="E2770" s="33" t="s">
        <v>42</v>
      </c>
      <c r="F2770" s="34">
        <v>1</v>
      </c>
      <c r="G2770" s="35">
        <v>0</v>
      </c>
      <c r="H2770" s="35">
        <v>0</v>
      </c>
      <c r="I2770" s="35">
        <f>Tabla1[[#This Row],[P.U. M.N.]]*Tabla1[[#This Row],[CANTIDADES DE REFERENCIA]]</f>
        <v>0</v>
      </c>
      <c r="J2770" s="35">
        <f>Tabla1[[#This Row],[P.U. USD]]*Tabla1[[#This Row],[CANTIDADES DE REFERENCIA]]</f>
        <v>0</v>
      </c>
      <c r="K2770" s="36"/>
      <c r="L2770" s="36"/>
      <c r="M2770" s="36"/>
      <c r="N2770" s="37" t="s">
        <v>5639</v>
      </c>
      <c r="O2770" s="37" t="s">
        <v>5640</v>
      </c>
      <c r="P2770" s="39"/>
      <c r="Q2770" s="37" t="s">
        <v>5968</v>
      </c>
      <c r="R2770" s="37" t="s">
        <v>389</v>
      </c>
      <c r="S2770" s="37"/>
      <c r="T2770" s="31"/>
    </row>
    <row r="2771" spans="1:20" ht="15" customHeight="1">
      <c r="A2771" s="31"/>
      <c r="B2771" s="32"/>
      <c r="C2771" s="33"/>
      <c r="D2771" s="32" t="s">
        <v>5969</v>
      </c>
      <c r="E2771" s="33" t="s">
        <v>42</v>
      </c>
      <c r="F2771" s="34">
        <v>1</v>
      </c>
      <c r="G2771" s="35">
        <v>0</v>
      </c>
      <c r="H2771" s="35">
        <v>0</v>
      </c>
      <c r="I2771" s="35">
        <f>Tabla1[[#This Row],[P.U. M.N.]]*Tabla1[[#This Row],[CANTIDADES DE REFERENCIA]]</f>
        <v>0</v>
      </c>
      <c r="J2771" s="35">
        <f>Tabla1[[#This Row],[P.U. USD]]*Tabla1[[#This Row],[CANTIDADES DE REFERENCIA]]</f>
        <v>0</v>
      </c>
      <c r="K2771" s="36"/>
      <c r="L2771" s="36"/>
      <c r="M2771" s="36"/>
      <c r="N2771" s="37" t="s">
        <v>5639</v>
      </c>
      <c r="O2771" s="37" t="s">
        <v>5640</v>
      </c>
      <c r="P2771" s="39"/>
      <c r="Q2771" s="37" t="s">
        <v>5970</v>
      </c>
      <c r="R2771" s="37" t="s">
        <v>389</v>
      </c>
      <c r="S2771" s="37"/>
      <c r="T2771" s="31"/>
    </row>
    <row r="2772" spans="1:20" ht="15" customHeight="1">
      <c r="A2772" s="31"/>
      <c r="B2772" s="32"/>
      <c r="C2772" s="33"/>
      <c r="D2772" s="32" t="s">
        <v>5971</v>
      </c>
      <c r="E2772" s="33" t="s">
        <v>42</v>
      </c>
      <c r="F2772" s="34">
        <v>1</v>
      </c>
      <c r="G2772" s="35">
        <v>0</v>
      </c>
      <c r="H2772" s="35">
        <v>0</v>
      </c>
      <c r="I2772" s="35">
        <f>Tabla1[[#This Row],[P.U. M.N.]]*Tabla1[[#This Row],[CANTIDADES DE REFERENCIA]]</f>
        <v>0</v>
      </c>
      <c r="J2772" s="35">
        <f>Tabla1[[#This Row],[P.U. USD]]*Tabla1[[#This Row],[CANTIDADES DE REFERENCIA]]</f>
        <v>0</v>
      </c>
      <c r="K2772" s="36"/>
      <c r="L2772" s="36"/>
      <c r="M2772" s="36"/>
      <c r="N2772" s="37" t="s">
        <v>5639</v>
      </c>
      <c r="O2772" s="37" t="s">
        <v>5640</v>
      </c>
      <c r="P2772" s="39"/>
      <c r="Q2772" s="37" t="s">
        <v>5972</v>
      </c>
      <c r="R2772" s="37" t="s">
        <v>389</v>
      </c>
      <c r="S2772" s="37"/>
      <c r="T2772" s="31"/>
    </row>
    <row r="2773" spans="1:20" ht="15" customHeight="1">
      <c r="A2773" s="31"/>
      <c r="B2773" s="32"/>
      <c r="C2773" s="33"/>
      <c r="D2773" s="32" t="s">
        <v>5973</v>
      </c>
      <c r="E2773" s="33" t="s">
        <v>42</v>
      </c>
      <c r="F2773" s="34">
        <v>1</v>
      </c>
      <c r="G2773" s="35">
        <v>0</v>
      </c>
      <c r="H2773" s="35">
        <v>0</v>
      </c>
      <c r="I2773" s="35">
        <f>Tabla1[[#This Row],[P.U. M.N.]]*Tabla1[[#This Row],[CANTIDADES DE REFERENCIA]]</f>
        <v>0</v>
      </c>
      <c r="J2773" s="35">
        <f>Tabla1[[#This Row],[P.U. USD]]*Tabla1[[#This Row],[CANTIDADES DE REFERENCIA]]</f>
        <v>0</v>
      </c>
      <c r="K2773" s="36"/>
      <c r="L2773" s="36"/>
      <c r="M2773" s="36"/>
      <c r="N2773" s="37" t="s">
        <v>5639</v>
      </c>
      <c r="O2773" s="37" t="s">
        <v>5640</v>
      </c>
      <c r="P2773" s="39"/>
      <c r="Q2773" s="37" t="s">
        <v>5974</v>
      </c>
      <c r="R2773" s="37" t="s">
        <v>389</v>
      </c>
      <c r="S2773" s="37"/>
      <c r="T2773" s="31"/>
    </row>
    <row r="2774" spans="1:20" ht="15" customHeight="1">
      <c r="A2774" s="31"/>
      <c r="B2774" s="32"/>
      <c r="C2774" s="33"/>
      <c r="D2774" s="32" t="s">
        <v>5975</v>
      </c>
      <c r="E2774" s="33" t="s">
        <v>42</v>
      </c>
      <c r="F2774" s="34">
        <v>1</v>
      </c>
      <c r="G2774" s="35">
        <v>0</v>
      </c>
      <c r="H2774" s="35">
        <v>0</v>
      </c>
      <c r="I2774" s="35">
        <f>Tabla1[[#This Row],[P.U. M.N.]]*Tabla1[[#This Row],[CANTIDADES DE REFERENCIA]]</f>
        <v>0</v>
      </c>
      <c r="J2774" s="35">
        <f>Tabla1[[#This Row],[P.U. USD]]*Tabla1[[#This Row],[CANTIDADES DE REFERENCIA]]</f>
        <v>0</v>
      </c>
      <c r="K2774" s="36"/>
      <c r="L2774" s="36"/>
      <c r="M2774" s="36"/>
      <c r="N2774" s="37" t="s">
        <v>5639</v>
      </c>
      <c r="O2774" s="37" t="s">
        <v>5640</v>
      </c>
      <c r="P2774" s="39"/>
      <c r="Q2774" s="37" t="s">
        <v>5976</v>
      </c>
      <c r="R2774" s="37" t="s">
        <v>389</v>
      </c>
      <c r="S2774" s="37"/>
      <c r="T2774" s="31"/>
    </row>
    <row r="2775" spans="1:20" ht="15" customHeight="1">
      <c r="A2775" s="31"/>
      <c r="B2775" s="32"/>
      <c r="C2775" s="33"/>
      <c r="D2775" s="32" t="s">
        <v>5977</v>
      </c>
      <c r="E2775" s="33" t="s">
        <v>42</v>
      </c>
      <c r="F2775" s="34">
        <v>1</v>
      </c>
      <c r="G2775" s="35">
        <v>0</v>
      </c>
      <c r="H2775" s="35">
        <v>0</v>
      </c>
      <c r="I2775" s="35">
        <f>Tabla1[[#This Row],[P.U. M.N.]]*Tabla1[[#This Row],[CANTIDADES DE REFERENCIA]]</f>
        <v>0</v>
      </c>
      <c r="J2775" s="35">
        <f>Tabla1[[#This Row],[P.U. USD]]*Tabla1[[#This Row],[CANTIDADES DE REFERENCIA]]</f>
        <v>0</v>
      </c>
      <c r="K2775" s="36"/>
      <c r="L2775" s="36"/>
      <c r="M2775" s="36"/>
      <c r="N2775" s="37" t="s">
        <v>5639</v>
      </c>
      <c r="O2775" s="37" t="s">
        <v>5640</v>
      </c>
      <c r="P2775" s="39"/>
      <c r="Q2775" s="37" t="s">
        <v>5978</v>
      </c>
      <c r="R2775" s="37" t="s">
        <v>389</v>
      </c>
      <c r="S2775" s="37"/>
      <c r="T2775" s="31"/>
    </row>
    <row r="2776" spans="1:20" ht="15" customHeight="1">
      <c r="A2776" s="31"/>
      <c r="B2776" s="32"/>
      <c r="C2776" s="33"/>
      <c r="D2776" s="32" t="s">
        <v>5979</v>
      </c>
      <c r="E2776" s="33" t="s">
        <v>42</v>
      </c>
      <c r="F2776" s="34">
        <v>1</v>
      </c>
      <c r="G2776" s="35">
        <v>0</v>
      </c>
      <c r="H2776" s="35">
        <v>0</v>
      </c>
      <c r="I2776" s="35">
        <f>Tabla1[[#This Row],[P.U. M.N.]]*Tabla1[[#This Row],[CANTIDADES DE REFERENCIA]]</f>
        <v>0</v>
      </c>
      <c r="J2776" s="35">
        <f>Tabla1[[#This Row],[P.U. USD]]*Tabla1[[#This Row],[CANTIDADES DE REFERENCIA]]</f>
        <v>0</v>
      </c>
      <c r="K2776" s="36"/>
      <c r="L2776" s="36"/>
      <c r="M2776" s="36"/>
      <c r="N2776" s="37" t="s">
        <v>5639</v>
      </c>
      <c r="O2776" s="37" t="s">
        <v>5640</v>
      </c>
      <c r="P2776" s="39"/>
      <c r="Q2776" s="37" t="s">
        <v>5980</v>
      </c>
      <c r="R2776" s="37" t="s">
        <v>389</v>
      </c>
      <c r="S2776" s="37"/>
      <c r="T2776" s="31"/>
    </row>
    <row r="2777" spans="1:20" ht="15" customHeight="1">
      <c r="A2777" s="31"/>
      <c r="B2777" s="32"/>
      <c r="C2777" s="33"/>
      <c r="D2777" s="32" t="s">
        <v>5981</v>
      </c>
      <c r="E2777" s="33" t="s">
        <v>42</v>
      </c>
      <c r="F2777" s="34">
        <v>1</v>
      </c>
      <c r="G2777" s="35">
        <v>0</v>
      </c>
      <c r="H2777" s="35">
        <v>0</v>
      </c>
      <c r="I2777" s="35">
        <f>Tabla1[[#This Row],[P.U. M.N.]]*Tabla1[[#This Row],[CANTIDADES DE REFERENCIA]]</f>
        <v>0</v>
      </c>
      <c r="J2777" s="35">
        <f>Tabla1[[#This Row],[P.U. USD]]*Tabla1[[#This Row],[CANTIDADES DE REFERENCIA]]</f>
        <v>0</v>
      </c>
      <c r="K2777" s="36"/>
      <c r="L2777" s="36"/>
      <c r="M2777" s="36"/>
      <c r="N2777" s="37" t="s">
        <v>5639</v>
      </c>
      <c r="O2777" s="37" t="s">
        <v>5640</v>
      </c>
      <c r="P2777" s="39"/>
      <c r="Q2777" s="37" t="s">
        <v>5982</v>
      </c>
      <c r="R2777" s="37" t="s">
        <v>389</v>
      </c>
      <c r="S2777" s="37"/>
      <c r="T2777" s="31"/>
    </row>
    <row r="2778" spans="1:20" ht="15" customHeight="1">
      <c r="A2778" s="31"/>
      <c r="B2778" s="32"/>
      <c r="C2778" s="33"/>
      <c r="D2778" s="32" t="s">
        <v>5983</v>
      </c>
      <c r="E2778" s="33" t="s">
        <v>42</v>
      </c>
      <c r="F2778" s="34">
        <v>1</v>
      </c>
      <c r="G2778" s="35">
        <v>0</v>
      </c>
      <c r="H2778" s="35">
        <v>0</v>
      </c>
      <c r="I2778" s="35">
        <f>Tabla1[[#This Row],[P.U. M.N.]]*Tabla1[[#This Row],[CANTIDADES DE REFERENCIA]]</f>
        <v>0</v>
      </c>
      <c r="J2778" s="35">
        <f>Tabla1[[#This Row],[P.U. USD]]*Tabla1[[#This Row],[CANTIDADES DE REFERENCIA]]</f>
        <v>0</v>
      </c>
      <c r="K2778" s="36"/>
      <c r="L2778" s="36"/>
      <c r="M2778" s="36"/>
      <c r="N2778" s="37" t="s">
        <v>5639</v>
      </c>
      <c r="O2778" s="37" t="s">
        <v>5640</v>
      </c>
      <c r="P2778" s="39"/>
      <c r="Q2778" s="37" t="s">
        <v>5984</v>
      </c>
      <c r="R2778" s="37" t="s">
        <v>389</v>
      </c>
      <c r="S2778" s="37"/>
      <c r="T2778" s="31"/>
    </row>
    <row r="2779" spans="1:20" ht="15" customHeight="1">
      <c r="A2779" s="31"/>
      <c r="B2779" s="32"/>
      <c r="C2779" s="33"/>
      <c r="D2779" s="32" t="s">
        <v>5985</v>
      </c>
      <c r="E2779" s="33" t="s">
        <v>42</v>
      </c>
      <c r="F2779" s="34">
        <v>1</v>
      </c>
      <c r="G2779" s="35">
        <v>0</v>
      </c>
      <c r="H2779" s="35">
        <v>0</v>
      </c>
      <c r="I2779" s="35">
        <f>Tabla1[[#This Row],[P.U. M.N.]]*Tabla1[[#This Row],[CANTIDADES DE REFERENCIA]]</f>
        <v>0</v>
      </c>
      <c r="J2779" s="35">
        <f>Tabla1[[#This Row],[P.U. USD]]*Tabla1[[#This Row],[CANTIDADES DE REFERENCIA]]</f>
        <v>0</v>
      </c>
      <c r="K2779" s="36"/>
      <c r="L2779" s="36"/>
      <c r="M2779" s="36"/>
      <c r="N2779" s="37" t="s">
        <v>5639</v>
      </c>
      <c r="O2779" s="37" t="s">
        <v>5640</v>
      </c>
      <c r="P2779" s="39"/>
      <c r="Q2779" s="37" t="s">
        <v>5986</v>
      </c>
      <c r="R2779" s="37" t="s">
        <v>389</v>
      </c>
      <c r="S2779" s="37"/>
      <c r="T2779" s="31"/>
    </row>
    <row r="2780" spans="1:20" ht="15" customHeight="1">
      <c r="A2780" s="31"/>
      <c r="B2780" s="32"/>
      <c r="C2780" s="33"/>
      <c r="D2780" s="32" t="s">
        <v>5987</v>
      </c>
      <c r="E2780" s="33" t="s">
        <v>42</v>
      </c>
      <c r="F2780" s="34">
        <v>1</v>
      </c>
      <c r="G2780" s="35">
        <v>0</v>
      </c>
      <c r="H2780" s="35">
        <v>0</v>
      </c>
      <c r="I2780" s="35">
        <f>Tabla1[[#This Row],[P.U. M.N.]]*Tabla1[[#This Row],[CANTIDADES DE REFERENCIA]]</f>
        <v>0</v>
      </c>
      <c r="J2780" s="35">
        <f>Tabla1[[#This Row],[P.U. USD]]*Tabla1[[#This Row],[CANTIDADES DE REFERENCIA]]</f>
        <v>0</v>
      </c>
      <c r="K2780" s="36"/>
      <c r="L2780" s="36"/>
      <c r="M2780" s="36"/>
      <c r="N2780" s="37" t="s">
        <v>5639</v>
      </c>
      <c r="O2780" s="37" t="s">
        <v>5640</v>
      </c>
      <c r="P2780" s="39"/>
      <c r="Q2780" s="37" t="s">
        <v>5988</v>
      </c>
      <c r="R2780" s="37" t="s">
        <v>389</v>
      </c>
      <c r="S2780" s="37"/>
      <c r="T2780" s="31"/>
    </row>
    <row r="2781" spans="1:20" ht="15" customHeight="1">
      <c r="A2781" s="31"/>
      <c r="B2781" s="32"/>
      <c r="C2781" s="33"/>
      <c r="D2781" s="32" t="s">
        <v>5989</v>
      </c>
      <c r="E2781" s="33" t="s">
        <v>116</v>
      </c>
      <c r="F2781" s="34">
        <v>1</v>
      </c>
      <c r="G2781" s="35">
        <v>0</v>
      </c>
      <c r="H2781" s="35">
        <v>0</v>
      </c>
      <c r="I2781" s="35">
        <f>Tabla1[[#This Row],[P.U. M.N.]]*Tabla1[[#This Row],[CANTIDADES DE REFERENCIA]]</f>
        <v>0</v>
      </c>
      <c r="J2781" s="35">
        <f>Tabla1[[#This Row],[P.U. USD]]*Tabla1[[#This Row],[CANTIDADES DE REFERENCIA]]</f>
        <v>0</v>
      </c>
      <c r="K2781" s="36"/>
      <c r="L2781" s="36"/>
      <c r="M2781" s="36"/>
      <c r="N2781" s="37" t="s">
        <v>5990</v>
      </c>
      <c r="O2781" s="37"/>
      <c r="P2781" s="39"/>
      <c r="Q2781" s="37" t="s">
        <v>5991</v>
      </c>
      <c r="R2781" s="37" t="s">
        <v>389</v>
      </c>
      <c r="S2781" s="37" t="s">
        <v>5992</v>
      </c>
      <c r="T2781" s="31"/>
    </row>
    <row r="2782" spans="1:20" ht="15" customHeight="1">
      <c r="A2782" s="31"/>
      <c r="B2782" s="32"/>
      <c r="C2782" s="33"/>
      <c r="D2782" s="32" t="s">
        <v>5993</v>
      </c>
      <c r="E2782" s="33" t="s">
        <v>116</v>
      </c>
      <c r="F2782" s="34">
        <v>1</v>
      </c>
      <c r="G2782" s="35">
        <v>0</v>
      </c>
      <c r="H2782" s="35">
        <v>0</v>
      </c>
      <c r="I2782" s="35">
        <f>Tabla1[[#This Row],[P.U. M.N.]]*Tabla1[[#This Row],[CANTIDADES DE REFERENCIA]]</f>
        <v>0</v>
      </c>
      <c r="J2782" s="35">
        <f>Tabla1[[#This Row],[P.U. USD]]*Tabla1[[#This Row],[CANTIDADES DE REFERENCIA]]</f>
        <v>0</v>
      </c>
      <c r="K2782" s="36"/>
      <c r="L2782" s="36"/>
      <c r="M2782" s="36"/>
      <c r="N2782" s="37" t="s">
        <v>5990</v>
      </c>
      <c r="O2782" s="37"/>
      <c r="P2782" s="39"/>
      <c r="Q2782" s="37" t="s">
        <v>5994</v>
      </c>
      <c r="R2782" s="37" t="s">
        <v>389</v>
      </c>
      <c r="S2782" s="37" t="s">
        <v>5992</v>
      </c>
      <c r="T2782" s="31"/>
    </row>
    <row r="2783" spans="1:20" ht="15" customHeight="1">
      <c r="A2783" s="31"/>
      <c r="B2783" s="32"/>
      <c r="C2783" s="33"/>
      <c r="D2783" s="32" t="s">
        <v>5995</v>
      </c>
      <c r="E2783" s="33" t="s">
        <v>116</v>
      </c>
      <c r="F2783" s="34">
        <v>1</v>
      </c>
      <c r="G2783" s="35">
        <v>0</v>
      </c>
      <c r="H2783" s="35">
        <v>0</v>
      </c>
      <c r="I2783" s="35">
        <f>Tabla1[[#This Row],[P.U. M.N.]]*Tabla1[[#This Row],[CANTIDADES DE REFERENCIA]]</f>
        <v>0</v>
      </c>
      <c r="J2783" s="35">
        <f>Tabla1[[#This Row],[P.U. USD]]*Tabla1[[#This Row],[CANTIDADES DE REFERENCIA]]</f>
        <v>0</v>
      </c>
      <c r="K2783" s="36"/>
      <c r="L2783" s="36"/>
      <c r="M2783" s="36"/>
      <c r="N2783" s="37" t="s">
        <v>5990</v>
      </c>
      <c r="O2783" s="37"/>
      <c r="P2783" s="39"/>
      <c r="Q2783" s="37" t="s">
        <v>5996</v>
      </c>
      <c r="R2783" s="37" t="s">
        <v>389</v>
      </c>
      <c r="S2783" s="37" t="s">
        <v>5992</v>
      </c>
      <c r="T2783" s="31"/>
    </row>
    <row r="2784" spans="1:20" ht="15" customHeight="1">
      <c r="A2784" s="31"/>
      <c r="B2784" s="32"/>
      <c r="C2784" s="33"/>
      <c r="D2784" s="32" t="s">
        <v>5997</v>
      </c>
      <c r="E2784" s="33" t="s">
        <v>116</v>
      </c>
      <c r="F2784" s="34">
        <v>1</v>
      </c>
      <c r="G2784" s="35">
        <v>0</v>
      </c>
      <c r="H2784" s="35">
        <v>0</v>
      </c>
      <c r="I2784" s="35">
        <f>Tabla1[[#This Row],[P.U. M.N.]]*Tabla1[[#This Row],[CANTIDADES DE REFERENCIA]]</f>
        <v>0</v>
      </c>
      <c r="J2784" s="35">
        <f>Tabla1[[#This Row],[P.U. USD]]*Tabla1[[#This Row],[CANTIDADES DE REFERENCIA]]</f>
        <v>0</v>
      </c>
      <c r="K2784" s="36"/>
      <c r="L2784" s="36"/>
      <c r="M2784" s="36"/>
      <c r="N2784" s="37" t="s">
        <v>5990</v>
      </c>
      <c r="O2784" s="37"/>
      <c r="P2784" s="39"/>
      <c r="Q2784" s="37" t="s">
        <v>5998</v>
      </c>
      <c r="R2784" s="37" t="s">
        <v>389</v>
      </c>
      <c r="S2784" s="37" t="s">
        <v>5992</v>
      </c>
      <c r="T2784" s="31"/>
    </row>
    <row r="2785" spans="1:20" ht="15" customHeight="1">
      <c r="A2785" s="31"/>
      <c r="B2785" s="32"/>
      <c r="C2785" s="33"/>
      <c r="D2785" s="32" t="s">
        <v>5999</v>
      </c>
      <c r="E2785" s="33" t="s">
        <v>116</v>
      </c>
      <c r="F2785" s="34">
        <v>1</v>
      </c>
      <c r="G2785" s="35">
        <v>0</v>
      </c>
      <c r="H2785" s="35">
        <v>0</v>
      </c>
      <c r="I2785" s="35">
        <f>Tabla1[[#This Row],[P.U. M.N.]]*Tabla1[[#This Row],[CANTIDADES DE REFERENCIA]]</f>
        <v>0</v>
      </c>
      <c r="J2785" s="35">
        <f>Tabla1[[#This Row],[P.U. USD]]*Tabla1[[#This Row],[CANTIDADES DE REFERENCIA]]</f>
        <v>0</v>
      </c>
      <c r="K2785" s="36"/>
      <c r="L2785" s="36"/>
      <c r="M2785" s="36"/>
      <c r="N2785" s="37" t="s">
        <v>5990</v>
      </c>
      <c r="O2785" s="37"/>
      <c r="P2785" s="39"/>
      <c r="Q2785" s="37" t="s">
        <v>6000</v>
      </c>
      <c r="R2785" s="37" t="s">
        <v>389</v>
      </c>
      <c r="S2785" s="37" t="s">
        <v>5992</v>
      </c>
      <c r="T2785" s="31"/>
    </row>
    <row r="2786" spans="1:20" ht="15" customHeight="1">
      <c r="A2786" s="31"/>
      <c r="B2786" s="32"/>
      <c r="C2786" s="33"/>
      <c r="D2786" s="32" t="s">
        <v>6001</v>
      </c>
      <c r="E2786" s="33" t="s">
        <v>54</v>
      </c>
      <c r="F2786" s="34">
        <v>1</v>
      </c>
      <c r="G2786" s="35">
        <v>0</v>
      </c>
      <c r="H2786" s="35">
        <v>0</v>
      </c>
      <c r="I2786" s="35">
        <f>Tabla1[[#This Row],[P.U. M.N.]]*Tabla1[[#This Row],[CANTIDADES DE REFERENCIA]]</f>
        <v>0</v>
      </c>
      <c r="J2786" s="35">
        <f>Tabla1[[#This Row],[P.U. USD]]*Tabla1[[#This Row],[CANTIDADES DE REFERENCIA]]</f>
        <v>0</v>
      </c>
      <c r="K2786" s="36"/>
      <c r="L2786" s="36"/>
      <c r="M2786" s="36"/>
      <c r="N2786" s="37" t="s">
        <v>5990</v>
      </c>
      <c r="O2786" s="37"/>
      <c r="P2786" s="39"/>
      <c r="Q2786" s="37" t="s">
        <v>6002</v>
      </c>
      <c r="R2786" s="37" t="s">
        <v>389</v>
      </c>
      <c r="S2786" s="37" t="s">
        <v>5992</v>
      </c>
      <c r="T2786" s="31"/>
    </row>
    <row r="2787" spans="1:20" ht="15" customHeight="1">
      <c r="A2787" s="31"/>
      <c r="B2787" s="32"/>
      <c r="C2787" s="33"/>
      <c r="D2787" s="32" t="s">
        <v>6003</v>
      </c>
      <c r="E2787" s="33" t="s">
        <v>54</v>
      </c>
      <c r="F2787" s="34">
        <v>1</v>
      </c>
      <c r="G2787" s="35">
        <v>0</v>
      </c>
      <c r="H2787" s="35">
        <v>0</v>
      </c>
      <c r="I2787" s="35">
        <f>Tabla1[[#This Row],[P.U. M.N.]]*Tabla1[[#This Row],[CANTIDADES DE REFERENCIA]]</f>
        <v>0</v>
      </c>
      <c r="J2787" s="35">
        <f>Tabla1[[#This Row],[P.U. USD]]*Tabla1[[#This Row],[CANTIDADES DE REFERENCIA]]</f>
        <v>0</v>
      </c>
      <c r="K2787" s="36"/>
      <c r="L2787" s="36"/>
      <c r="M2787" s="36"/>
      <c r="N2787" s="37" t="s">
        <v>5990</v>
      </c>
      <c r="O2787" s="37"/>
      <c r="P2787" s="39"/>
      <c r="Q2787" s="37" t="s">
        <v>6004</v>
      </c>
      <c r="R2787" s="37" t="s">
        <v>389</v>
      </c>
      <c r="S2787" s="37" t="s">
        <v>5992</v>
      </c>
      <c r="T2787" s="31"/>
    </row>
    <row r="2788" spans="1:20" ht="15" customHeight="1">
      <c r="A2788" s="31"/>
      <c r="B2788" s="32"/>
      <c r="C2788" s="33"/>
      <c r="D2788" s="32" t="s">
        <v>6005</v>
      </c>
      <c r="E2788" s="33" t="s">
        <v>116</v>
      </c>
      <c r="F2788" s="34">
        <v>1</v>
      </c>
      <c r="G2788" s="35">
        <v>0</v>
      </c>
      <c r="H2788" s="35">
        <v>0</v>
      </c>
      <c r="I2788" s="35">
        <f>Tabla1[[#This Row],[P.U. M.N.]]*Tabla1[[#This Row],[CANTIDADES DE REFERENCIA]]</f>
        <v>0</v>
      </c>
      <c r="J2788" s="35">
        <f>Tabla1[[#This Row],[P.U. USD]]*Tabla1[[#This Row],[CANTIDADES DE REFERENCIA]]</f>
        <v>0</v>
      </c>
      <c r="K2788" s="36"/>
      <c r="L2788" s="36"/>
      <c r="M2788" s="36"/>
      <c r="N2788" s="37" t="s">
        <v>5990</v>
      </c>
      <c r="O2788" s="37"/>
      <c r="P2788" s="39"/>
      <c r="Q2788" s="37" t="s">
        <v>6006</v>
      </c>
      <c r="R2788" s="37" t="s">
        <v>389</v>
      </c>
      <c r="S2788" s="37" t="s">
        <v>5992</v>
      </c>
      <c r="T2788" s="31"/>
    </row>
    <row r="2789" spans="1:20" ht="15" customHeight="1">
      <c r="A2789" s="31"/>
      <c r="B2789" s="32"/>
      <c r="C2789" s="33"/>
      <c r="D2789" s="32" t="s">
        <v>6007</v>
      </c>
      <c r="E2789" s="33" t="s">
        <v>61</v>
      </c>
      <c r="F2789" s="34">
        <v>1</v>
      </c>
      <c r="G2789" s="35">
        <v>0</v>
      </c>
      <c r="H2789" s="35">
        <v>0</v>
      </c>
      <c r="I2789" s="35">
        <f>Tabla1[[#This Row],[P.U. M.N.]]*Tabla1[[#This Row],[CANTIDADES DE REFERENCIA]]</f>
        <v>0</v>
      </c>
      <c r="J2789" s="35">
        <f>Tabla1[[#This Row],[P.U. USD]]*Tabla1[[#This Row],[CANTIDADES DE REFERENCIA]]</f>
        <v>0</v>
      </c>
      <c r="K2789" s="36"/>
      <c r="L2789" s="36"/>
      <c r="M2789" s="36"/>
      <c r="N2789" s="37" t="s">
        <v>1508</v>
      </c>
      <c r="O2789" s="37" t="s">
        <v>6008</v>
      </c>
      <c r="P2789" s="39"/>
      <c r="Q2789" s="37" t="s">
        <v>6009</v>
      </c>
      <c r="R2789" s="37" t="s">
        <v>389</v>
      </c>
      <c r="S2789" s="37" t="s">
        <v>6010</v>
      </c>
      <c r="T2789" s="31"/>
    </row>
    <row r="2790" spans="1:20" ht="15" customHeight="1">
      <c r="A2790" s="31"/>
      <c r="B2790" s="32"/>
      <c r="C2790" s="33"/>
      <c r="D2790" s="32" t="s">
        <v>6011</v>
      </c>
      <c r="E2790" s="33" t="s">
        <v>61</v>
      </c>
      <c r="F2790" s="34">
        <v>1</v>
      </c>
      <c r="G2790" s="35">
        <v>0</v>
      </c>
      <c r="H2790" s="35">
        <v>0</v>
      </c>
      <c r="I2790" s="35">
        <f>Tabla1[[#This Row],[P.U. M.N.]]*Tabla1[[#This Row],[CANTIDADES DE REFERENCIA]]</f>
        <v>0</v>
      </c>
      <c r="J2790" s="35">
        <f>Tabla1[[#This Row],[P.U. USD]]*Tabla1[[#This Row],[CANTIDADES DE REFERENCIA]]</f>
        <v>0</v>
      </c>
      <c r="K2790" s="36"/>
      <c r="L2790" s="36"/>
      <c r="M2790" s="36"/>
      <c r="N2790" s="37" t="s">
        <v>1508</v>
      </c>
      <c r="O2790" s="37" t="s">
        <v>6008</v>
      </c>
      <c r="P2790" s="39"/>
      <c r="Q2790" s="37" t="s">
        <v>6012</v>
      </c>
      <c r="R2790" s="37" t="s">
        <v>389</v>
      </c>
      <c r="S2790" s="37" t="s">
        <v>6010</v>
      </c>
      <c r="T2790" s="31"/>
    </row>
    <row r="2791" spans="1:20" ht="15" customHeight="1">
      <c r="A2791" s="31"/>
      <c r="B2791" s="32"/>
      <c r="C2791" s="33"/>
      <c r="D2791" s="32" t="s">
        <v>6013</v>
      </c>
      <c r="E2791" s="33" t="s">
        <v>42</v>
      </c>
      <c r="F2791" s="34">
        <v>1</v>
      </c>
      <c r="G2791" s="35">
        <v>0</v>
      </c>
      <c r="H2791" s="35">
        <v>0</v>
      </c>
      <c r="I2791" s="35">
        <f>Tabla1[[#This Row],[P.U. M.N.]]*Tabla1[[#This Row],[CANTIDADES DE REFERENCIA]]</f>
        <v>0</v>
      </c>
      <c r="J2791" s="35">
        <f>Tabla1[[#This Row],[P.U. USD]]*Tabla1[[#This Row],[CANTIDADES DE REFERENCIA]]</f>
        <v>0</v>
      </c>
      <c r="K2791" s="36"/>
      <c r="L2791" s="36"/>
      <c r="M2791" s="36"/>
      <c r="N2791" s="37"/>
      <c r="O2791" s="37"/>
      <c r="P2791" s="39"/>
      <c r="Q2791" s="37" t="s">
        <v>6014</v>
      </c>
      <c r="R2791" s="37" t="s">
        <v>389</v>
      </c>
      <c r="S2791" s="37" t="s">
        <v>6015</v>
      </c>
      <c r="T2791" s="31"/>
    </row>
    <row r="2792" spans="1:20" ht="15" customHeight="1">
      <c r="A2792" s="31"/>
      <c r="B2792" s="32"/>
      <c r="C2792" s="33"/>
      <c r="D2792" s="32" t="s">
        <v>6016</v>
      </c>
      <c r="E2792" s="33" t="s">
        <v>42</v>
      </c>
      <c r="F2792" s="34">
        <v>1</v>
      </c>
      <c r="G2792" s="35">
        <v>0</v>
      </c>
      <c r="H2792" s="35">
        <v>0</v>
      </c>
      <c r="I2792" s="35">
        <f>Tabla1[[#This Row],[P.U. M.N.]]*Tabla1[[#This Row],[CANTIDADES DE REFERENCIA]]</f>
        <v>0</v>
      </c>
      <c r="J2792" s="35">
        <f>Tabla1[[#This Row],[P.U. USD]]*Tabla1[[#This Row],[CANTIDADES DE REFERENCIA]]</f>
        <v>0</v>
      </c>
      <c r="K2792" s="36"/>
      <c r="L2792" s="36"/>
      <c r="M2792" s="36"/>
      <c r="N2792" s="37"/>
      <c r="O2792" s="37"/>
      <c r="P2792" s="39"/>
      <c r="Q2792" s="37" t="s">
        <v>6017</v>
      </c>
      <c r="R2792" s="37" t="s">
        <v>389</v>
      </c>
      <c r="S2792" s="37" t="s">
        <v>6015</v>
      </c>
      <c r="T2792" s="31"/>
    </row>
    <row r="2793" spans="1:20" ht="15" customHeight="1">
      <c r="A2793" s="31"/>
      <c r="B2793" s="32"/>
      <c r="C2793" s="33"/>
      <c r="D2793" s="32" t="s">
        <v>6018</v>
      </c>
      <c r="E2793" s="33" t="s">
        <v>42</v>
      </c>
      <c r="F2793" s="34">
        <v>1</v>
      </c>
      <c r="G2793" s="35">
        <v>0</v>
      </c>
      <c r="H2793" s="35">
        <v>0</v>
      </c>
      <c r="I2793" s="35">
        <f>Tabla1[[#This Row],[P.U. M.N.]]*Tabla1[[#This Row],[CANTIDADES DE REFERENCIA]]</f>
        <v>0</v>
      </c>
      <c r="J2793" s="35">
        <f>Tabla1[[#This Row],[P.U. USD]]*Tabla1[[#This Row],[CANTIDADES DE REFERENCIA]]</f>
        <v>0</v>
      </c>
      <c r="K2793" s="36"/>
      <c r="L2793" s="36"/>
      <c r="M2793" s="36"/>
      <c r="N2793" s="37"/>
      <c r="O2793" s="37"/>
      <c r="P2793" s="39"/>
      <c r="Q2793" s="37" t="s">
        <v>6019</v>
      </c>
      <c r="R2793" s="37" t="s">
        <v>389</v>
      </c>
      <c r="S2793" s="37" t="s">
        <v>6015</v>
      </c>
      <c r="T2793" s="31"/>
    </row>
    <row r="2794" spans="1:20" ht="15" customHeight="1">
      <c r="A2794" s="31"/>
      <c r="B2794" s="32"/>
      <c r="C2794" s="33"/>
      <c r="D2794" s="32" t="s">
        <v>6020</v>
      </c>
      <c r="E2794" s="33" t="s">
        <v>42</v>
      </c>
      <c r="F2794" s="34">
        <v>1</v>
      </c>
      <c r="G2794" s="35">
        <v>0</v>
      </c>
      <c r="H2794" s="35">
        <v>0</v>
      </c>
      <c r="I2794" s="35">
        <f>Tabla1[[#This Row],[P.U. M.N.]]*Tabla1[[#This Row],[CANTIDADES DE REFERENCIA]]</f>
        <v>0</v>
      </c>
      <c r="J2794" s="35">
        <f>Tabla1[[#This Row],[P.U. USD]]*Tabla1[[#This Row],[CANTIDADES DE REFERENCIA]]</f>
        <v>0</v>
      </c>
      <c r="K2794" s="36"/>
      <c r="L2794" s="36"/>
      <c r="M2794" s="36"/>
      <c r="N2794" s="37"/>
      <c r="O2794" s="37"/>
      <c r="P2794" s="39"/>
      <c r="Q2794" s="37" t="s">
        <v>6021</v>
      </c>
      <c r="R2794" s="37" t="s">
        <v>389</v>
      </c>
      <c r="S2794" s="37" t="s">
        <v>6015</v>
      </c>
      <c r="T2794" s="31"/>
    </row>
    <row r="2795" spans="1:20" ht="15" customHeight="1">
      <c r="A2795" s="31"/>
      <c r="B2795" s="32"/>
      <c r="C2795" s="33"/>
      <c r="D2795" s="32" t="s">
        <v>6022</v>
      </c>
      <c r="E2795" s="33" t="s">
        <v>42</v>
      </c>
      <c r="F2795" s="34">
        <v>1</v>
      </c>
      <c r="G2795" s="35">
        <v>0</v>
      </c>
      <c r="H2795" s="35">
        <v>0</v>
      </c>
      <c r="I2795" s="35">
        <f>Tabla1[[#This Row],[P.U. M.N.]]*Tabla1[[#This Row],[CANTIDADES DE REFERENCIA]]</f>
        <v>0</v>
      </c>
      <c r="J2795" s="35">
        <f>Tabla1[[#This Row],[P.U. USD]]*Tabla1[[#This Row],[CANTIDADES DE REFERENCIA]]</f>
        <v>0</v>
      </c>
      <c r="K2795" s="36"/>
      <c r="L2795" s="36"/>
      <c r="M2795" s="36"/>
      <c r="N2795" s="37"/>
      <c r="O2795" s="37"/>
      <c r="P2795" s="39"/>
      <c r="Q2795" s="37" t="s">
        <v>6023</v>
      </c>
      <c r="R2795" s="37" t="s">
        <v>389</v>
      </c>
      <c r="S2795" s="37" t="s">
        <v>6015</v>
      </c>
      <c r="T2795" s="31"/>
    </row>
    <row r="2796" spans="1:20" ht="15" customHeight="1">
      <c r="A2796" s="31"/>
      <c r="B2796" s="32"/>
      <c r="C2796" s="33"/>
      <c r="D2796" s="32" t="s">
        <v>6024</v>
      </c>
      <c r="E2796" s="33" t="s">
        <v>42</v>
      </c>
      <c r="F2796" s="34">
        <v>1</v>
      </c>
      <c r="G2796" s="35">
        <v>0</v>
      </c>
      <c r="H2796" s="35">
        <v>0</v>
      </c>
      <c r="I2796" s="35">
        <f>Tabla1[[#This Row],[P.U. M.N.]]*Tabla1[[#This Row],[CANTIDADES DE REFERENCIA]]</f>
        <v>0</v>
      </c>
      <c r="J2796" s="35">
        <f>Tabla1[[#This Row],[P.U. USD]]*Tabla1[[#This Row],[CANTIDADES DE REFERENCIA]]</f>
        <v>0</v>
      </c>
      <c r="K2796" s="36"/>
      <c r="L2796" s="36"/>
      <c r="M2796" s="36"/>
      <c r="N2796" s="37"/>
      <c r="O2796" s="37"/>
      <c r="P2796" s="39"/>
      <c r="Q2796" s="37" t="s">
        <v>6025</v>
      </c>
      <c r="R2796" s="37" t="s">
        <v>389</v>
      </c>
      <c r="S2796" s="37" t="s">
        <v>6015</v>
      </c>
      <c r="T2796" s="31"/>
    </row>
    <row r="2797" spans="1:20" ht="15" customHeight="1">
      <c r="A2797" s="31"/>
      <c r="B2797" s="32"/>
      <c r="C2797" s="33"/>
      <c r="D2797" s="32" t="s">
        <v>6026</v>
      </c>
      <c r="E2797" s="33" t="s">
        <v>116</v>
      </c>
      <c r="F2797" s="34">
        <v>1</v>
      </c>
      <c r="G2797" s="35">
        <v>0</v>
      </c>
      <c r="H2797" s="35">
        <v>0</v>
      </c>
      <c r="I2797" s="35">
        <f>Tabla1[[#This Row],[P.U. M.N.]]*Tabla1[[#This Row],[CANTIDADES DE REFERENCIA]]</f>
        <v>0</v>
      </c>
      <c r="J2797" s="35">
        <f>Tabla1[[#This Row],[P.U. USD]]*Tabla1[[#This Row],[CANTIDADES DE REFERENCIA]]</f>
        <v>0</v>
      </c>
      <c r="K2797" s="36"/>
      <c r="L2797" s="36"/>
      <c r="M2797" s="36"/>
      <c r="N2797" s="37" t="s">
        <v>6027</v>
      </c>
      <c r="O2797" s="37" t="s">
        <v>6028</v>
      </c>
      <c r="P2797" s="39"/>
      <c r="Q2797" s="37" t="s">
        <v>6029</v>
      </c>
      <c r="R2797" s="37" t="s">
        <v>389</v>
      </c>
      <c r="S2797" s="37" t="s">
        <v>6030</v>
      </c>
      <c r="T2797" s="31"/>
    </row>
    <row r="2798" spans="1:20" ht="15" customHeight="1">
      <c r="A2798" s="31"/>
      <c r="B2798" s="32"/>
      <c r="C2798" s="33"/>
      <c r="D2798" s="32" t="s">
        <v>6031</v>
      </c>
      <c r="E2798" s="33" t="s">
        <v>116</v>
      </c>
      <c r="F2798" s="34">
        <v>1</v>
      </c>
      <c r="G2798" s="35">
        <v>0</v>
      </c>
      <c r="H2798" s="35">
        <v>0</v>
      </c>
      <c r="I2798" s="35">
        <f>Tabla1[[#This Row],[P.U. M.N.]]*Tabla1[[#This Row],[CANTIDADES DE REFERENCIA]]</f>
        <v>0</v>
      </c>
      <c r="J2798" s="35">
        <f>Tabla1[[#This Row],[P.U. USD]]*Tabla1[[#This Row],[CANTIDADES DE REFERENCIA]]</f>
        <v>0</v>
      </c>
      <c r="K2798" s="36"/>
      <c r="L2798" s="36"/>
      <c r="M2798" s="36"/>
      <c r="N2798" s="37" t="s">
        <v>1545</v>
      </c>
      <c r="O2798" s="37"/>
      <c r="P2798" s="39"/>
      <c r="Q2798" s="37" t="s">
        <v>6032</v>
      </c>
      <c r="R2798" s="37" t="s">
        <v>389</v>
      </c>
      <c r="S2798" s="37"/>
      <c r="T2798" s="31"/>
    </row>
    <row r="2799" spans="1:20" ht="15" customHeight="1">
      <c r="A2799" s="31"/>
      <c r="B2799" s="32"/>
      <c r="C2799" s="33"/>
      <c r="D2799" s="32" t="s">
        <v>6033</v>
      </c>
      <c r="E2799" s="33" t="s">
        <v>116</v>
      </c>
      <c r="F2799" s="34">
        <v>1</v>
      </c>
      <c r="G2799" s="35">
        <v>0</v>
      </c>
      <c r="H2799" s="35">
        <v>0</v>
      </c>
      <c r="I2799" s="35">
        <f>Tabla1[[#This Row],[P.U. M.N.]]*Tabla1[[#This Row],[CANTIDADES DE REFERENCIA]]</f>
        <v>0</v>
      </c>
      <c r="J2799" s="35">
        <f>Tabla1[[#This Row],[P.U. USD]]*Tabla1[[#This Row],[CANTIDADES DE REFERENCIA]]</f>
        <v>0</v>
      </c>
      <c r="K2799" s="36"/>
      <c r="L2799" s="36"/>
      <c r="M2799" s="36"/>
      <c r="N2799" s="37" t="s">
        <v>1545</v>
      </c>
      <c r="O2799" s="37"/>
      <c r="P2799" s="39"/>
      <c r="Q2799" s="37" t="s">
        <v>6034</v>
      </c>
      <c r="R2799" s="37" t="s">
        <v>389</v>
      </c>
      <c r="S2799" s="37"/>
      <c r="T2799" s="31"/>
    </row>
    <row r="2800" spans="1:20" ht="15" customHeight="1">
      <c r="A2800" s="31"/>
      <c r="B2800" s="32"/>
      <c r="C2800" s="33"/>
      <c r="D2800" s="32" t="s">
        <v>6035</v>
      </c>
      <c r="E2800" s="33" t="s">
        <v>116</v>
      </c>
      <c r="F2800" s="34">
        <v>1</v>
      </c>
      <c r="G2800" s="35">
        <v>0</v>
      </c>
      <c r="H2800" s="35">
        <v>0</v>
      </c>
      <c r="I2800" s="35">
        <f>Tabla1[[#This Row],[P.U. M.N.]]*Tabla1[[#This Row],[CANTIDADES DE REFERENCIA]]</f>
        <v>0</v>
      </c>
      <c r="J2800" s="35">
        <f>Tabla1[[#This Row],[P.U. USD]]*Tabla1[[#This Row],[CANTIDADES DE REFERENCIA]]</f>
        <v>0</v>
      </c>
      <c r="K2800" s="36"/>
      <c r="L2800" s="36"/>
      <c r="M2800" s="36"/>
      <c r="N2800" s="37" t="s">
        <v>1545</v>
      </c>
      <c r="O2800" s="37"/>
      <c r="P2800" s="39"/>
      <c r="Q2800" s="37" t="s">
        <v>6036</v>
      </c>
      <c r="R2800" s="37" t="s">
        <v>389</v>
      </c>
      <c r="S2800" s="37"/>
      <c r="T2800" s="31"/>
    </row>
    <row r="2801" spans="1:20" ht="15" customHeight="1">
      <c r="A2801" s="31"/>
      <c r="B2801" s="32"/>
      <c r="C2801" s="33"/>
      <c r="D2801" s="32" t="s">
        <v>6037</v>
      </c>
      <c r="E2801" s="33" t="s">
        <v>116</v>
      </c>
      <c r="F2801" s="34">
        <v>1</v>
      </c>
      <c r="G2801" s="35">
        <v>0</v>
      </c>
      <c r="H2801" s="35">
        <v>0</v>
      </c>
      <c r="I2801" s="35">
        <f>Tabla1[[#This Row],[P.U. M.N.]]*Tabla1[[#This Row],[CANTIDADES DE REFERENCIA]]</f>
        <v>0</v>
      </c>
      <c r="J2801" s="35">
        <f>Tabla1[[#This Row],[P.U. USD]]*Tabla1[[#This Row],[CANTIDADES DE REFERENCIA]]</f>
        <v>0</v>
      </c>
      <c r="K2801" s="36"/>
      <c r="L2801" s="36"/>
      <c r="M2801" s="36"/>
      <c r="N2801" s="37" t="s">
        <v>1545</v>
      </c>
      <c r="O2801" s="37"/>
      <c r="P2801" s="39"/>
      <c r="Q2801" s="37" t="s">
        <v>6038</v>
      </c>
      <c r="R2801" s="37" t="s">
        <v>389</v>
      </c>
      <c r="S2801" s="37"/>
      <c r="T2801" s="31"/>
    </row>
    <row r="2802" spans="1:20" ht="15" customHeight="1">
      <c r="A2802" s="31"/>
      <c r="B2802" s="32"/>
      <c r="C2802" s="33"/>
      <c r="D2802" s="32" t="s">
        <v>6039</v>
      </c>
      <c r="E2802" s="33" t="s">
        <v>116</v>
      </c>
      <c r="F2802" s="34">
        <v>1</v>
      </c>
      <c r="G2802" s="35">
        <v>0</v>
      </c>
      <c r="H2802" s="35">
        <v>0</v>
      </c>
      <c r="I2802" s="35">
        <f>Tabla1[[#This Row],[P.U. M.N.]]*Tabla1[[#This Row],[CANTIDADES DE REFERENCIA]]</f>
        <v>0</v>
      </c>
      <c r="J2802" s="35">
        <f>Tabla1[[#This Row],[P.U. USD]]*Tabla1[[#This Row],[CANTIDADES DE REFERENCIA]]</f>
        <v>0</v>
      </c>
      <c r="K2802" s="36"/>
      <c r="L2802" s="36"/>
      <c r="M2802" s="36"/>
      <c r="N2802" s="37" t="s">
        <v>1545</v>
      </c>
      <c r="O2802" s="37"/>
      <c r="P2802" s="39"/>
      <c r="Q2802" s="37" t="s">
        <v>6040</v>
      </c>
      <c r="R2802" s="37" t="s">
        <v>389</v>
      </c>
      <c r="S2802" s="37"/>
      <c r="T2802" s="31"/>
    </row>
    <row r="2803" spans="1:20" ht="15" customHeight="1">
      <c r="A2803" s="31"/>
      <c r="B2803" s="32"/>
      <c r="C2803" s="33"/>
      <c r="D2803" s="32" t="s">
        <v>6041</v>
      </c>
      <c r="E2803" s="33" t="s">
        <v>116</v>
      </c>
      <c r="F2803" s="34">
        <v>1</v>
      </c>
      <c r="G2803" s="35">
        <v>0</v>
      </c>
      <c r="H2803" s="35">
        <v>0</v>
      </c>
      <c r="I2803" s="35">
        <f>Tabla1[[#This Row],[P.U. M.N.]]*Tabla1[[#This Row],[CANTIDADES DE REFERENCIA]]</f>
        <v>0</v>
      </c>
      <c r="J2803" s="35">
        <f>Tabla1[[#This Row],[P.U. USD]]*Tabla1[[#This Row],[CANTIDADES DE REFERENCIA]]</f>
        <v>0</v>
      </c>
      <c r="K2803" s="36"/>
      <c r="L2803" s="36"/>
      <c r="M2803" s="36"/>
      <c r="N2803" s="37" t="s">
        <v>1545</v>
      </c>
      <c r="O2803" s="37"/>
      <c r="P2803" s="39"/>
      <c r="Q2803" s="37" t="s">
        <v>6042</v>
      </c>
      <c r="R2803" s="37" t="s">
        <v>389</v>
      </c>
      <c r="S2803" s="37"/>
      <c r="T2803" s="31"/>
    </row>
    <row r="2804" spans="1:20" ht="15" customHeight="1">
      <c r="A2804" s="31"/>
      <c r="B2804" s="32"/>
      <c r="C2804" s="33"/>
      <c r="D2804" s="32" t="s">
        <v>6043</v>
      </c>
      <c r="E2804" s="33" t="s">
        <v>116</v>
      </c>
      <c r="F2804" s="34">
        <v>1</v>
      </c>
      <c r="G2804" s="35">
        <v>0</v>
      </c>
      <c r="H2804" s="35">
        <v>0</v>
      </c>
      <c r="I2804" s="35">
        <f>Tabla1[[#This Row],[P.U. M.N.]]*Tabla1[[#This Row],[CANTIDADES DE REFERENCIA]]</f>
        <v>0</v>
      </c>
      <c r="J2804" s="35">
        <f>Tabla1[[#This Row],[P.U. USD]]*Tabla1[[#This Row],[CANTIDADES DE REFERENCIA]]</f>
        <v>0</v>
      </c>
      <c r="K2804" s="36"/>
      <c r="L2804" s="36"/>
      <c r="M2804" s="36"/>
      <c r="N2804" s="37" t="s">
        <v>1545</v>
      </c>
      <c r="O2804" s="37"/>
      <c r="P2804" s="39"/>
      <c r="Q2804" s="37" t="s">
        <v>6044</v>
      </c>
      <c r="R2804" s="37" t="s">
        <v>389</v>
      </c>
      <c r="S2804" s="37"/>
      <c r="T2804" s="31"/>
    </row>
    <row r="2805" spans="1:20" ht="15" customHeight="1">
      <c r="A2805" s="31"/>
      <c r="B2805" s="32"/>
      <c r="C2805" s="33"/>
      <c r="D2805" s="32" t="s">
        <v>6045</v>
      </c>
      <c r="E2805" s="33" t="s">
        <v>116</v>
      </c>
      <c r="F2805" s="34">
        <v>1</v>
      </c>
      <c r="G2805" s="35">
        <v>0</v>
      </c>
      <c r="H2805" s="35">
        <v>0</v>
      </c>
      <c r="I2805" s="35">
        <f>Tabla1[[#This Row],[P.U. M.N.]]*Tabla1[[#This Row],[CANTIDADES DE REFERENCIA]]</f>
        <v>0</v>
      </c>
      <c r="J2805" s="35">
        <f>Tabla1[[#This Row],[P.U. USD]]*Tabla1[[#This Row],[CANTIDADES DE REFERENCIA]]</f>
        <v>0</v>
      </c>
      <c r="K2805" s="36"/>
      <c r="L2805" s="36"/>
      <c r="M2805" s="36"/>
      <c r="N2805" s="37" t="s">
        <v>1545</v>
      </c>
      <c r="O2805" s="37"/>
      <c r="P2805" s="39"/>
      <c r="Q2805" s="37" t="s">
        <v>6046</v>
      </c>
      <c r="R2805" s="37" t="s">
        <v>389</v>
      </c>
      <c r="S2805" s="37"/>
      <c r="T2805" s="31"/>
    </row>
    <row r="2806" spans="1:20" ht="15" customHeight="1">
      <c r="A2806" s="31"/>
      <c r="B2806" s="32"/>
      <c r="C2806" s="33"/>
      <c r="D2806" s="32" t="s">
        <v>6047</v>
      </c>
      <c r="E2806" s="33" t="s">
        <v>116</v>
      </c>
      <c r="F2806" s="34">
        <v>1</v>
      </c>
      <c r="G2806" s="35">
        <v>0</v>
      </c>
      <c r="H2806" s="35">
        <v>0</v>
      </c>
      <c r="I2806" s="35">
        <f>Tabla1[[#This Row],[P.U. M.N.]]*Tabla1[[#This Row],[CANTIDADES DE REFERENCIA]]</f>
        <v>0</v>
      </c>
      <c r="J2806" s="35">
        <f>Tabla1[[#This Row],[P.U. USD]]*Tabla1[[#This Row],[CANTIDADES DE REFERENCIA]]</f>
        <v>0</v>
      </c>
      <c r="K2806" s="36"/>
      <c r="L2806" s="36"/>
      <c r="M2806" s="36"/>
      <c r="N2806" s="37" t="s">
        <v>5820</v>
      </c>
      <c r="O2806" s="37"/>
      <c r="P2806" s="39"/>
      <c r="Q2806" s="37" t="s">
        <v>6048</v>
      </c>
      <c r="R2806" s="37" t="s">
        <v>389</v>
      </c>
      <c r="S2806" s="37"/>
      <c r="T2806" s="31"/>
    </row>
    <row r="2807" spans="1:20" ht="15" customHeight="1">
      <c r="A2807" s="31"/>
      <c r="B2807" s="32"/>
      <c r="C2807" s="33"/>
      <c r="D2807" s="32" t="s">
        <v>6049</v>
      </c>
      <c r="E2807" s="33" t="s">
        <v>116</v>
      </c>
      <c r="F2807" s="34">
        <v>1</v>
      </c>
      <c r="G2807" s="35">
        <v>0</v>
      </c>
      <c r="H2807" s="35">
        <v>0</v>
      </c>
      <c r="I2807" s="35">
        <f>Tabla1[[#This Row],[P.U. M.N.]]*Tabla1[[#This Row],[CANTIDADES DE REFERENCIA]]</f>
        <v>0</v>
      </c>
      <c r="J2807" s="35">
        <f>Tabla1[[#This Row],[P.U. USD]]*Tabla1[[#This Row],[CANTIDADES DE REFERENCIA]]</f>
        <v>0</v>
      </c>
      <c r="K2807" s="36"/>
      <c r="L2807" s="36"/>
      <c r="M2807" s="36"/>
      <c r="N2807" s="37" t="s">
        <v>5820</v>
      </c>
      <c r="O2807" s="37"/>
      <c r="P2807" s="39"/>
      <c r="Q2807" s="37" t="s">
        <v>6050</v>
      </c>
      <c r="R2807" s="37" t="s">
        <v>389</v>
      </c>
      <c r="S2807" s="37"/>
      <c r="T2807" s="31"/>
    </row>
    <row r="2808" spans="1:20" ht="15" customHeight="1">
      <c r="A2808" s="31"/>
      <c r="B2808" s="32"/>
      <c r="C2808" s="33"/>
      <c r="D2808" s="32" t="s">
        <v>6051</v>
      </c>
      <c r="E2808" s="33" t="s">
        <v>116</v>
      </c>
      <c r="F2808" s="34">
        <v>1</v>
      </c>
      <c r="G2808" s="35">
        <v>0</v>
      </c>
      <c r="H2808" s="35">
        <v>0</v>
      </c>
      <c r="I2808" s="35">
        <f>Tabla1[[#This Row],[P.U. M.N.]]*Tabla1[[#This Row],[CANTIDADES DE REFERENCIA]]</f>
        <v>0</v>
      </c>
      <c r="J2808" s="35">
        <f>Tabla1[[#This Row],[P.U. USD]]*Tabla1[[#This Row],[CANTIDADES DE REFERENCIA]]</f>
        <v>0</v>
      </c>
      <c r="K2808" s="36"/>
      <c r="L2808" s="36"/>
      <c r="M2808" s="36"/>
      <c r="N2808" s="37" t="s">
        <v>5781</v>
      </c>
      <c r="O2808" s="37" t="s">
        <v>5782</v>
      </c>
      <c r="P2808" s="39"/>
      <c r="Q2808" s="37" t="s">
        <v>6052</v>
      </c>
      <c r="R2808" s="37" t="s">
        <v>389</v>
      </c>
      <c r="S2808" s="37"/>
      <c r="T2808" s="31"/>
    </row>
    <row r="2809" spans="1:20" ht="15" customHeight="1">
      <c r="A2809" s="31"/>
      <c r="B2809" s="32"/>
      <c r="C2809" s="33"/>
      <c r="D2809" s="32" t="s">
        <v>6053</v>
      </c>
      <c r="E2809" s="33" t="s">
        <v>116</v>
      </c>
      <c r="F2809" s="34">
        <v>1</v>
      </c>
      <c r="G2809" s="35">
        <v>0</v>
      </c>
      <c r="H2809" s="35">
        <v>0</v>
      </c>
      <c r="I2809" s="35">
        <f>Tabla1[[#This Row],[P.U. M.N.]]*Tabla1[[#This Row],[CANTIDADES DE REFERENCIA]]</f>
        <v>0</v>
      </c>
      <c r="J2809" s="35">
        <f>Tabla1[[#This Row],[P.U. USD]]*Tabla1[[#This Row],[CANTIDADES DE REFERENCIA]]</f>
        <v>0</v>
      </c>
      <c r="K2809" s="36"/>
      <c r="L2809" s="36"/>
      <c r="M2809" s="36"/>
      <c r="N2809" s="37" t="s">
        <v>5781</v>
      </c>
      <c r="O2809" s="37" t="s">
        <v>5782</v>
      </c>
      <c r="P2809" s="39"/>
      <c r="Q2809" s="37" t="s">
        <v>6054</v>
      </c>
      <c r="R2809" s="37" t="s">
        <v>389</v>
      </c>
      <c r="S2809" s="37"/>
      <c r="T2809" s="31"/>
    </row>
    <row r="2810" spans="1:20" ht="15" customHeight="1">
      <c r="A2810" s="31"/>
      <c r="B2810" s="32"/>
      <c r="C2810" s="33"/>
      <c r="D2810" s="32" t="s">
        <v>1329</v>
      </c>
      <c r="E2810" s="33" t="s">
        <v>42</v>
      </c>
      <c r="F2810" s="34">
        <v>1</v>
      </c>
      <c r="G2810" s="35">
        <v>0</v>
      </c>
      <c r="H2810" s="35">
        <v>0</v>
      </c>
      <c r="I2810" s="35">
        <f>Tabla1[[#This Row],[P.U. M.N.]]*Tabla1[[#This Row],[CANTIDADES DE REFERENCIA]]</f>
        <v>0</v>
      </c>
      <c r="J2810" s="35">
        <f>Tabla1[[#This Row],[P.U. USD]]*Tabla1[[#This Row],[CANTIDADES DE REFERENCIA]]</f>
        <v>0</v>
      </c>
      <c r="K2810" s="36"/>
      <c r="L2810" s="36"/>
      <c r="M2810" s="36"/>
      <c r="N2810" s="37" t="s">
        <v>1277</v>
      </c>
      <c r="O2810" s="37"/>
      <c r="P2810" s="39"/>
      <c r="Q2810" s="37" t="s">
        <v>6055</v>
      </c>
      <c r="R2810" s="37" t="s">
        <v>389</v>
      </c>
      <c r="S2810" s="37"/>
      <c r="T2810" s="31"/>
    </row>
    <row r="2811" spans="1:20" ht="15" customHeight="1">
      <c r="A2811" s="31"/>
      <c r="B2811" s="32"/>
      <c r="C2811" s="33"/>
      <c r="D2811" s="32" t="s">
        <v>6056</v>
      </c>
      <c r="E2811" s="33" t="s">
        <v>42</v>
      </c>
      <c r="F2811" s="34">
        <v>1</v>
      </c>
      <c r="G2811" s="35">
        <v>0</v>
      </c>
      <c r="H2811" s="35">
        <v>0</v>
      </c>
      <c r="I2811" s="35">
        <f>Tabla1[[#This Row],[P.U. M.N.]]*Tabla1[[#This Row],[CANTIDADES DE REFERENCIA]]</f>
        <v>0</v>
      </c>
      <c r="J2811" s="35">
        <f>Tabla1[[#This Row],[P.U. USD]]*Tabla1[[#This Row],[CANTIDADES DE REFERENCIA]]</f>
        <v>0</v>
      </c>
      <c r="K2811" s="36"/>
      <c r="L2811" s="36"/>
      <c r="M2811" s="36"/>
      <c r="N2811" s="37" t="s">
        <v>5639</v>
      </c>
      <c r="O2811" s="37" t="s">
        <v>6057</v>
      </c>
      <c r="P2811" s="39"/>
      <c r="Q2811" s="37" t="s">
        <v>6058</v>
      </c>
      <c r="R2811" s="37"/>
      <c r="S2811" s="37"/>
      <c r="T2811" s="31"/>
    </row>
    <row r="2812" spans="1:20" ht="15" customHeight="1">
      <c r="A2812" s="31"/>
      <c r="B2812" s="32"/>
      <c r="C2812" s="33"/>
      <c r="D2812" s="32" t="s">
        <v>6059</v>
      </c>
      <c r="E2812" s="33" t="s">
        <v>42</v>
      </c>
      <c r="F2812" s="34">
        <v>1</v>
      </c>
      <c r="G2812" s="35">
        <v>0</v>
      </c>
      <c r="H2812" s="35">
        <v>0</v>
      </c>
      <c r="I2812" s="35">
        <f>Tabla1[[#This Row],[P.U. M.N.]]*Tabla1[[#This Row],[CANTIDADES DE REFERENCIA]]</f>
        <v>0</v>
      </c>
      <c r="J2812" s="35">
        <f>Tabla1[[#This Row],[P.U. USD]]*Tabla1[[#This Row],[CANTIDADES DE REFERENCIA]]</f>
        <v>0</v>
      </c>
      <c r="K2812" s="36"/>
      <c r="L2812" s="36"/>
      <c r="M2812" s="36"/>
      <c r="N2812" s="37" t="s">
        <v>5639</v>
      </c>
      <c r="O2812" s="37" t="s">
        <v>6057</v>
      </c>
      <c r="P2812" s="39"/>
      <c r="Q2812" s="37" t="s">
        <v>6060</v>
      </c>
      <c r="R2812" s="37"/>
      <c r="S2812" s="37"/>
      <c r="T2812" s="31"/>
    </row>
    <row r="2813" spans="1:20" ht="15" customHeight="1">
      <c r="A2813" s="31"/>
      <c r="B2813" s="32"/>
      <c r="C2813" s="33"/>
      <c r="D2813" s="32" t="s">
        <v>6061</v>
      </c>
      <c r="E2813" s="33" t="s">
        <v>42</v>
      </c>
      <c r="F2813" s="34">
        <v>1</v>
      </c>
      <c r="G2813" s="35">
        <v>0</v>
      </c>
      <c r="H2813" s="35">
        <v>0</v>
      </c>
      <c r="I2813" s="35">
        <f>Tabla1[[#This Row],[P.U. M.N.]]*Tabla1[[#This Row],[CANTIDADES DE REFERENCIA]]</f>
        <v>0</v>
      </c>
      <c r="J2813" s="35">
        <f>Tabla1[[#This Row],[P.U. USD]]*Tabla1[[#This Row],[CANTIDADES DE REFERENCIA]]</f>
        <v>0</v>
      </c>
      <c r="K2813" s="36"/>
      <c r="L2813" s="36"/>
      <c r="M2813" s="36"/>
      <c r="N2813" s="37" t="s">
        <v>5639</v>
      </c>
      <c r="O2813" s="37" t="s">
        <v>6057</v>
      </c>
      <c r="P2813" s="39"/>
      <c r="Q2813" s="37" t="s">
        <v>6062</v>
      </c>
      <c r="R2813" s="37"/>
      <c r="S2813" s="37"/>
      <c r="T2813" s="31"/>
    </row>
    <row r="2814" spans="1:20" ht="15" customHeight="1">
      <c r="A2814" s="31"/>
      <c r="B2814" s="32"/>
      <c r="C2814" s="33"/>
      <c r="D2814" s="32" t="s">
        <v>6063</v>
      </c>
      <c r="E2814" s="33" t="s">
        <v>42</v>
      </c>
      <c r="F2814" s="34">
        <v>1</v>
      </c>
      <c r="G2814" s="35">
        <v>0</v>
      </c>
      <c r="H2814" s="35">
        <v>0</v>
      </c>
      <c r="I2814" s="35">
        <f>Tabla1[[#This Row],[P.U. M.N.]]*Tabla1[[#This Row],[CANTIDADES DE REFERENCIA]]</f>
        <v>0</v>
      </c>
      <c r="J2814" s="35">
        <f>Tabla1[[#This Row],[P.U. USD]]*Tabla1[[#This Row],[CANTIDADES DE REFERENCIA]]</f>
        <v>0</v>
      </c>
      <c r="K2814" s="36"/>
      <c r="L2814" s="36"/>
      <c r="M2814" s="36"/>
      <c r="N2814" s="37" t="s">
        <v>5639</v>
      </c>
      <c r="O2814" s="37" t="s">
        <v>6057</v>
      </c>
      <c r="P2814" s="39"/>
      <c r="Q2814" s="37" t="s">
        <v>6064</v>
      </c>
      <c r="R2814" s="37"/>
      <c r="S2814" s="37"/>
      <c r="T2814" s="31"/>
    </row>
    <row r="2815" spans="1:20" ht="15" customHeight="1">
      <c r="A2815" s="31"/>
      <c r="B2815" s="32"/>
      <c r="C2815" s="33"/>
      <c r="D2815" s="32" t="s">
        <v>6065</v>
      </c>
      <c r="E2815" s="33" t="s">
        <v>116</v>
      </c>
      <c r="F2815" s="34">
        <v>1</v>
      </c>
      <c r="G2815" s="35">
        <v>0</v>
      </c>
      <c r="H2815" s="35">
        <v>0</v>
      </c>
      <c r="I2815" s="35">
        <f>Tabla1[[#This Row],[P.U. M.N.]]*Tabla1[[#This Row],[CANTIDADES DE REFERENCIA]]</f>
        <v>0</v>
      </c>
      <c r="J2815" s="35">
        <f>Tabla1[[#This Row],[P.U. USD]]*Tabla1[[#This Row],[CANTIDADES DE REFERENCIA]]</f>
        <v>0</v>
      </c>
      <c r="K2815" s="36"/>
      <c r="L2815" s="36"/>
      <c r="M2815" s="36"/>
      <c r="N2815" s="37" t="s">
        <v>5944</v>
      </c>
      <c r="O2815" s="37"/>
      <c r="P2815" s="39"/>
      <c r="Q2815" s="37" t="s">
        <v>6066</v>
      </c>
      <c r="R2815" s="37" t="s">
        <v>389</v>
      </c>
      <c r="S2815" s="37"/>
      <c r="T2815" s="31"/>
    </row>
    <row r="2816" spans="1:20" ht="15" customHeight="1">
      <c r="A2816" s="31"/>
      <c r="B2816" s="32"/>
      <c r="C2816" s="33"/>
      <c r="D2816" s="32" t="s">
        <v>6067</v>
      </c>
      <c r="E2816" s="33" t="s">
        <v>42</v>
      </c>
      <c r="F2816" s="34">
        <v>1</v>
      </c>
      <c r="G2816" s="35">
        <v>0</v>
      </c>
      <c r="H2816" s="35">
        <v>0</v>
      </c>
      <c r="I2816" s="35">
        <f>Tabla1[[#This Row],[P.U. M.N.]]*Tabla1[[#This Row],[CANTIDADES DE REFERENCIA]]</f>
        <v>0</v>
      </c>
      <c r="J2816" s="35">
        <f>Tabla1[[#This Row],[P.U. USD]]*Tabla1[[#This Row],[CANTIDADES DE REFERENCIA]]</f>
        <v>0</v>
      </c>
      <c r="K2816" s="36"/>
      <c r="L2816" s="36"/>
      <c r="M2816" s="36"/>
      <c r="N2816" s="37" t="s">
        <v>5639</v>
      </c>
      <c r="O2816" s="37" t="s">
        <v>6057</v>
      </c>
      <c r="P2816" s="39"/>
      <c r="Q2816" s="37" t="s">
        <v>6068</v>
      </c>
      <c r="R2816" s="37"/>
      <c r="S2816" s="37"/>
      <c r="T2816" s="31"/>
    </row>
    <row r="2817" spans="1:20" ht="15" customHeight="1">
      <c r="A2817" s="31"/>
      <c r="B2817" s="32"/>
      <c r="C2817" s="33"/>
      <c r="D2817" s="32" t="s">
        <v>6069</v>
      </c>
      <c r="E2817" s="33" t="s">
        <v>42</v>
      </c>
      <c r="F2817" s="34">
        <v>1</v>
      </c>
      <c r="G2817" s="35">
        <v>0</v>
      </c>
      <c r="H2817" s="35">
        <v>0</v>
      </c>
      <c r="I2817" s="35">
        <f>Tabla1[[#This Row],[P.U. M.N.]]*Tabla1[[#This Row],[CANTIDADES DE REFERENCIA]]</f>
        <v>0</v>
      </c>
      <c r="J2817" s="35">
        <f>Tabla1[[#This Row],[P.U. USD]]*Tabla1[[#This Row],[CANTIDADES DE REFERENCIA]]</f>
        <v>0</v>
      </c>
      <c r="K2817" s="36"/>
      <c r="L2817" s="36"/>
      <c r="M2817" s="36"/>
      <c r="N2817" s="37" t="s">
        <v>5639</v>
      </c>
      <c r="O2817" s="37" t="s">
        <v>6057</v>
      </c>
      <c r="P2817" s="39"/>
      <c r="Q2817" s="37" t="s">
        <v>6070</v>
      </c>
      <c r="R2817" s="37"/>
      <c r="S2817" s="37"/>
      <c r="T2817" s="31"/>
    </row>
    <row r="2818" spans="1:20" ht="15" customHeight="1">
      <c r="A2818" s="31"/>
      <c r="B2818" s="32"/>
      <c r="C2818" s="33"/>
      <c r="D2818" s="32" t="s">
        <v>6071</v>
      </c>
      <c r="E2818" s="33" t="s">
        <v>42</v>
      </c>
      <c r="F2818" s="34">
        <v>1</v>
      </c>
      <c r="G2818" s="35">
        <v>0</v>
      </c>
      <c r="H2818" s="35">
        <v>0</v>
      </c>
      <c r="I2818" s="35">
        <f>Tabla1[[#This Row],[P.U. M.N.]]*Tabla1[[#This Row],[CANTIDADES DE REFERENCIA]]</f>
        <v>0</v>
      </c>
      <c r="J2818" s="35">
        <f>Tabla1[[#This Row],[P.U. USD]]*Tabla1[[#This Row],[CANTIDADES DE REFERENCIA]]</f>
        <v>0</v>
      </c>
      <c r="K2818" s="36"/>
      <c r="L2818" s="36"/>
      <c r="M2818" s="36"/>
      <c r="N2818" s="37" t="s">
        <v>5639</v>
      </c>
      <c r="O2818" s="37" t="s">
        <v>6057</v>
      </c>
      <c r="P2818" s="39"/>
      <c r="Q2818" s="37" t="s">
        <v>6072</v>
      </c>
      <c r="R2818" s="37"/>
      <c r="S2818" s="37"/>
      <c r="T2818" s="31"/>
    </row>
    <row r="2819" spans="1:20" ht="15" customHeight="1">
      <c r="A2819" s="31"/>
      <c r="B2819" s="32"/>
      <c r="C2819" s="33"/>
      <c r="D2819" s="32" t="s">
        <v>6073</v>
      </c>
      <c r="E2819" s="33" t="s">
        <v>42</v>
      </c>
      <c r="F2819" s="34">
        <v>1</v>
      </c>
      <c r="G2819" s="35">
        <v>0</v>
      </c>
      <c r="H2819" s="35">
        <v>0</v>
      </c>
      <c r="I2819" s="35">
        <f>Tabla1[[#This Row],[P.U. M.N.]]*Tabla1[[#This Row],[CANTIDADES DE REFERENCIA]]</f>
        <v>0</v>
      </c>
      <c r="J2819" s="35">
        <f>Tabla1[[#This Row],[P.U. USD]]*Tabla1[[#This Row],[CANTIDADES DE REFERENCIA]]</f>
        <v>0</v>
      </c>
      <c r="K2819" s="36"/>
      <c r="L2819" s="36"/>
      <c r="M2819" s="36"/>
      <c r="N2819" s="37" t="s">
        <v>5639</v>
      </c>
      <c r="O2819" s="37" t="s">
        <v>6057</v>
      </c>
      <c r="P2819" s="39"/>
      <c r="Q2819" s="37" t="s">
        <v>6074</v>
      </c>
      <c r="R2819" s="37"/>
      <c r="S2819" s="37"/>
      <c r="T2819" s="31"/>
    </row>
    <row r="2820" spans="1:20" ht="15" customHeight="1">
      <c r="A2820" s="31"/>
      <c r="B2820" s="32"/>
      <c r="C2820" s="33"/>
      <c r="D2820" s="32" t="s">
        <v>6075</v>
      </c>
      <c r="E2820" s="33" t="s">
        <v>42</v>
      </c>
      <c r="F2820" s="34">
        <v>1</v>
      </c>
      <c r="G2820" s="35">
        <v>0</v>
      </c>
      <c r="H2820" s="35">
        <v>0</v>
      </c>
      <c r="I2820" s="35">
        <f>Tabla1[[#This Row],[P.U. M.N.]]*Tabla1[[#This Row],[CANTIDADES DE REFERENCIA]]</f>
        <v>0</v>
      </c>
      <c r="J2820" s="35">
        <f>Tabla1[[#This Row],[P.U. USD]]*Tabla1[[#This Row],[CANTIDADES DE REFERENCIA]]</f>
        <v>0</v>
      </c>
      <c r="K2820" s="36"/>
      <c r="L2820" s="36"/>
      <c r="M2820" s="36"/>
      <c r="N2820" s="37" t="s">
        <v>5639</v>
      </c>
      <c r="O2820" s="37" t="s">
        <v>6057</v>
      </c>
      <c r="P2820" s="39"/>
      <c r="Q2820" s="37" t="s">
        <v>6076</v>
      </c>
      <c r="R2820" s="37"/>
      <c r="S2820" s="37"/>
      <c r="T2820" s="31"/>
    </row>
    <row r="2821" spans="1:20" ht="15" customHeight="1">
      <c r="A2821" s="31"/>
      <c r="B2821" s="32"/>
      <c r="C2821" s="33"/>
      <c r="D2821" s="32" t="s">
        <v>6077</v>
      </c>
      <c r="E2821" s="33" t="s">
        <v>42</v>
      </c>
      <c r="F2821" s="34">
        <v>1</v>
      </c>
      <c r="G2821" s="35">
        <v>0</v>
      </c>
      <c r="H2821" s="35">
        <v>0</v>
      </c>
      <c r="I2821" s="35">
        <f>Tabla1[[#This Row],[P.U. M.N.]]*Tabla1[[#This Row],[CANTIDADES DE REFERENCIA]]</f>
        <v>0</v>
      </c>
      <c r="J2821" s="35">
        <f>Tabla1[[#This Row],[P.U. USD]]*Tabla1[[#This Row],[CANTIDADES DE REFERENCIA]]</f>
        <v>0</v>
      </c>
      <c r="K2821" s="36"/>
      <c r="L2821" s="36"/>
      <c r="M2821" s="36"/>
      <c r="N2821" s="37" t="s">
        <v>5639</v>
      </c>
      <c r="O2821" s="37" t="s">
        <v>6057</v>
      </c>
      <c r="P2821" s="39"/>
      <c r="Q2821" s="37" t="s">
        <v>6078</v>
      </c>
      <c r="R2821" s="37"/>
      <c r="S2821" s="37"/>
      <c r="T2821" s="31"/>
    </row>
    <row r="2822" spans="1:20" ht="15" customHeight="1">
      <c r="A2822" s="31"/>
      <c r="B2822" s="32"/>
      <c r="C2822" s="33"/>
      <c r="D2822" s="32" t="s">
        <v>6079</v>
      </c>
      <c r="E2822" s="33" t="s">
        <v>116</v>
      </c>
      <c r="F2822" s="34">
        <v>1</v>
      </c>
      <c r="G2822" s="35">
        <v>0</v>
      </c>
      <c r="H2822" s="35">
        <v>0</v>
      </c>
      <c r="I2822" s="35">
        <f>Tabla1[[#This Row],[P.U. M.N.]]*Tabla1[[#This Row],[CANTIDADES DE REFERENCIA]]</f>
        <v>0</v>
      </c>
      <c r="J2822" s="35">
        <f>Tabla1[[#This Row],[P.U. USD]]*Tabla1[[#This Row],[CANTIDADES DE REFERENCIA]]</f>
        <v>0</v>
      </c>
      <c r="K2822" s="36"/>
      <c r="L2822" s="36"/>
      <c r="M2822" s="36"/>
      <c r="N2822" s="37" t="s">
        <v>6080</v>
      </c>
      <c r="O2822" s="37" t="s">
        <v>6081</v>
      </c>
      <c r="P2822" s="39"/>
      <c r="Q2822" s="37" t="s">
        <v>6082</v>
      </c>
      <c r="R2822" s="37" t="s">
        <v>389</v>
      </c>
      <c r="S2822" s="37" t="s">
        <v>6083</v>
      </c>
      <c r="T2822" s="31"/>
    </row>
    <row r="2823" spans="1:20" ht="15" customHeight="1">
      <c r="A2823" s="31"/>
      <c r="B2823" s="32"/>
      <c r="C2823" s="33"/>
      <c r="D2823" s="32" t="s">
        <v>6084</v>
      </c>
      <c r="E2823" s="33" t="s">
        <v>116</v>
      </c>
      <c r="F2823" s="34">
        <v>1</v>
      </c>
      <c r="G2823" s="35">
        <v>0</v>
      </c>
      <c r="H2823" s="35">
        <v>0</v>
      </c>
      <c r="I2823" s="35">
        <f>Tabla1[[#This Row],[P.U. M.N.]]*Tabla1[[#This Row],[CANTIDADES DE REFERENCIA]]</f>
        <v>0</v>
      </c>
      <c r="J2823" s="35">
        <f>Tabla1[[#This Row],[P.U. USD]]*Tabla1[[#This Row],[CANTIDADES DE REFERENCIA]]</f>
        <v>0</v>
      </c>
      <c r="K2823" s="36"/>
      <c r="L2823" s="36"/>
      <c r="M2823" s="36"/>
      <c r="N2823" s="37"/>
      <c r="O2823" s="37"/>
      <c r="P2823" s="39"/>
      <c r="Q2823" s="37" t="s">
        <v>6085</v>
      </c>
      <c r="R2823" s="37" t="s">
        <v>389</v>
      </c>
      <c r="S2823" s="37" t="s">
        <v>6083</v>
      </c>
      <c r="T2823" s="31"/>
    </row>
    <row r="2824" spans="1:20" ht="15" customHeight="1">
      <c r="A2824" s="31"/>
      <c r="B2824" s="32"/>
      <c r="C2824" s="33"/>
      <c r="D2824" s="32" t="s">
        <v>6086</v>
      </c>
      <c r="E2824" s="33" t="s">
        <v>116</v>
      </c>
      <c r="F2824" s="34">
        <v>1</v>
      </c>
      <c r="G2824" s="35">
        <v>0</v>
      </c>
      <c r="H2824" s="35">
        <v>0</v>
      </c>
      <c r="I2824" s="35">
        <f>Tabla1[[#This Row],[P.U. M.N.]]*Tabla1[[#This Row],[CANTIDADES DE REFERENCIA]]</f>
        <v>0</v>
      </c>
      <c r="J2824" s="35">
        <f>Tabla1[[#This Row],[P.U. USD]]*Tabla1[[#This Row],[CANTIDADES DE REFERENCIA]]</f>
        <v>0</v>
      </c>
      <c r="K2824" s="36"/>
      <c r="L2824" s="36"/>
      <c r="M2824" s="36"/>
      <c r="N2824" s="37"/>
      <c r="O2824" s="37"/>
      <c r="P2824" s="39"/>
      <c r="Q2824" s="37" t="s">
        <v>6087</v>
      </c>
      <c r="R2824" s="37" t="s">
        <v>389</v>
      </c>
      <c r="S2824" s="37" t="s">
        <v>6083</v>
      </c>
      <c r="T2824" s="31"/>
    </row>
    <row r="2825" spans="1:20" ht="15" customHeight="1">
      <c r="A2825" s="31"/>
      <c r="B2825" s="32"/>
      <c r="C2825" s="33"/>
      <c r="D2825" s="32" t="s">
        <v>6088</v>
      </c>
      <c r="E2825" s="33" t="s">
        <v>135</v>
      </c>
      <c r="F2825" s="34">
        <v>1</v>
      </c>
      <c r="G2825" s="35">
        <v>0</v>
      </c>
      <c r="H2825" s="35">
        <v>0</v>
      </c>
      <c r="I2825" s="35">
        <f>Tabla1[[#This Row],[P.U. M.N.]]*Tabla1[[#This Row],[CANTIDADES DE REFERENCIA]]</f>
        <v>0</v>
      </c>
      <c r="J2825" s="35">
        <f>Tabla1[[#This Row],[P.U. USD]]*Tabla1[[#This Row],[CANTIDADES DE REFERENCIA]]</f>
        <v>0</v>
      </c>
      <c r="K2825" s="36"/>
      <c r="L2825" s="36"/>
      <c r="M2825" s="36"/>
      <c r="N2825" s="37"/>
      <c r="O2825" s="37"/>
      <c r="P2825" s="39"/>
      <c r="Q2825" s="37" t="s">
        <v>6089</v>
      </c>
      <c r="R2825" s="37" t="s">
        <v>389</v>
      </c>
      <c r="S2825" s="37" t="s">
        <v>6083</v>
      </c>
      <c r="T2825" s="31"/>
    </row>
    <row r="2826" spans="1:20" ht="15" customHeight="1">
      <c r="A2826" s="31"/>
      <c r="B2826" s="32"/>
      <c r="C2826" s="33"/>
      <c r="D2826" s="32" t="s">
        <v>6090</v>
      </c>
      <c r="E2826" s="33" t="s">
        <v>116</v>
      </c>
      <c r="F2826" s="34">
        <v>1</v>
      </c>
      <c r="G2826" s="35">
        <v>0</v>
      </c>
      <c r="H2826" s="35">
        <v>0</v>
      </c>
      <c r="I2826" s="35">
        <f>Tabla1[[#This Row],[P.U. M.N.]]*Tabla1[[#This Row],[CANTIDADES DE REFERENCIA]]</f>
        <v>0</v>
      </c>
      <c r="J2826" s="35">
        <f>Tabla1[[#This Row],[P.U. USD]]*Tabla1[[#This Row],[CANTIDADES DE REFERENCIA]]</f>
        <v>0</v>
      </c>
      <c r="K2826" s="36"/>
      <c r="L2826" s="36"/>
      <c r="M2826" s="36"/>
      <c r="N2826" s="37"/>
      <c r="O2826" s="37"/>
      <c r="P2826" s="39"/>
      <c r="Q2826" s="37" t="s">
        <v>6091</v>
      </c>
      <c r="R2826" s="37" t="s">
        <v>389</v>
      </c>
      <c r="S2826" s="37" t="s">
        <v>6092</v>
      </c>
      <c r="T2826" s="31"/>
    </row>
    <row r="2827" spans="1:20" ht="15" customHeight="1">
      <c r="A2827" s="31"/>
      <c r="B2827" s="32"/>
      <c r="C2827" s="33"/>
      <c r="D2827" s="32" t="s">
        <v>6093</v>
      </c>
      <c r="E2827" s="33" t="s">
        <v>1607</v>
      </c>
      <c r="F2827" s="34">
        <v>1</v>
      </c>
      <c r="G2827" s="35">
        <v>0</v>
      </c>
      <c r="H2827" s="35">
        <v>0</v>
      </c>
      <c r="I2827" s="35">
        <f>Tabla1[[#This Row],[P.U. M.N.]]*Tabla1[[#This Row],[CANTIDADES DE REFERENCIA]]</f>
        <v>0</v>
      </c>
      <c r="J2827" s="35">
        <f>Tabla1[[#This Row],[P.U. USD]]*Tabla1[[#This Row],[CANTIDADES DE REFERENCIA]]</f>
        <v>0</v>
      </c>
      <c r="K2827" s="36"/>
      <c r="L2827" s="36"/>
      <c r="M2827" s="36"/>
      <c r="N2827" s="37"/>
      <c r="O2827" s="37"/>
      <c r="P2827" s="39"/>
      <c r="Q2827" s="37" t="s">
        <v>6094</v>
      </c>
      <c r="R2827" s="37" t="s">
        <v>389</v>
      </c>
      <c r="S2827" s="37" t="s">
        <v>6092</v>
      </c>
      <c r="T2827" s="31"/>
    </row>
    <row r="2828" spans="1:20" ht="15" customHeight="1">
      <c r="A2828" s="31"/>
      <c r="B2828" s="32"/>
      <c r="C2828" s="33"/>
      <c r="D2828" s="32" t="s">
        <v>6095</v>
      </c>
      <c r="E2828" s="33" t="s">
        <v>116</v>
      </c>
      <c r="F2828" s="34">
        <v>1</v>
      </c>
      <c r="G2828" s="35">
        <v>0</v>
      </c>
      <c r="H2828" s="35">
        <v>0</v>
      </c>
      <c r="I2828" s="35">
        <f>Tabla1[[#This Row],[P.U. M.N.]]*Tabla1[[#This Row],[CANTIDADES DE REFERENCIA]]</f>
        <v>0</v>
      </c>
      <c r="J2828" s="35">
        <f>Tabla1[[#This Row],[P.U. USD]]*Tabla1[[#This Row],[CANTIDADES DE REFERENCIA]]</f>
        <v>0</v>
      </c>
      <c r="K2828" s="36"/>
      <c r="L2828" s="36"/>
      <c r="M2828" s="36"/>
      <c r="N2828" s="37" t="s">
        <v>1849</v>
      </c>
      <c r="O2828" s="37"/>
      <c r="P2828" s="39"/>
      <c r="Q2828" s="37" t="s">
        <v>6096</v>
      </c>
      <c r="R2828" s="37"/>
      <c r="S2828" s="37"/>
      <c r="T2828" s="31"/>
    </row>
    <row r="2829" spans="1:20" ht="15" customHeight="1">
      <c r="A2829" s="31"/>
      <c r="B2829" s="32"/>
      <c r="C2829" s="33"/>
      <c r="D2829" s="32" t="s">
        <v>6097</v>
      </c>
      <c r="E2829" s="33" t="s">
        <v>116</v>
      </c>
      <c r="F2829" s="34">
        <v>1</v>
      </c>
      <c r="G2829" s="35">
        <v>0</v>
      </c>
      <c r="H2829" s="35">
        <v>0</v>
      </c>
      <c r="I2829" s="35">
        <f>Tabla1[[#This Row],[P.U. M.N.]]*Tabla1[[#This Row],[CANTIDADES DE REFERENCIA]]</f>
        <v>0</v>
      </c>
      <c r="J2829" s="35">
        <f>Tabla1[[#This Row],[P.U. USD]]*Tabla1[[#This Row],[CANTIDADES DE REFERENCIA]]</f>
        <v>0</v>
      </c>
      <c r="K2829" s="36"/>
      <c r="L2829" s="36"/>
      <c r="M2829" s="36"/>
      <c r="N2829" s="37" t="s">
        <v>1849</v>
      </c>
      <c r="O2829" s="37"/>
      <c r="P2829" s="39"/>
      <c r="Q2829" s="37" t="s">
        <v>6098</v>
      </c>
      <c r="R2829" s="37"/>
      <c r="S2829" s="37"/>
      <c r="T2829" s="31"/>
    </row>
    <row r="2830" spans="1:20" ht="15" customHeight="1">
      <c r="A2830" s="31"/>
      <c r="B2830" s="32"/>
      <c r="C2830" s="33"/>
      <c r="D2830" s="32" t="s">
        <v>6099</v>
      </c>
      <c r="E2830" s="33" t="s">
        <v>116</v>
      </c>
      <c r="F2830" s="34">
        <v>1</v>
      </c>
      <c r="G2830" s="35">
        <v>0</v>
      </c>
      <c r="H2830" s="35">
        <v>0</v>
      </c>
      <c r="I2830" s="35">
        <f>Tabla1[[#This Row],[P.U. M.N.]]*Tabla1[[#This Row],[CANTIDADES DE REFERENCIA]]</f>
        <v>0</v>
      </c>
      <c r="J2830" s="35">
        <f>Tabla1[[#This Row],[P.U. USD]]*Tabla1[[#This Row],[CANTIDADES DE REFERENCIA]]</f>
        <v>0</v>
      </c>
      <c r="K2830" s="36"/>
      <c r="L2830" s="36"/>
      <c r="M2830" s="36"/>
      <c r="N2830" s="37" t="s">
        <v>1849</v>
      </c>
      <c r="O2830" s="37"/>
      <c r="P2830" s="39"/>
      <c r="Q2830" s="37" t="s">
        <v>6100</v>
      </c>
      <c r="R2830" s="37"/>
      <c r="S2830" s="37"/>
      <c r="T2830" s="31"/>
    </row>
    <row r="2831" spans="1:20" ht="15" customHeight="1">
      <c r="A2831" s="31"/>
      <c r="B2831" s="32"/>
      <c r="C2831" s="33"/>
      <c r="D2831" s="32" t="s">
        <v>6101</v>
      </c>
      <c r="E2831" s="33" t="s">
        <v>116</v>
      </c>
      <c r="F2831" s="34">
        <v>1</v>
      </c>
      <c r="G2831" s="35">
        <v>0</v>
      </c>
      <c r="H2831" s="35">
        <v>0</v>
      </c>
      <c r="I2831" s="35">
        <f>Tabla1[[#This Row],[P.U. M.N.]]*Tabla1[[#This Row],[CANTIDADES DE REFERENCIA]]</f>
        <v>0</v>
      </c>
      <c r="J2831" s="35">
        <f>Tabla1[[#This Row],[P.U. USD]]*Tabla1[[#This Row],[CANTIDADES DE REFERENCIA]]</f>
        <v>0</v>
      </c>
      <c r="K2831" s="36"/>
      <c r="L2831" s="36"/>
      <c r="M2831" s="36"/>
      <c r="N2831" s="37" t="s">
        <v>1849</v>
      </c>
      <c r="O2831" s="37"/>
      <c r="P2831" s="39"/>
      <c r="Q2831" s="37" t="s">
        <v>6102</v>
      </c>
      <c r="R2831" s="37"/>
      <c r="S2831" s="37"/>
      <c r="T2831" s="31"/>
    </row>
    <row r="2832" spans="1:20" ht="15" customHeight="1">
      <c r="A2832" s="31"/>
      <c r="B2832" s="32"/>
      <c r="C2832" s="33"/>
      <c r="D2832" s="32" t="s">
        <v>6103</v>
      </c>
      <c r="E2832" s="33" t="s">
        <v>116</v>
      </c>
      <c r="F2832" s="34">
        <v>1</v>
      </c>
      <c r="G2832" s="35">
        <v>0</v>
      </c>
      <c r="H2832" s="35">
        <v>0</v>
      </c>
      <c r="I2832" s="35">
        <f>Tabla1[[#This Row],[P.U. M.N.]]*Tabla1[[#This Row],[CANTIDADES DE REFERENCIA]]</f>
        <v>0</v>
      </c>
      <c r="J2832" s="35">
        <f>Tabla1[[#This Row],[P.U. USD]]*Tabla1[[#This Row],[CANTIDADES DE REFERENCIA]]</f>
        <v>0</v>
      </c>
      <c r="K2832" s="36"/>
      <c r="L2832" s="36"/>
      <c r="M2832" s="36"/>
      <c r="N2832" s="37" t="s">
        <v>1849</v>
      </c>
      <c r="O2832" s="37"/>
      <c r="P2832" s="39"/>
      <c r="Q2832" s="37" t="s">
        <v>6104</v>
      </c>
      <c r="R2832" s="37"/>
      <c r="S2832" s="37"/>
      <c r="T2832" s="31"/>
    </row>
    <row r="2833" spans="1:20" ht="15" customHeight="1">
      <c r="A2833" s="31"/>
      <c r="B2833" s="32"/>
      <c r="C2833" s="33"/>
      <c r="D2833" s="32" t="s">
        <v>6105</v>
      </c>
      <c r="E2833" s="33" t="s">
        <v>116</v>
      </c>
      <c r="F2833" s="34">
        <v>1</v>
      </c>
      <c r="G2833" s="35">
        <v>0</v>
      </c>
      <c r="H2833" s="35">
        <v>0</v>
      </c>
      <c r="I2833" s="35">
        <f>Tabla1[[#This Row],[P.U. M.N.]]*Tabla1[[#This Row],[CANTIDADES DE REFERENCIA]]</f>
        <v>0</v>
      </c>
      <c r="J2833" s="35">
        <f>Tabla1[[#This Row],[P.U. USD]]*Tabla1[[#This Row],[CANTIDADES DE REFERENCIA]]</f>
        <v>0</v>
      </c>
      <c r="K2833" s="36"/>
      <c r="L2833" s="36"/>
      <c r="M2833" s="36"/>
      <c r="N2833" s="37" t="s">
        <v>1849</v>
      </c>
      <c r="O2833" s="37"/>
      <c r="P2833" s="39"/>
      <c r="Q2833" s="37" t="s">
        <v>6106</v>
      </c>
      <c r="R2833" s="37"/>
      <c r="S2833" s="37"/>
      <c r="T2833" s="31"/>
    </row>
    <row r="2834" spans="1:20" ht="15" customHeight="1">
      <c r="A2834" s="31"/>
      <c r="B2834" s="32"/>
      <c r="C2834" s="33"/>
      <c r="D2834" s="32" t="s">
        <v>6107</v>
      </c>
      <c r="E2834" s="33" t="s">
        <v>42</v>
      </c>
      <c r="F2834" s="34">
        <v>1</v>
      </c>
      <c r="G2834" s="35">
        <v>0</v>
      </c>
      <c r="H2834" s="35">
        <v>0</v>
      </c>
      <c r="I2834" s="35">
        <f>Tabla1[[#This Row],[P.U. M.N.]]*Tabla1[[#This Row],[CANTIDADES DE REFERENCIA]]</f>
        <v>0</v>
      </c>
      <c r="J2834" s="35">
        <f>Tabla1[[#This Row],[P.U. USD]]*Tabla1[[#This Row],[CANTIDADES DE REFERENCIA]]</f>
        <v>0</v>
      </c>
      <c r="K2834" s="36"/>
      <c r="L2834" s="36"/>
      <c r="M2834" s="36"/>
      <c r="N2834" s="37" t="s">
        <v>6108</v>
      </c>
      <c r="O2834" s="37"/>
      <c r="P2834" s="39"/>
      <c r="Q2834" s="37" t="s">
        <v>6109</v>
      </c>
      <c r="R2834" s="37"/>
      <c r="S2834" s="37"/>
      <c r="T2834" s="31"/>
    </row>
    <row r="2835" spans="1:20" ht="15" customHeight="1">
      <c r="A2835" s="31"/>
      <c r="B2835" s="32"/>
      <c r="C2835" s="33"/>
      <c r="D2835" s="32" t="s">
        <v>6110</v>
      </c>
      <c r="E2835" s="33" t="s">
        <v>42</v>
      </c>
      <c r="F2835" s="34">
        <v>1</v>
      </c>
      <c r="G2835" s="35">
        <v>0</v>
      </c>
      <c r="H2835" s="35">
        <v>0</v>
      </c>
      <c r="I2835" s="35">
        <f>Tabla1[[#This Row],[P.U. M.N.]]*Tabla1[[#This Row],[CANTIDADES DE REFERENCIA]]</f>
        <v>0</v>
      </c>
      <c r="J2835" s="35">
        <f>Tabla1[[#This Row],[P.U. USD]]*Tabla1[[#This Row],[CANTIDADES DE REFERENCIA]]</f>
        <v>0</v>
      </c>
      <c r="K2835" s="36"/>
      <c r="L2835" s="36"/>
      <c r="M2835" s="36"/>
      <c r="N2835" s="37" t="s">
        <v>6108</v>
      </c>
      <c r="O2835" s="37"/>
      <c r="P2835" s="39"/>
      <c r="Q2835" s="37" t="s">
        <v>6111</v>
      </c>
      <c r="R2835" s="37"/>
      <c r="S2835" s="37"/>
      <c r="T2835" s="31"/>
    </row>
    <row r="2836" spans="1:20" ht="15" customHeight="1">
      <c r="A2836" s="31"/>
      <c r="B2836" s="32"/>
      <c r="C2836" s="33"/>
      <c r="D2836" s="32" t="s">
        <v>6112</v>
      </c>
      <c r="E2836" s="33" t="s">
        <v>116</v>
      </c>
      <c r="F2836" s="34">
        <v>1</v>
      </c>
      <c r="G2836" s="35">
        <v>0</v>
      </c>
      <c r="H2836" s="35">
        <v>0</v>
      </c>
      <c r="I2836" s="35">
        <f>Tabla1[[#This Row],[P.U. M.N.]]*Tabla1[[#This Row],[CANTIDADES DE REFERENCIA]]</f>
        <v>0</v>
      </c>
      <c r="J2836" s="35">
        <f>Tabla1[[#This Row],[P.U. USD]]*Tabla1[[#This Row],[CANTIDADES DE REFERENCIA]]</f>
        <v>0</v>
      </c>
      <c r="K2836" s="36"/>
      <c r="L2836" s="36"/>
      <c r="M2836" s="36"/>
      <c r="N2836" s="37" t="s">
        <v>1277</v>
      </c>
      <c r="O2836" s="37" t="s">
        <v>1278</v>
      </c>
      <c r="P2836" s="39"/>
      <c r="Q2836" s="37" t="s">
        <v>6113</v>
      </c>
      <c r="R2836" s="37"/>
      <c r="S2836" s="37" t="s">
        <v>6114</v>
      </c>
      <c r="T2836" s="31"/>
    </row>
    <row r="2837" spans="1:20" ht="15" customHeight="1">
      <c r="A2837" s="31"/>
      <c r="B2837" s="32"/>
      <c r="C2837" s="33"/>
      <c r="D2837" s="32" t="s">
        <v>6115</v>
      </c>
      <c r="E2837" s="33" t="s">
        <v>116</v>
      </c>
      <c r="F2837" s="34">
        <v>1</v>
      </c>
      <c r="G2837" s="35">
        <v>0</v>
      </c>
      <c r="H2837" s="35">
        <v>0</v>
      </c>
      <c r="I2837" s="35">
        <f>Tabla1[[#This Row],[P.U. M.N.]]*Tabla1[[#This Row],[CANTIDADES DE REFERENCIA]]</f>
        <v>0</v>
      </c>
      <c r="J2837" s="35">
        <f>Tabla1[[#This Row],[P.U. USD]]*Tabla1[[#This Row],[CANTIDADES DE REFERENCIA]]</f>
        <v>0</v>
      </c>
      <c r="K2837" s="36"/>
      <c r="L2837" s="36"/>
      <c r="M2837" s="36"/>
      <c r="N2837" s="37" t="s">
        <v>6116</v>
      </c>
      <c r="O2837" s="37"/>
      <c r="P2837" s="39"/>
      <c r="Q2837" s="37" t="s">
        <v>6117</v>
      </c>
      <c r="R2837" s="37"/>
      <c r="S2837" s="37"/>
      <c r="T2837" s="31"/>
    </row>
    <row r="2838" spans="1:20" ht="15" customHeight="1">
      <c r="A2838" s="31"/>
      <c r="B2838" s="32"/>
      <c r="C2838" s="33"/>
      <c r="D2838" s="32" t="s">
        <v>6118</v>
      </c>
      <c r="E2838" s="33" t="s">
        <v>116</v>
      </c>
      <c r="F2838" s="34">
        <v>1</v>
      </c>
      <c r="G2838" s="35">
        <v>0</v>
      </c>
      <c r="H2838" s="35">
        <v>0</v>
      </c>
      <c r="I2838" s="35">
        <f>Tabla1[[#This Row],[P.U. M.N.]]*Tabla1[[#This Row],[CANTIDADES DE REFERENCIA]]</f>
        <v>0</v>
      </c>
      <c r="J2838" s="35">
        <f>Tabla1[[#This Row],[P.U. USD]]*Tabla1[[#This Row],[CANTIDADES DE REFERENCIA]]</f>
        <v>0</v>
      </c>
      <c r="K2838" s="36"/>
      <c r="L2838" s="36"/>
      <c r="M2838" s="36"/>
      <c r="N2838" s="37" t="s">
        <v>2057</v>
      </c>
      <c r="O2838" s="37"/>
      <c r="P2838" s="39"/>
      <c r="Q2838" s="37" t="s">
        <v>6119</v>
      </c>
      <c r="R2838" s="37"/>
      <c r="S2838" s="37"/>
      <c r="T2838" s="31"/>
    </row>
    <row r="2839" spans="1:20" ht="15" customHeight="1">
      <c r="A2839" s="31"/>
      <c r="B2839" s="32"/>
      <c r="C2839" s="33"/>
      <c r="D2839" s="32" t="s">
        <v>6120</v>
      </c>
      <c r="E2839" s="33" t="s">
        <v>116</v>
      </c>
      <c r="F2839" s="34">
        <v>1</v>
      </c>
      <c r="G2839" s="35">
        <v>0</v>
      </c>
      <c r="H2839" s="35">
        <v>0</v>
      </c>
      <c r="I2839" s="35">
        <f>Tabla1[[#This Row],[P.U. M.N.]]*Tabla1[[#This Row],[CANTIDADES DE REFERENCIA]]</f>
        <v>0</v>
      </c>
      <c r="J2839" s="35">
        <f>Tabla1[[#This Row],[P.U. USD]]*Tabla1[[#This Row],[CANTIDADES DE REFERENCIA]]</f>
        <v>0</v>
      </c>
      <c r="K2839" s="36"/>
      <c r="L2839" s="36"/>
      <c r="M2839" s="36"/>
      <c r="N2839" s="37" t="s">
        <v>2057</v>
      </c>
      <c r="O2839" s="37"/>
      <c r="P2839" s="39"/>
      <c r="Q2839" s="37" t="s">
        <v>6121</v>
      </c>
      <c r="R2839" s="37"/>
      <c r="S2839" s="37"/>
      <c r="T2839" s="31"/>
    </row>
    <row r="2840" spans="1:20" ht="15" customHeight="1">
      <c r="A2840" s="31"/>
      <c r="B2840" s="32"/>
      <c r="C2840" s="33"/>
      <c r="D2840" s="32" t="s">
        <v>6122</v>
      </c>
      <c r="E2840" s="33" t="s">
        <v>116</v>
      </c>
      <c r="F2840" s="34">
        <v>1</v>
      </c>
      <c r="G2840" s="35">
        <v>0</v>
      </c>
      <c r="H2840" s="35">
        <v>0</v>
      </c>
      <c r="I2840" s="35">
        <f>Tabla1[[#This Row],[P.U. M.N.]]*Tabla1[[#This Row],[CANTIDADES DE REFERENCIA]]</f>
        <v>0</v>
      </c>
      <c r="J2840" s="35">
        <f>Tabla1[[#This Row],[P.U. USD]]*Tabla1[[#This Row],[CANTIDADES DE REFERENCIA]]</f>
        <v>0</v>
      </c>
      <c r="K2840" s="36"/>
      <c r="L2840" s="36"/>
      <c r="M2840" s="36"/>
      <c r="N2840" s="37" t="s">
        <v>2057</v>
      </c>
      <c r="O2840" s="37"/>
      <c r="P2840" s="39"/>
      <c r="Q2840" s="37" t="s">
        <v>6123</v>
      </c>
      <c r="R2840" s="37"/>
      <c r="S2840" s="37"/>
      <c r="T2840" s="31"/>
    </row>
    <row r="2841" spans="1:20" ht="15" customHeight="1">
      <c r="A2841" s="31"/>
      <c r="B2841" s="32"/>
      <c r="C2841" s="33"/>
      <c r="D2841" s="32" t="s">
        <v>6124</v>
      </c>
      <c r="E2841" s="33" t="s">
        <v>1154</v>
      </c>
      <c r="F2841" s="34">
        <v>1</v>
      </c>
      <c r="G2841" s="35">
        <v>0</v>
      </c>
      <c r="H2841" s="35">
        <v>0</v>
      </c>
      <c r="I2841" s="35">
        <f>Tabla1[[#This Row],[P.U. M.N.]]*Tabla1[[#This Row],[CANTIDADES DE REFERENCIA]]</f>
        <v>0</v>
      </c>
      <c r="J2841" s="35">
        <f>Tabla1[[#This Row],[P.U. USD]]*Tabla1[[#This Row],[CANTIDADES DE REFERENCIA]]</f>
        <v>0</v>
      </c>
      <c r="K2841" s="36"/>
      <c r="L2841" s="36"/>
      <c r="M2841" s="36"/>
      <c r="N2841" s="37" t="s">
        <v>6125</v>
      </c>
      <c r="O2841" s="37"/>
      <c r="P2841" s="39"/>
      <c r="Q2841" s="37" t="s">
        <v>6126</v>
      </c>
      <c r="R2841" s="37"/>
      <c r="S2841" s="37"/>
      <c r="T2841" s="31"/>
    </row>
    <row r="2842" spans="1:20" ht="15" customHeight="1">
      <c r="A2842" s="31"/>
      <c r="B2842" s="32"/>
      <c r="C2842" s="33"/>
      <c r="D2842" s="32" t="s">
        <v>6127</v>
      </c>
      <c r="E2842" s="33" t="s">
        <v>1154</v>
      </c>
      <c r="F2842" s="34">
        <v>1</v>
      </c>
      <c r="G2842" s="35">
        <v>0</v>
      </c>
      <c r="H2842" s="35">
        <v>0</v>
      </c>
      <c r="I2842" s="35">
        <f>Tabla1[[#This Row],[P.U. M.N.]]*Tabla1[[#This Row],[CANTIDADES DE REFERENCIA]]</f>
        <v>0</v>
      </c>
      <c r="J2842" s="35">
        <f>Tabla1[[#This Row],[P.U. USD]]*Tabla1[[#This Row],[CANTIDADES DE REFERENCIA]]</f>
        <v>0</v>
      </c>
      <c r="K2842" s="36"/>
      <c r="L2842" s="36"/>
      <c r="M2842" s="36"/>
      <c r="N2842" s="37" t="s">
        <v>6125</v>
      </c>
      <c r="O2842" s="37"/>
      <c r="P2842" s="39"/>
      <c r="Q2842" s="37" t="s">
        <v>6128</v>
      </c>
      <c r="R2842" s="37"/>
      <c r="S2842" s="37"/>
      <c r="T2842" s="31"/>
    </row>
    <row r="2843" spans="1:20" ht="15" customHeight="1">
      <c r="A2843" s="31"/>
      <c r="B2843" s="32"/>
      <c r="C2843" s="33"/>
      <c r="D2843" s="32" t="s">
        <v>6129</v>
      </c>
      <c r="E2843" s="33" t="s">
        <v>1154</v>
      </c>
      <c r="F2843" s="34">
        <v>1</v>
      </c>
      <c r="G2843" s="35">
        <v>0</v>
      </c>
      <c r="H2843" s="35">
        <v>0</v>
      </c>
      <c r="I2843" s="35">
        <f>Tabla1[[#This Row],[P.U. M.N.]]*Tabla1[[#This Row],[CANTIDADES DE REFERENCIA]]</f>
        <v>0</v>
      </c>
      <c r="J2843" s="35">
        <f>Tabla1[[#This Row],[P.U. USD]]*Tabla1[[#This Row],[CANTIDADES DE REFERENCIA]]</f>
        <v>0</v>
      </c>
      <c r="K2843" s="36"/>
      <c r="L2843" s="36"/>
      <c r="M2843" s="36"/>
      <c r="N2843" s="37" t="s">
        <v>6125</v>
      </c>
      <c r="O2843" s="37"/>
      <c r="P2843" s="39"/>
      <c r="Q2843" s="37" t="s">
        <v>6130</v>
      </c>
      <c r="R2843" s="37"/>
      <c r="S2843" s="37"/>
      <c r="T2843" s="31"/>
    </row>
    <row r="2844" spans="1:20" ht="15" customHeight="1">
      <c r="A2844" s="31"/>
      <c r="B2844" s="32"/>
      <c r="C2844" s="33"/>
      <c r="D2844" s="32" t="s">
        <v>6131</v>
      </c>
      <c r="E2844" s="33" t="s">
        <v>1154</v>
      </c>
      <c r="F2844" s="34">
        <v>1</v>
      </c>
      <c r="G2844" s="35">
        <v>0</v>
      </c>
      <c r="H2844" s="35">
        <v>0</v>
      </c>
      <c r="I2844" s="35">
        <f>Tabla1[[#This Row],[P.U. M.N.]]*Tabla1[[#This Row],[CANTIDADES DE REFERENCIA]]</f>
        <v>0</v>
      </c>
      <c r="J2844" s="35">
        <f>Tabla1[[#This Row],[P.U. USD]]*Tabla1[[#This Row],[CANTIDADES DE REFERENCIA]]</f>
        <v>0</v>
      </c>
      <c r="K2844" s="36"/>
      <c r="L2844" s="36"/>
      <c r="M2844" s="36"/>
      <c r="N2844" s="37" t="s">
        <v>6125</v>
      </c>
      <c r="O2844" s="37"/>
      <c r="P2844" s="39"/>
      <c r="Q2844" s="37" t="s">
        <v>6132</v>
      </c>
      <c r="R2844" s="37"/>
      <c r="S2844" s="37"/>
      <c r="T2844" s="31"/>
    </row>
    <row r="2845" spans="1:20" ht="15" customHeight="1">
      <c r="A2845" s="31"/>
      <c r="B2845" s="32"/>
      <c r="C2845" s="33"/>
      <c r="D2845" s="32" t="s">
        <v>6133</v>
      </c>
      <c r="E2845" s="33" t="s">
        <v>116</v>
      </c>
      <c r="F2845" s="34">
        <v>1</v>
      </c>
      <c r="G2845" s="35">
        <v>0</v>
      </c>
      <c r="H2845" s="35">
        <v>0</v>
      </c>
      <c r="I2845" s="35">
        <f>Tabla1[[#This Row],[P.U. M.N.]]*Tabla1[[#This Row],[CANTIDADES DE REFERENCIA]]</f>
        <v>0</v>
      </c>
      <c r="J2845" s="35">
        <f>Tabla1[[#This Row],[P.U. USD]]*Tabla1[[#This Row],[CANTIDADES DE REFERENCIA]]</f>
        <v>0</v>
      </c>
      <c r="K2845" s="36"/>
      <c r="L2845" s="36"/>
      <c r="M2845" s="36"/>
      <c r="N2845" s="37" t="s">
        <v>6125</v>
      </c>
      <c r="O2845" s="37"/>
      <c r="P2845" s="39"/>
      <c r="Q2845" s="37" t="s">
        <v>6134</v>
      </c>
      <c r="R2845" s="37"/>
      <c r="S2845" s="37"/>
      <c r="T2845" s="31"/>
    </row>
    <row r="2846" spans="1:20" ht="15" customHeight="1">
      <c r="A2846" s="31"/>
      <c r="B2846" s="32"/>
      <c r="C2846" s="33"/>
      <c r="D2846" s="32" t="s">
        <v>6135</v>
      </c>
      <c r="E2846" s="33" t="s">
        <v>116</v>
      </c>
      <c r="F2846" s="34">
        <v>1</v>
      </c>
      <c r="G2846" s="35">
        <v>0</v>
      </c>
      <c r="H2846" s="35">
        <v>0</v>
      </c>
      <c r="I2846" s="35">
        <f>Tabla1[[#This Row],[P.U. M.N.]]*Tabla1[[#This Row],[CANTIDADES DE REFERENCIA]]</f>
        <v>0</v>
      </c>
      <c r="J2846" s="35">
        <f>Tabla1[[#This Row],[P.U. USD]]*Tabla1[[#This Row],[CANTIDADES DE REFERENCIA]]</f>
        <v>0</v>
      </c>
      <c r="K2846" s="36"/>
      <c r="L2846" s="36"/>
      <c r="M2846" s="36"/>
      <c r="N2846" s="37" t="s">
        <v>6125</v>
      </c>
      <c r="O2846" s="37"/>
      <c r="P2846" s="39"/>
      <c r="Q2846" s="37" t="s">
        <v>6136</v>
      </c>
      <c r="R2846" s="37"/>
      <c r="S2846" s="37"/>
      <c r="T2846" s="31"/>
    </row>
    <row r="2847" spans="1:20" ht="15" customHeight="1">
      <c r="A2847" s="31"/>
      <c r="B2847" s="32"/>
      <c r="C2847" s="33"/>
      <c r="D2847" s="32" t="s">
        <v>6137</v>
      </c>
      <c r="E2847" s="33" t="s">
        <v>116</v>
      </c>
      <c r="F2847" s="34">
        <v>1</v>
      </c>
      <c r="G2847" s="35">
        <v>0</v>
      </c>
      <c r="H2847" s="35">
        <v>0</v>
      </c>
      <c r="I2847" s="35">
        <f>Tabla1[[#This Row],[P.U. M.N.]]*Tabla1[[#This Row],[CANTIDADES DE REFERENCIA]]</f>
        <v>0</v>
      </c>
      <c r="J2847" s="35">
        <f>Tabla1[[#This Row],[P.U. USD]]*Tabla1[[#This Row],[CANTIDADES DE REFERENCIA]]</f>
        <v>0</v>
      </c>
      <c r="K2847" s="36"/>
      <c r="L2847" s="36"/>
      <c r="M2847" s="36"/>
      <c r="N2847" s="37" t="s">
        <v>6125</v>
      </c>
      <c r="O2847" s="37"/>
      <c r="P2847" s="39"/>
      <c r="Q2847" s="37" t="s">
        <v>6138</v>
      </c>
      <c r="R2847" s="37"/>
      <c r="S2847" s="37"/>
      <c r="T2847" s="31"/>
    </row>
    <row r="2848" spans="1:20" ht="15" customHeight="1">
      <c r="A2848" s="31"/>
      <c r="B2848" s="32"/>
      <c r="C2848" s="33"/>
      <c r="D2848" s="32" t="s">
        <v>6139</v>
      </c>
      <c r="E2848" s="33" t="s">
        <v>42</v>
      </c>
      <c r="F2848" s="34">
        <v>1</v>
      </c>
      <c r="G2848" s="35">
        <v>0</v>
      </c>
      <c r="H2848" s="35">
        <v>0</v>
      </c>
      <c r="I2848" s="35">
        <f>Tabla1[[#This Row],[P.U. M.N.]]*Tabla1[[#This Row],[CANTIDADES DE REFERENCIA]]</f>
        <v>0</v>
      </c>
      <c r="J2848" s="35">
        <f>Tabla1[[#This Row],[P.U. USD]]*Tabla1[[#This Row],[CANTIDADES DE REFERENCIA]]</f>
        <v>0</v>
      </c>
      <c r="K2848" s="36"/>
      <c r="L2848" s="36"/>
      <c r="M2848" s="36"/>
      <c r="N2848" s="37" t="s">
        <v>6125</v>
      </c>
      <c r="O2848" s="37"/>
      <c r="P2848" s="39"/>
      <c r="Q2848" s="37" t="s">
        <v>6140</v>
      </c>
      <c r="R2848" s="37"/>
      <c r="S2848" s="37"/>
      <c r="T2848" s="31"/>
    </row>
    <row r="2849" spans="1:20" ht="15" customHeight="1">
      <c r="A2849" s="31"/>
      <c r="B2849" s="32"/>
      <c r="C2849" s="33"/>
      <c r="D2849" s="32" t="s">
        <v>6141</v>
      </c>
      <c r="E2849" s="33" t="s">
        <v>6142</v>
      </c>
      <c r="F2849" s="34">
        <v>1</v>
      </c>
      <c r="G2849" s="35">
        <v>0</v>
      </c>
      <c r="H2849" s="35">
        <v>0</v>
      </c>
      <c r="I2849" s="35">
        <f>Tabla1[[#This Row],[P.U. M.N.]]*Tabla1[[#This Row],[CANTIDADES DE REFERENCIA]]</f>
        <v>0</v>
      </c>
      <c r="J2849" s="35">
        <f>Tabla1[[#This Row],[P.U. USD]]*Tabla1[[#This Row],[CANTIDADES DE REFERENCIA]]</f>
        <v>0</v>
      </c>
      <c r="K2849" s="36"/>
      <c r="L2849" s="36"/>
      <c r="M2849" s="36"/>
      <c r="N2849" s="37" t="s">
        <v>6125</v>
      </c>
      <c r="O2849" s="37"/>
      <c r="P2849" s="39"/>
      <c r="Q2849" s="37" t="s">
        <v>6143</v>
      </c>
      <c r="R2849" s="37"/>
      <c r="S2849" s="37"/>
      <c r="T2849" s="31"/>
    </row>
    <row r="2850" spans="1:20" ht="15" customHeight="1">
      <c r="A2850" s="31"/>
      <c r="B2850" s="32"/>
      <c r="C2850" s="33"/>
      <c r="D2850" s="32" t="s">
        <v>6144</v>
      </c>
      <c r="E2850" s="33" t="s">
        <v>116</v>
      </c>
      <c r="F2850" s="34">
        <v>1</v>
      </c>
      <c r="G2850" s="35">
        <v>0</v>
      </c>
      <c r="H2850" s="35">
        <v>0</v>
      </c>
      <c r="I2850" s="35">
        <f>Tabla1[[#This Row],[P.U. M.N.]]*Tabla1[[#This Row],[CANTIDADES DE REFERENCIA]]</f>
        <v>0</v>
      </c>
      <c r="J2850" s="35">
        <f>Tabla1[[#This Row],[P.U. USD]]*Tabla1[[#This Row],[CANTIDADES DE REFERENCIA]]</f>
        <v>0</v>
      </c>
      <c r="K2850" s="36"/>
      <c r="L2850" s="36"/>
      <c r="M2850" s="36"/>
      <c r="N2850" s="37" t="s">
        <v>6125</v>
      </c>
      <c r="O2850" s="37"/>
      <c r="P2850" s="39"/>
      <c r="Q2850" s="37" t="s">
        <v>6145</v>
      </c>
      <c r="R2850" s="37"/>
      <c r="S2850" s="37"/>
      <c r="T2850" s="31"/>
    </row>
    <row r="2851" spans="1:20" ht="15" customHeight="1">
      <c r="A2851" s="31"/>
      <c r="B2851" s="32"/>
      <c r="C2851" s="33"/>
      <c r="D2851" s="32" t="s">
        <v>6146</v>
      </c>
      <c r="E2851" s="33" t="s">
        <v>61</v>
      </c>
      <c r="F2851" s="34">
        <v>1</v>
      </c>
      <c r="G2851" s="35">
        <v>0</v>
      </c>
      <c r="H2851" s="35">
        <v>0</v>
      </c>
      <c r="I2851" s="35">
        <f>Tabla1[[#This Row],[P.U. M.N.]]*Tabla1[[#This Row],[CANTIDADES DE REFERENCIA]]</f>
        <v>0</v>
      </c>
      <c r="J2851" s="35">
        <f>Tabla1[[#This Row],[P.U. USD]]*Tabla1[[#This Row],[CANTIDADES DE REFERENCIA]]</f>
        <v>0</v>
      </c>
      <c r="K2851" s="36"/>
      <c r="L2851" s="36"/>
      <c r="M2851" s="36"/>
      <c r="N2851" s="37" t="s">
        <v>6147</v>
      </c>
      <c r="O2851" s="37"/>
      <c r="P2851" s="39"/>
      <c r="Q2851" s="37" t="s">
        <v>6148</v>
      </c>
      <c r="R2851" s="37"/>
      <c r="S2851" s="37" t="s">
        <v>6149</v>
      </c>
      <c r="T2851" s="31"/>
    </row>
    <row r="2852" spans="1:20" ht="15" customHeight="1">
      <c r="A2852" s="31"/>
      <c r="B2852" s="32"/>
      <c r="C2852" s="33"/>
      <c r="D2852" s="32" t="s">
        <v>6150</v>
      </c>
      <c r="E2852" s="33" t="s">
        <v>61</v>
      </c>
      <c r="F2852" s="34">
        <v>1</v>
      </c>
      <c r="G2852" s="35">
        <v>0</v>
      </c>
      <c r="H2852" s="35">
        <v>0</v>
      </c>
      <c r="I2852" s="35">
        <f>Tabla1[[#This Row],[P.U. M.N.]]*Tabla1[[#This Row],[CANTIDADES DE REFERENCIA]]</f>
        <v>0</v>
      </c>
      <c r="J2852" s="35">
        <f>Tabla1[[#This Row],[P.U. USD]]*Tabla1[[#This Row],[CANTIDADES DE REFERENCIA]]</f>
        <v>0</v>
      </c>
      <c r="K2852" s="36"/>
      <c r="L2852" s="36"/>
      <c r="M2852" s="36"/>
      <c r="N2852" s="37" t="s">
        <v>6147</v>
      </c>
      <c r="O2852" s="37"/>
      <c r="P2852" s="39"/>
      <c r="Q2852" s="37" t="s">
        <v>6151</v>
      </c>
      <c r="R2852" s="37"/>
      <c r="S2852" s="37" t="s">
        <v>6149</v>
      </c>
      <c r="T2852" s="31"/>
    </row>
    <row r="2853" spans="1:20" ht="15" customHeight="1">
      <c r="A2853" s="31"/>
      <c r="B2853" s="32"/>
      <c r="C2853" s="33"/>
      <c r="D2853" s="32" t="s">
        <v>6152</v>
      </c>
      <c r="E2853" s="33" t="s">
        <v>61</v>
      </c>
      <c r="F2853" s="34">
        <v>1</v>
      </c>
      <c r="G2853" s="35">
        <v>0</v>
      </c>
      <c r="H2853" s="35">
        <v>0</v>
      </c>
      <c r="I2853" s="35">
        <f>Tabla1[[#This Row],[P.U. M.N.]]*Tabla1[[#This Row],[CANTIDADES DE REFERENCIA]]</f>
        <v>0</v>
      </c>
      <c r="J2853" s="35">
        <f>Tabla1[[#This Row],[P.U. USD]]*Tabla1[[#This Row],[CANTIDADES DE REFERENCIA]]</f>
        <v>0</v>
      </c>
      <c r="K2853" s="36"/>
      <c r="L2853" s="36"/>
      <c r="M2853" s="36"/>
      <c r="N2853" s="37" t="s">
        <v>6147</v>
      </c>
      <c r="O2853" s="37"/>
      <c r="P2853" s="39"/>
      <c r="Q2853" s="37" t="s">
        <v>6153</v>
      </c>
      <c r="R2853" s="37"/>
      <c r="S2853" s="37" t="s">
        <v>6149</v>
      </c>
      <c r="T2853" s="31"/>
    </row>
    <row r="2854" spans="1:20" ht="15" customHeight="1">
      <c r="A2854" s="31"/>
      <c r="B2854" s="32"/>
      <c r="C2854" s="33"/>
      <c r="D2854" s="32" t="s">
        <v>6154</v>
      </c>
      <c r="E2854" s="33" t="s">
        <v>61</v>
      </c>
      <c r="F2854" s="34">
        <v>1</v>
      </c>
      <c r="G2854" s="35">
        <v>0</v>
      </c>
      <c r="H2854" s="35">
        <v>0</v>
      </c>
      <c r="I2854" s="35">
        <f>Tabla1[[#This Row],[P.U. M.N.]]*Tabla1[[#This Row],[CANTIDADES DE REFERENCIA]]</f>
        <v>0</v>
      </c>
      <c r="J2854" s="35">
        <f>Tabla1[[#This Row],[P.U. USD]]*Tabla1[[#This Row],[CANTIDADES DE REFERENCIA]]</f>
        <v>0</v>
      </c>
      <c r="K2854" s="36"/>
      <c r="L2854" s="36"/>
      <c r="M2854" s="36"/>
      <c r="N2854" s="37" t="s">
        <v>6147</v>
      </c>
      <c r="O2854" s="37"/>
      <c r="P2854" s="39"/>
      <c r="Q2854" s="37" t="s">
        <v>6155</v>
      </c>
      <c r="R2854" s="37"/>
      <c r="S2854" s="37" t="s">
        <v>6149</v>
      </c>
      <c r="T2854" s="31"/>
    </row>
    <row r="2855" spans="1:20" ht="15" customHeight="1">
      <c r="A2855" s="31"/>
      <c r="B2855" s="32"/>
      <c r="C2855" s="33"/>
      <c r="D2855" s="32" t="s">
        <v>6156</v>
      </c>
      <c r="E2855" s="33" t="s">
        <v>116</v>
      </c>
      <c r="F2855" s="34">
        <v>1</v>
      </c>
      <c r="G2855" s="35">
        <v>0</v>
      </c>
      <c r="H2855" s="35">
        <v>0</v>
      </c>
      <c r="I2855" s="35">
        <f>Tabla1[[#This Row],[P.U. M.N.]]*Tabla1[[#This Row],[CANTIDADES DE REFERENCIA]]</f>
        <v>0</v>
      </c>
      <c r="J2855" s="35">
        <f>Tabla1[[#This Row],[P.U. USD]]*Tabla1[[#This Row],[CANTIDADES DE REFERENCIA]]</f>
        <v>0</v>
      </c>
      <c r="K2855" s="36"/>
      <c r="L2855" s="36"/>
      <c r="M2855" s="36"/>
      <c r="N2855" s="37" t="s">
        <v>6147</v>
      </c>
      <c r="O2855" s="37"/>
      <c r="P2855" s="39"/>
      <c r="Q2855" s="37" t="s">
        <v>6157</v>
      </c>
      <c r="R2855" s="37"/>
      <c r="S2855" s="37" t="s">
        <v>6149</v>
      </c>
      <c r="T2855" s="31"/>
    </row>
    <row r="2856" spans="1:20" ht="15" customHeight="1">
      <c r="A2856" s="31"/>
      <c r="B2856" s="32"/>
      <c r="C2856" s="33"/>
      <c r="D2856" s="32" t="s">
        <v>6158</v>
      </c>
      <c r="E2856" s="33" t="s">
        <v>116</v>
      </c>
      <c r="F2856" s="34">
        <v>1</v>
      </c>
      <c r="G2856" s="35">
        <v>0</v>
      </c>
      <c r="H2856" s="35">
        <v>0</v>
      </c>
      <c r="I2856" s="35">
        <f>Tabla1[[#This Row],[P.U. M.N.]]*Tabla1[[#This Row],[CANTIDADES DE REFERENCIA]]</f>
        <v>0</v>
      </c>
      <c r="J2856" s="35">
        <f>Tabla1[[#This Row],[P.U. USD]]*Tabla1[[#This Row],[CANTIDADES DE REFERENCIA]]</f>
        <v>0</v>
      </c>
      <c r="K2856" s="36"/>
      <c r="L2856" s="36"/>
      <c r="M2856" s="36"/>
      <c r="N2856" s="37" t="s">
        <v>6147</v>
      </c>
      <c r="O2856" s="37"/>
      <c r="P2856" s="39"/>
      <c r="Q2856" s="37" t="s">
        <v>6159</v>
      </c>
      <c r="R2856" s="37"/>
      <c r="S2856" s="37" t="s">
        <v>6149</v>
      </c>
      <c r="T2856" s="31"/>
    </row>
    <row r="2857" spans="1:20" ht="15" customHeight="1">
      <c r="A2857" s="31"/>
      <c r="B2857" s="32"/>
      <c r="C2857" s="33"/>
      <c r="D2857" s="32" t="s">
        <v>6160</v>
      </c>
      <c r="E2857" s="33" t="s">
        <v>116</v>
      </c>
      <c r="F2857" s="34">
        <v>1</v>
      </c>
      <c r="G2857" s="35">
        <v>0</v>
      </c>
      <c r="H2857" s="35">
        <v>0</v>
      </c>
      <c r="I2857" s="35">
        <f>Tabla1[[#This Row],[P.U. M.N.]]*Tabla1[[#This Row],[CANTIDADES DE REFERENCIA]]</f>
        <v>0</v>
      </c>
      <c r="J2857" s="35">
        <f>Tabla1[[#This Row],[P.U. USD]]*Tabla1[[#This Row],[CANTIDADES DE REFERENCIA]]</f>
        <v>0</v>
      </c>
      <c r="K2857" s="36"/>
      <c r="L2857" s="36"/>
      <c r="M2857" s="36"/>
      <c r="N2857" s="37" t="s">
        <v>6147</v>
      </c>
      <c r="O2857" s="37"/>
      <c r="P2857" s="39"/>
      <c r="Q2857" s="37" t="s">
        <v>6161</v>
      </c>
      <c r="R2857" s="37"/>
      <c r="S2857" s="37" t="s">
        <v>6149</v>
      </c>
      <c r="T2857" s="31"/>
    </row>
    <row r="2858" spans="1:20" ht="15" customHeight="1">
      <c r="A2858" s="31"/>
      <c r="B2858" s="32"/>
      <c r="C2858" s="33"/>
      <c r="D2858" s="32" t="s">
        <v>6162</v>
      </c>
      <c r="E2858" s="33" t="s">
        <v>116</v>
      </c>
      <c r="F2858" s="34">
        <v>1</v>
      </c>
      <c r="G2858" s="35">
        <v>0</v>
      </c>
      <c r="H2858" s="35">
        <v>0</v>
      </c>
      <c r="I2858" s="35">
        <f>Tabla1[[#This Row],[P.U. M.N.]]*Tabla1[[#This Row],[CANTIDADES DE REFERENCIA]]</f>
        <v>0</v>
      </c>
      <c r="J2858" s="35">
        <f>Tabla1[[#This Row],[P.U. USD]]*Tabla1[[#This Row],[CANTIDADES DE REFERENCIA]]</f>
        <v>0</v>
      </c>
      <c r="K2858" s="36"/>
      <c r="L2858" s="36"/>
      <c r="M2858" s="36"/>
      <c r="N2858" s="37" t="s">
        <v>6147</v>
      </c>
      <c r="O2858" s="37"/>
      <c r="P2858" s="39"/>
      <c r="Q2858" s="37" t="s">
        <v>6163</v>
      </c>
      <c r="R2858" s="37"/>
      <c r="S2858" s="37" t="s">
        <v>6149</v>
      </c>
      <c r="T2858" s="31"/>
    </row>
    <row r="2859" spans="1:20" ht="15" customHeight="1">
      <c r="A2859" s="31"/>
      <c r="B2859" s="32"/>
      <c r="C2859" s="33"/>
      <c r="D2859" s="32" t="s">
        <v>6164</v>
      </c>
      <c r="E2859" s="33" t="s">
        <v>116</v>
      </c>
      <c r="F2859" s="34">
        <v>1</v>
      </c>
      <c r="G2859" s="35">
        <v>0</v>
      </c>
      <c r="H2859" s="35">
        <v>0</v>
      </c>
      <c r="I2859" s="35">
        <f>Tabla1[[#This Row],[P.U. M.N.]]*Tabla1[[#This Row],[CANTIDADES DE REFERENCIA]]</f>
        <v>0</v>
      </c>
      <c r="J2859" s="35">
        <f>Tabla1[[#This Row],[P.U. USD]]*Tabla1[[#This Row],[CANTIDADES DE REFERENCIA]]</f>
        <v>0</v>
      </c>
      <c r="K2859" s="36"/>
      <c r="L2859" s="36"/>
      <c r="M2859" s="36"/>
      <c r="N2859" s="37" t="s">
        <v>6147</v>
      </c>
      <c r="O2859" s="37"/>
      <c r="P2859" s="39"/>
      <c r="Q2859" s="37" t="s">
        <v>6165</v>
      </c>
      <c r="R2859" s="37"/>
      <c r="S2859" s="37" t="s">
        <v>6149</v>
      </c>
      <c r="T2859" s="31"/>
    </row>
    <row r="2860" spans="1:20" ht="15" customHeight="1">
      <c r="A2860" s="31"/>
      <c r="B2860" s="32"/>
      <c r="C2860" s="33"/>
      <c r="D2860" s="32" t="s">
        <v>6166</v>
      </c>
      <c r="E2860" s="33" t="s">
        <v>116</v>
      </c>
      <c r="F2860" s="34">
        <v>1</v>
      </c>
      <c r="G2860" s="35">
        <v>0</v>
      </c>
      <c r="H2860" s="35">
        <v>0</v>
      </c>
      <c r="I2860" s="35">
        <f>Tabla1[[#This Row],[P.U. M.N.]]*Tabla1[[#This Row],[CANTIDADES DE REFERENCIA]]</f>
        <v>0</v>
      </c>
      <c r="J2860" s="35">
        <f>Tabla1[[#This Row],[P.U. USD]]*Tabla1[[#This Row],[CANTIDADES DE REFERENCIA]]</f>
        <v>0</v>
      </c>
      <c r="K2860" s="36"/>
      <c r="L2860" s="36"/>
      <c r="M2860" s="36"/>
      <c r="N2860" s="37" t="s">
        <v>6147</v>
      </c>
      <c r="O2860" s="37"/>
      <c r="P2860" s="39"/>
      <c r="Q2860" s="37" t="s">
        <v>6167</v>
      </c>
      <c r="R2860" s="37"/>
      <c r="S2860" s="37" t="s">
        <v>6149</v>
      </c>
      <c r="T2860" s="31"/>
    </row>
    <row r="2861" spans="1:20">
      <c r="A2861" s="31"/>
      <c r="B2861" s="32"/>
      <c r="C2861" s="33"/>
      <c r="D2861" s="32" t="s">
        <v>6168</v>
      </c>
      <c r="E2861" s="33" t="s">
        <v>675</v>
      </c>
      <c r="F2861" s="34">
        <v>1</v>
      </c>
      <c r="G2861" s="35">
        <v>0</v>
      </c>
      <c r="H2861" s="35">
        <v>0</v>
      </c>
      <c r="I2861" s="35">
        <f>Tabla1[[#This Row],[P.U. M.N.]]*Tabla1[[#This Row],[CANTIDADES DE REFERENCIA]]</f>
        <v>0</v>
      </c>
      <c r="J2861" s="35">
        <f>Tabla1[[#This Row],[P.U. USD]]*Tabla1[[#This Row],[CANTIDADES DE REFERENCIA]]</f>
        <v>0</v>
      </c>
      <c r="K2861" s="36"/>
      <c r="L2861" s="36"/>
      <c r="M2861" s="36"/>
      <c r="N2861" s="37" t="s">
        <v>2195</v>
      </c>
      <c r="O2861" s="37" t="s">
        <v>2196</v>
      </c>
      <c r="P2861" s="38"/>
      <c r="Q2861" s="37" t="s">
        <v>6169</v>
      </c>
      <c r="R2861" s="37" t="s">
        <v>58</v>
      </c>
      <c r="S2861" s="37" t="s">
        <v>2198</v>
      </c>
      <c r="T2861" s="31"/>
    </row>
    <row r="2862" spans="1:20">
      <c r="A2862" s="31"/>
      <c r="B2862" s="32"/>
      <c r="C2862" s="33"/>
      <c r="D2862" s="32" t="s">
        <v>6170</v>
      </c>
      <c r="E2862" s="33" t="s">
        <v>23</v>
      </c>
      <c r="F2862" s="34">
        <v>1</v>
      </c>
      <c r="G2862" s="35">
        <v>0</v>
      </c>
      <c r="H2862" s="35">
        <v>0</v>
      </c>
      <c r="I2862" s="35">
        <f>Tabla1[[#This Row],[P.U. M.N.]]*Tabla1[[#This Row],[CANTIDADES DE REFERENCIA]]</f>
        <v>0</v>
      </c>
      <c r="J2862" s="35">
        <f>Tabla1[[#This Row],[P.U. USD]]*Tabla1[[#This Row],[CANTIDADES DE REFERENCIA]]</f>
        <v>0</v>
      </c>
      <c r="K2862" s="36"/>
      <c r="L2862" s="36"/>
      <c r="M2862" s="36"/>
      <c r="N2862" s="37" t="s">
        <v>31</v>
      </c>
      <c r="O2862" s="37"/>
      <c r="P2862" s="38"/>
      <c r="Q2862" s="37" t="s">
        <v>6171</v>
      </c>
      <c r="R2862" s="37" t="s">
        <v>389</v>
      </c>
      <c r="S2862" s="37" t="s">
        <v>33</v>
      </c>
      <c r="T2862" s="31"/>
    </row>
    <row r="2863" spans="1:20">
      <c r="A2863" s="31"/>
      <c r="B2863" s="32"/>
      <c r="C2863" s="33"/>
      <c r="D2863" s="32" t="s">
        <v>6172</v>
      </c>
      <c r="E2863" s="33" t="s">
        <v>23</v>
      </c>
      <c r="F2863" s="34">
        <v>1</v>
      </c>
      <c r="G2863" s="35">
        <v>0</v>
      </c>
      <c r="H2863" s="35">
        <v>0</v>
      </c>
      <c r="I2863" s="35">
        <f>Tabla1[[#This Row],[P.U. M.N.]]*Tabla1[[#This Row],[CANTIDADES DE REFERENCIA]]</f>
        <v>0</v>
      </c>
      <c r="J2863" s="35">
        <f>Tabla1[[#This Row],[P.U. USD]]*Tabla1[[#This Row],[CANTIDADES DE REFERENCIA]]</f>
        <v>0</v>
      </c>
      <c r="K2863" s="36"/>
      <c r="L2863" s="36"/>
      <c r="M2863" s="36"/>
      <c r="N2863" s="37" t="s">
        <v>31</v>
      </c>
      <c r="O2863" s="37"/>
      <c r="P2863" s="38"/>
      <c r="Q2863" s="37" t="s">
        <v>6173</v>
      </c>
      <c r="R2863" s="37" t="s">
        <v>389</v>
      </c>
      <c r="S2863" s="37" t="s">
        <v>33</v>
      </c>
      <c r="T2863" s="31"/>
    </row>
    <row r="2864" spans="1:20">
      <c r="A2864" s="31"/>
      <c r="B2864" s="32"/>
      <c r="C2864" s="33"/>
      <c r="D2864" s="32" t="s">
        <v>6174</v>
      </c>
      <c r="E2864" s="33" t="s">
        <v>23</v>
      </c>
      <c r="F2864" s="34">
        <v>1</v>
      </c>
      <c r="G2864" s="35">
        <v>0</v>
      </c>
      <c r="H2864" s="35">
        <v>0</v>
      </c>
      <c r="I2864" s="35">
        <f>Tabla1[[#This Row],[P.U. M.N.]]*Tabla1[[#This Row],[CANTIDADES DE REFERENCIA]]</f>
        <v>0</v>
      </c>
      <c r="J2864" s="35">
        <f>Tabla1[[#This Row],[P.U. USD]]*Tabla1[[#This Row],[CANTIDADES DE REFERENCIA]]</f>
        <v>0</v>
      </c>
      <c r="K2864" s="36"/>
      <c r="L2864" s="36"/>
      <c r="M2864" s="36"/>
      <c r="N2864" s="37" t="s">
        <v>31</v>
      </c>
      <c r="O2864" s="37"/>
      <c r="P2864" s="38"/>
      <c r="Q2864" s="37" t="s">
        <v>6175</v>
      </c>
      <c r="R2864" s="37" t="s">
        <v>389</v>
      </c>
      <c r="S2864" s="37" t="s">
        <v>33</v>
      </c>
      <c r="T2864" s="31"/>
    </row>
    <row r="2865" spans="1:20">
      <c r="A2865" s="31"/>
      <c r="B2865" s="32"/>
      <c r="C2865" s="33"/>
      <c r="D2865" s="32" t="s">
        <v>6176</v>
      </c>
      <c r="E2865" s="33" t="s">
        <v>23</v>
      </c>
      <c r="F2865" s="34">
        <v>1</v>
      </c>
      <c r="G2865" s="35">
        <v>0</v>
      </c>
      <c r="H2865" s="35">
        <v>0</v>
      </c>
      <c r="I2865" s="35">
        <f>Tabla1[[#This Row],[P.U. M.N.]]*Tabla1[[#This Row],[CANTIDADES DE REFERENCIA]]</f>
        <v>0</v>
      </c>
      <c r="J2865" s="35">
        <f>Tabla1[[#This Row],[P.U. USD]]*Tabla1[[#This Row],[CANTIDADES DE REFERENCIA]]</f>
        <v>0</v>
      </c>
      <c r="K2865" s="36"/>
      <c r="L2865" s="36"/>
      <c r="M2865" s="36"/>
      <c r="N2865" s="37" t="s">
        <v>31</v>
      </c>
      <c r="O2865" s="37"/>
      <c r="P2865" s="38"/>
      <c r="Q2865" s="37" t="s">
        <v>6177</v>
      </c>
      <c r="R2865" s="37" t="s">
        <v>389</v>
      </c>
      <c r="S2865" s="37" t="s">
        <v>33</v>
      </c>
      <c r="T2865" s="31"/>
    </row>
    <row r="2866" spans="1:20">
      <c r="A2866" s="31"/>
      <c r="B2866" s="32"/>
      <c r="C2866" s="33"/>
      <c r="D2866" s="32" t="s">
        <v>6178</v>
      </c>
      <c r="E2866" s="33" t="s">
        <v>23</v>
      </c>
      <c r="F2866" s="34">
        <v>1</v>
      </c>
      <c r="G2866" s="35">
        <v>0</v>
      </c>
      <c r="H2866" s="35">
        <v>0</v>
      </c>
      <c r="I2866" s="35">
        <f>Tabla1[[#This Row],[P.U. M.N.]]*Tabla1[[#This Row],[CANTIDADES DE REFERENCIA]]</f>
        <v>0</v>
      </c>
      <c r="J2866" s="35">
        <f>Tabla1[[#This Row],[P.U. USD]]*Tabla1[[#This Row],[CANTIDADES DE REFERENCIA]]</f>
        <v>0</v>
      </c>
      <c r="K2866" s="36"/>
      <c r="L2866" s="36"/>
      <c r="M2866" s="36"/>
      <c r="N2866" s="37" t="s">
        <v>31</v>
      </c>
      <c r="O2866" s="37"/>
      <c r="P2866" s="38"/>
      <c r="Q2866" s="37" t="s">
        <v>6179</v>
      </c>
      <c r="R2866" s="37" t="s">
        <v>389</v>
      </c>
      <c r="S2866" s="37" t="s">
        <v>33</v>
      </c>
      <c r="T2866" s="31"/>
    </row>
    <row r="2867" spans="1:20">
      <c r="A2867" s="31"/>
      <c r="B2867" s="32"/>
      <c r="C2867" s="33"/>
      <c r="D2867" s="32" t="s">
        <v>6180</v>
      </c>
      <c r="E2867" s="33" t="s">
        <v>23</v>
      </c>
      <c r="F2867" s="34">
        <v>1</v>
      </c>
      <c r="G2867" s="35">
        <v>0</v>
      </c>
      <c r="H2867" s="35">
        <v>0</v>
      </c>
      <c r="I2867" s="35">
        <f>Tabla1[[#This Row],[P.U. M.N.]]*Tabla1[[#This Row],[CANTIDADES DE REFERENCIA]]</f>
        <v>0</v>
      </c>
      <c r="J2867" s="35">
        <f>Tabla1[[#This Row],[P.U. USD]]*Tabla1[[#This Row],[CANTIDADES DE REFERENCIA]]</f>
        <v>0</v>
      </c>
      <c r="K2867" s="36"/>
      <c r="L2867" s="36"/>
      <c r="M2867" s="36"/>
      <c r="N2867" s="37" t="s">
        <v>31</v>
      </c>
      <c r="O2867" s="37"/>
      <c r="P2867" s="38"/>
      <c r="Q2867" s="37" t="s">
        <v>6181</v>
      </c>
      <c r="R2867" s="37" t="s">
        <v>389</v>
      </c>
      <c r="S2867" s="37" t="s">
        <v>33</v>
      </c>
      <c r="T2867" s="31"/>
    </row>
    <row r="2868" spans="1:20">
      <c r="A2868" s="31"/>
      <c r="B2868" s="32"/>
      <c r="C2868" s="33"/>
      <c r="D2868" s="32" t="s">
        <v>6182</v>
      </c>
      <c r="E2868" s="33" t="s">
        <v>23</v>
      </c>
      <c r="F2868" s="34">
        <v>1</v>
      </c>
      <c r="G2868" s="35">
        <v>0</v>
      </c>
      <c r="H2868" s="35">
        <v>0</v>
      </c>
      <c r="I2868" s="35">
        <f>Tabla1[[#This Row],[P.U. M.N.]]*Tabla1[[#This Row],[CANTIDADES DE REFERENCIA]]</f>
        <v>0</v>
      </c>
      <c r="J2868" s="35">
        <f>Tabla1[[#This Row],[P.U. USD]]*Tabla1[[#This Row],[CANTIDADES DE REFERENCIA]]</f>
        <v>0</v>
      </c>
      <c r="K2868" s="36"/>
      <c r="L2868" s="36"/>
      <c r="M2868" s="36"/>
      <c r="N2868" s="37" t="s">
        <v>31</v>
      </c>
      <c r="O2868" s="37"/>
      <c r="P2868" s="38"/>
      <c r="Q2868" s="37" t="s">
        <v>6183</v>
      </c>
      <c r="R2868" s="37" t="s">
        <v>389</v>
      </c>
      <c r="S2868" s="37" t="s">
        <v>33</v>
      </c>
      <c r="T2868" s="31"/>
    </row>
    <row r="2869" spans="1:20">
      <c r="A2869" s="31"/>
      <c r="B2869" s="32"/>
      <c r="C2869" s="33"/>
      <c r="D2869" s="32" t="s">
        <v>6184</v>
      </c>
      <c r="E2869" s="33" t="s">
        <v>23</v>
      </c>
      <c r="F2869" s="34">
        <v>1</v>
      </c>
      <c r="G2869" s="35">
        <v>0</v>
      </c>
      <c r="H2869" s="35">
        <v>0</v>
      </c>
      <c r="I2869" s="35">
        <f>Tabla1[[#This Row],[P.U. M.N.]]*Tabla1[[#This Row],[CANTIDADES DE REFERENCIA]]</f>
        <v>0</v>
      </c>
      <c r="J2869" s="35">
        <f>Tabla1[[#This Row],[P.U. USD]]*Tabla1[[#This Row],[CANTIDADES DE REFERENCIA]]</f>
        <v>0</v>
      </c>
      <c r="K2869" s="36"/>
      <c r="L2869" s="36"/>
      <c r="M2869" s="36"/>
      <c r="N2869" s="37" t="s">
        <v>31</v>
      </c>
      <c r="O2869" s="37"/>
      <c r="P2869" s="38"/>
      <c r="Q2869" s="37" t="s">
        <v>6185</v>
      </c>
      <c r="R2869" s="37" t="s">
        <v>389</v>
      </c>
      <c r="S2869" s="37" t="s">
        <v>33</v>
      </c>
      <c r="T2869" s="31"/>
    </row>
    <row r="2870" spans="1:20">
      <c r="A2870" s="31"/>
      <c r="B2870" s="32"/>
      <c r="C2870" s="33"/>
      <c r="D2870" s="32" t="s">
        <v>6186</v>
      </c>
      <c r="E2870" s="33" t="s">
        <v>23</v>
      </c>
      <c r="F2870" s="34">
        <v>1</v>
      </c>
      <c r="G2870" s="35">
        <v>0</v>
      </c>
      <c r="H2870" s="35">
        <v>0</v>
      </c>
      <c r="I2870" s="35">
        <f>Tabla1[[#This Row],[P.U. M.N.]]*Tabla1[[#This Row],[CANTIDADES DE REFERENCIA]]</f>
        <v>0</v>
      </c>
      <c r="J2870" s="35">
        <f>Tabla1[[#This Row],[P.U. USD]]*Tabla1[[#This Row],[CANTIDADES DE REFERENCIA]]</f>
        <v>0</v>
      </c>
      <c r="K2870" s="36"/>
      <c r="L2870" s="36"/>
      <c r="M2870" s="36"/>
      <c r="N2870" s="37" t="s">
        <v>31</v>
      </c>
      <c r="O2870" s="37"/>
      <c r="P2870" s="38"/>
      <c r="Q2870" s="37" t="s">
        <v>6187</v>
      </c>
      <c r="R2870" s="37" t="s">
        <v>389</v>
      </c>
      <c r="S2870" s="37" t="s">
        <v>33</v>
      </c>
      <c r="T2870" s="31"/>
    </row>
    <row r="2871" spans="1:20">
      <c r="A2871" s="31"/>
      <c r="B2871" s="32"/>
      <c r="C2871" s="33"/>
      <c r="D2871" s="32" t="s">
        <v>6188</v>
      </c>
      <c r="E2871" s="33" t="s">
        <v>23</v>
      </c>
      <c r="F2871" s="34">
        <v>1</v>
      </c>
      <c r="G2871" s="35">
        <v>0</v>
      </c>
      <c r="H2871" s="35">
        <v>0</v>
      </c>
      <c r="I2871" s="35">
        <f>Tabla1[[#This Row],[P.U. M.N.]]*Tabla1[[#This Row],[CANTIDADES DE REFERENCIA]]</f>
        <v>0</v>
      </c>
      <c r="J2871" s="35">
        <f>Tabla1[[#This Row],[P.U. USD]]*Tabla1[[#This Row],[CANTIDADES DE REFERENCIA]]</f>
        <v>0</v>
      </c>
      <c r="K2871" s="36"/>
      <c r="L2871" s="36"/>
      <c r="M2871" s="36"/>
      <c r="N2871" s="37" t="s">
        <v>31</v>
      </c>
      <c r="O2871" s="37"/>
      <c r="P2871" s="38"/>
      <c r="Q2871" s="37" t="s">
        <v>6189</v>
      </c>
      <c r="R2871" s="37" t="s">
        <v>389</v>
      </c>
      <c r="S2871" s="37" t="s">
        <v>33</v>
      </c>
      <c r="T2871" s="31"/>
    </row>
    <row r="2872" spans="1:20">
      <c r="A2872" s="31"/>
      <c r="B2872" s="32"/>
      <c r="C2872" s="33"/>
      <c r="D2872" s="32" t="s">
        <v>6190</v>
      </c>
      <c r="E2872" s="33" t="s">
        <v>675</v>
      </c>
      <c r="F2872" s="34">
        <v>1</v>
      </c>
      <c r="G2872" s="35">
        <v>0</v>
      </c>
      <c r="H2872" s="35">
        <v>0</v>
      </c>
      <c r="I2872" s="35">
        <f>Tabla1[[#This Row],[P.U. M.N.]]*Tabla1[[#This Row],[CANTIDADES DE REFERENCIA]]</f>
        <v>0</v>
      </c>
      <c r="J2872" s="35">
        <f>Tabla1[[#This Row],[P.U. USD]]*Tabla1[[#This Row],[CANTIDADES DE REFERENCIA]]</f>
        <v>0</v>
      </c>
      <c r="K2872" s="36"/>
      <c r="L2872" s="36"/>
      <c r="M2872" s="36"/>
      <c r="N2872" s="37" t="s">
        <v>31</v>
      </c>
      <c r="O2872" s="37"/>
      <c r="P2872" s="38"/>
      <c r="Q2872" s="37" t="s">
        <v>6191</v>
      </c>
      <c r="R2872" s="37" t="s">
        <v>389</v>
      </c>
      <c r="S2872" s="37" t="s">
        <v>33</v>
      </c>
      <c r="T2872" s="31"/>
    </row>
    <row r="2873" spans="1:20">
      <c r="A2873" s="31"/>
      <c r="B2873" s="32"/>
      <c r="C2873" s="33"/>
      <c r="D2873" s="32" t="s">
        <v>6192</v>
      </c>
      <c r="E2873" s="33" t="s">
        <v>675</v>
      </c>
      <c r="F2873" s="34">
        <v>1</v>
      </c>
      <c r="G2873" s="35">
        <v>0</v>
      </c>
      <c r="H2873" s="35">
        <v>0</v>
      </c>
      <c r="I2873" s="35">
        <f>Tabla1[[#This Row],[P.U. M.N.]]*Tabla1[[#This Row],[CANTIDADES DE REFERENCIA]]</f>
        <v>0</v>
      </c>
      <c r="J2873" s="35">
        <f>Tabla1[[#This Row],[P.U. USD]]*Tabla1[[#This Row],[CANTIDADES DE REFERENCIA]]</f>
        <v>0</v>
      </c>
      <c r="K2873" s="36"/>
      <c r="L2873" s="36"/>
      <c r="M2873" s="36"/>
      <c r="N2873" s="37" t="s">
        <v>31</v>
      </c>
      <c r="O2873" s="37"/>
      <c r="P2873" s="38"/>
      <c r="Q2873" s="37" t="s">
        <v>6193</v>
      </c>
      <c r="R2873" s="37" t="s">
        <v>389</v>
      </c>
      <c r="S2873" s="37" t="s">
        <v>33</v>
      </c>
      <c r="T2873" s="31"/>
    </row>
    <row r="2874" spans="1:20">
      <c r="A2874" s="31"/>
      <c r="B2874" s="32"/>
      <c r="C2874" s="33"/>
      <c r="D2874" s="32" t="s">
        <v>6194</v>
      </c>
      <c r="E2874" s="33" t="s">
        <v>675</v>
      </c>
      <c r="F2874" s="34">
        <v>1</v>
      </c>
      <c r="G2874" s="35">
        <v>0</v>
      </c>
      <c r="H2874" s="35">
        <v>0</v>
      </c>
      <c r="I2874" s="35">
        <f>Tabla1[[#This Row],[P.U. M.N.]]*Tabla1[[#This Row],[CANTIDADES DE REFERENCIA]]</f>
        <v>0</v>
      </c>
      <c r="J2874" s="35">
        <f>Tabla1[[#This Row],[P.U. USD]]*Tabla1[[#This Row],[CANTIDADES DE REFERENCIA]]</f>
        <v>0</v>
      </c>
      <c r="K2874" s="36"/>
      <c r="L2874" s="36"/>
      <c r="M2874" s="36"/>
      <c r="N2874" s="37" t="s">
        <v>31</v>
      </c>
      <c r="O2874" s="37"/>
      <c r="P2874" s="38"/>
      <c r="Q2874" s="37" t="s">
        <v>6195</v>
      </c>
      <c r="R2874" s="37" t="s">
        <v>389</v>
      </c>
      <c r="S2874" s="37" t="s">
        <v>33</v>
      </c>
      <c r="T2874" s="31"/>
    </row>
    <row r="2875" spans="1:20">
      <c r="A2875" s="31"/>
      <c r="B2875" s="32"/>
      <c r="C2875" s="33"/>
      <c r="D2875" s="32" t="s">
        <v>6196</v>
      </c>
      <c r="E2875" s="33" t="s">
        <v>675</v>
      </c>
      <c r="F2875" s="34">
        <v>1</v>
      </c>
      <c r="G2875" s="35">
        <v>0</v>
      </c>
      <c r="H2875" s="35">
        <v>0</v>
      </c>
      <c r="I2875" s="35">
        <f>Tabla1[[#This Row],[P.U. M.N.]]*Tabla1[[#This Row],[CANTIDADES DE REFERENCIA]]</f>
        <v>0</v>
      </c>
      <c r="J2875" s="35">
        <f>Tabla1[[#This Row],[P.U. USD]]*Tabla1[[#This Row],[CANTIDADES DE REFERENCIA]]</f>
        <v>0</v>
      </c>
      <c r="K2875" s="36"/>
      <c r="L2875" s="36"/>
      <c r="M2875" s="36"/>
      <c r="N2875" s="37" t="s">
        <v>31</v>
      </c>
      <c r="O2875" s="37"/>
      <c r="P2875" s="38"/>
      <c r="Q2875" s="37" t="s">
        <v>6197</v>
      </c>
      <c r="R2875" s="37" t="s">
        <v>389</v>
      </c>
      <c r="S2875" s="37" t="s">
        <v>33</v>
      </c>
      <c r="T2875" s="31"/>
    </row>
    <row r="2876" spans="1:20">
      <c r="A2876" s="31"/>
      <c r="B2876" s="32"/>
      <c r="C2876" s="33"/>
      <c r="D2876" s="32" t="s">
        <v>6198</v>
      </c>
      <c r="E2876" s="33" t="s">
        <v>675</v>
      </c>
      <c r="F2876" s="34">
        <v>1</v>
      </c>
      <c r="G2876" s="35">
        <v>0</v>
      </c>
      <c r="H2876" s="35">
        <v>0</v>
      </c>
      <c r="I2876" s="35">
        <f>Tabla1[[#This Row],[P.U. M.N.]]*Tabla1[[#This Row],[CANTIDADES DE REFERENCIA]]</f>
        <v>0</v>
      </c>
      <c r="J2876" s="35">
        <f>Tabla1[[#This Row],[P.U. USD]]*Tabla1[[#This Row],[CANTIDADES DE REFERENCIA]]</f>
        <v>0</v>
      </c>
      <c r="K2876" s="36"/>
      <c r="L2876" s="36"/>
      <c r="M2876" s="36"/>
      <c r="N2876" s="37" t="s">
        <v>31</v>
      </c>
      <c r="O2876" s="37"/>
      <c r="P2876" s="38"/>
      <c r="Q2876" s="37" t="s">
        <v>6199</v>
      </c>
      <c r="R2876" s="37" t="s">
        <v>389</v>
      </c>
      <c r="S2876" s="37" t="s">
        <v>33</v>
      </c>
      <c r="T2876" s="31"/>
    </row>
    <row r="2877" spans="1:20">
      <c r="A2877" s="31"/>
      <c r="B2877" s="32"/>
      <c r="C2877" s="33"/>
      <c r="D2877" s="32" t="s">
        <v>6200</v>
      </c>
      <c r="E2877" s="33" t="s">
        <v>367</v>
      </c>
      <c r="F2877" s="34">
        <v>1</v>
      </c>
      <c r="G2877" s="35">
        <v>0</v>
      </c>
      <c r="H2877" s="35">
        <v>0</v>
      </c>
      <c r="I2877" s="35">
        <f>Tabla1[[#This Row],[P.U. M.N.]]*Tabla1[[#This Row],[CANTIDADES DE REFERENCIA]]</f>
        <v>0</v>
      </c>
      <c r="J2877" s="35">
        <f>Tabla1[[#This Row],[P.U. USD]]*Tabla1[[#This Row],[CANTIDADES DE REFERENCIA]]</f>
        <v>0</v>
      </c>
      <c r="K2877" s="36"/>
      <c r="L2877" s="36"/>
      <c r="M2877" s="36"/>
      <c r="N2877" s="37" t="s">
        <v>31</v>
      </c>
      <c r="O2877" s="37"/>
      <c r="P2877" s="38"/>
      <c r="Q2877" s="37" t="s">
        <v>6201</v>
      </c>
      <c r="R2877" s="37" t="s">
        <v>389</v>
      </c>
      <c r="S2877" s="37" t="s">
        <v>33</v>
      </c>
      <c r="T2877" s="31"/>
    </row>
    <row r="2878" spans="1:20">
      <c r="A2878" s="31"/>
      <c r="B2878" s="32"/>
      <c r="C2878" s="33"/>
      <c r="D2878" s="32" t="s">
        <v>6202</v>
      </c>
      <c r="E2878" s="33" t="s">
        <v>367</v>
      </c>
      <c r="F2878" s="34">
        <v>1</v>
      </c>
      <c r="G2878" s="35">
        <v>0</v>
      </c>
      <c r="H2878" s="35">
        <v>0</v>
      </c>
      <c r="I2878" s="35">
        <f>Tabla1[[#This Row],[P.U. M.N.]]*Tabla1[[#This Row],[CANTIDADES DE REFERENCIA]]</f>
        <v>0</v>
      </c>
      <c r="J2878" s="35">
        <f>Tabla1[[#This Row],[P.U. USD]]*Tabla1[[#This Row],[CANTIDADES DE REFERENCIA]]</f>
        <v>0</v>
      </c>
      <c r="K2878" s="36"/>
      <c r="L2878" s="36"/>
      <c r="M2878" s="36"/>
      <c r="N2878" s="37" t="s">
        <v>31</v>
      </c>
      <c r="O2878" s="37"/>
      <c r="P2878" s="38"/>
      <c r="Q2878" s="37" t="s">
        <v>6203</v>
      </c>
      <c r="R2878" s="37" t="s">
        <v>389</v>
      </c>
      <c r="S2878" s="37" t="s">
        <v>33</v>
      </c>
      <c r="T2878" s="31"/>
    </row>
    <row r="2879" spans="1:20">
      <c r="A2879" s="31"/>
      <c r="B2879" s="32"/>
      <c r="C2879" s="33"/>
      <c r="D2879" s="32" t="s">
        <v>6204</v>
      </c>
      <c r="E2879" s="33" t="s">
        <v>367</v>
      </c>
      <c r="F2879" s="34">
        <v>1</v>
      </c>
      <c r="G2879" s="35">
        <v>0</v>
      </c>
      <c r="H2879" s="35">
        <v>0</v>
      </c>
      <c r="I2879" s="35">
        <f>Tabla1[[#This Row],[P.U. M.N.]]*Tabla1[[#This Row],[CANTIDADES DE REFERENCIA]]</f>
        <v>0</v>
      </c>
      <c r="J2879" s="35">
        <f>Tabla1[[#This Row],[P.U. USD]]*Tabla1[[#This Row],[CANTIDADES DE REFERENCIA]]</f>
        <v>0</v>
      </c>
      <c r="K2879" s="36"/>
      <c r="L2879" s="36"/>
      <c r="M2879" s="36"/>
      <c r="N2879" s="37" t="s">
        <v>31</v>
      </c>
      <c r="O2879" s="37"/>
      <c r="P2879" s="38"/>
      <c r="Q2879" s="37" t="s">
        <v>6205</v>
      </c>
      <c r="R2879" s="37" t="s">
        <v>389</v>
      </c>
      <c r="S2879" s="37" t="s">
        <v>33</v>
      </c>
      <c r="T2879" s="31"/>
    </row>
    <row r="2880" spans="1:20">
      <c r="A2880" s="31"/>
      <c r="B2880" s="32"/>
      <c r="C2880" s="33"/>
      <c r="D2880" s="32" t="s">
        <v>6206</v>
      </c>
      <c r="E2880" s="33" t="s">
        <v>367</v>
      </c>
      <c r="F2880" s="34">
        <v>1</v>
      </c>
      <c r="G2880" s="35">
        <v>0</v>
      </c>
      <c r="H2880" s="35">
        <v>0</v>
      </c>
      <c r="I2880" s="35">
        <f>Tabla1[[#This Row],[P.U. M.N.]]*Tabla1[[#This Row],[CANTIDADES DE REFERENCIA]]</f>
        <v>0</v>
      </c>
      <c r="J2880" s="35">
        <f>Tabla1[[#This Row],[P.U. USD]]*Tabla1[[#This Row],[CANTIDADES DE REFERENCIA]]</f>
        <v>0</v>
      </c>
      <c r="K2880" s="36"/>
      <c r="L2880" s="36"/>
      <c r="M2880" s="36"/>
      <c r="N2880" s="37" t="s">
        <v>31</v>
      </c>
      <c r="O2880" s="37"/>
      <c r="P2880" s="38"/>
      <c r="Q2880" s="37" t="s">
        <v>6207</v>
      </c>
      <c r="R2880" s="37" t="s">
        <v>389</v>
      </c>
      <c r="S2880" s="37" t="s">
        <v>33</v>
      </c>
      <c r="T2880" s="31"/>
    </row>
    <row r="2881" spans="1:20">
      <c r="A2881" s="31" t="s">
        <v>4143</v>
      </c>
      <c r="B2881" s="32" t="s">
        <v>6208</v>
      </c>
      <c r="C2881" s="33" t="str">
        <f>Tabla1[[#This Row],[PARTIDA]] &amp; "."</f>
        <v>6C-008.</v>
      </c>
      <c r="D2881" s="32" t="s">
        <v>6209</v>
      </c>
      <c r="E2881" s="33" t="s">
        <v>116</v>
      </c>
      <c r="F2881" s="34">
        <v>1</v>
      </c>
      <c r="G2881" s="35">
        <v>16593.349999999999</v>
      </c>
      <c r="H2881" s="35">
        <v>54990.23</v>
      </c>
      <c r="I2881" s="35">
        <f>Tabla1[[#This Row],[P.U. M.N.]]*Tabla1[[#This Row],[CANTIDADES DE REFERENCIA]]</f>
        <v>16593.349999999999</v>
      </c>
      <c r="J2881" s="35">
        <f>Tabla1[[#This Row],[P.U. USD]]*Tabla1[[#This Row],[CANTIDADES DE REFERENCIA]]</f>
        <v>54990.23</v>
      </c>
      <c r="K2881" s="36"/>
      <c r="L2881" s="36"/>
      <c r="M2881" s="36"/>
      <c r="N2881" s="37" t="s">
        <v>117</v>
      </c>
      <c r="O2881" s="37" t="s">
        <v>118</v>
      </c>
      <c r="P2881" s="38">
        <v>45479</v>
      </c>
      <c r="Q2881" s="37" t="s">
        <v>6210</v>
      </c>
      <c r="R2881" s="37"/>
      <c r="S2881" s="37" t="s">
        <v>120</v>
      </c>
      <c r="T2881" s="31"/>
    </row>
    <row r="2882" spans="1:20">
      <c r="A2882" s="31" t="s">
        <v>4143</v>
      </c>
      <c r="B2882" s="32" t="s">
        <v>6211</v>
      </c>
      <c r="C2882" s="33" t="str">
        <f>Tabla1[[#This Row],[PARTIDA]] &amp; "."</f>
        <v>7C-008.</v>
      </c>
      <c r="D2882" s="32" t="s">
        <v>6212</v>
      </c>
      <c r="E2882" s="33" t="s">
        <v>116</v>
      </c>
      <c r="F2882" s="34">
        <v>1</v>
      </c>
      <c r="G2882" s="35">
        <v>89003.33</v>
      </c>
      <c r="H2882" s="35">
        <v>5.54</v>
      </c>
      <c r="I2882" s="35">
        <f>Tabla1[[#This Row],[P.U. M.N.]]*Tabla1[[#This Row],[CANTIDADES DE REFERENCIA]]</f>
        <v>89003.33</v>
      </c>
      <c r="J2882" s="35">
        <f>Tabla1[[#This Row],[P.U. USD]]*Tabla1[[#This Row],[CANTIDADES DE REFERENCIA]]</f>
        <v>5.54</v>
      </c>
      <c r="K2882" s="36"/>
      <c r="L2882" s="36"/>
      <c r="M2882" s="36"/>
      <c r="N2882" s="37" t="s">
        <v>117</v>
      </c>
      <c r="O2882" s="37" t="s">
        <v>118</v>
      </c>
      <c r="P2882" s="38">
        <v>45479</v>
      </c>
      <c r="Q2882" s="37" t="s">
        <v>6213</v>
      </c>
      <c r="R2882" s="37"/>
      <c r="S2882" s="37" t="s">
        <v>120</v>
      </c>
      <c r="T2882" s="31"/>
    </row>
    <row r="2883" spans="1:20">
      <c r="A2883" s="31"/>
      <c r="B2883" s="32"/>
      <c r="C2883" s="33"/>
      <c r="D2883" s="32" t="s">
        <v>6214</v>
      </c>
      <c r="E2883" s="33" t="s">
        <v>367</v>
      </c>
      <c r="F2883" s="34">
        <v>1</v>
      </c>
      <c r="G2883" s="35">
        <v>0</v>
      </c>
      <c r="H2883" s="35">
        <v>0</v>
      </c>
      <c r="I2883" s="35">
        <f>Tabla1[[#This Row],[P.U. M.N.]]*Tabla1[[#This Row],[CANTIDADES DE REFERENCIA]]</f>
        <v>0</v>
      </c>
      <c r="J2883" s="35">
        <f>Tabla1[[#This Row],[P.U. USD]]*Tabla1[[#This Row],[CANTIDADES DE REFERENCIA]]</f>
        <v>0</v>
      </c>
      <c r="K2883" s="36"/>
      <c r="L2883" s="36"/>
      <c r="M2883" s="36"/>
      <c r="N2883" s="37" t="s">
        <v>589</v>
      </c>
      <c r="O2883" s="37"/>
      <c r="P2883" s="38"/>
      <c r="Q2883" s="37" t="s">
        <v>6215</v>
      </c>
      <c r="R2883" s="37"/>
      <c r="S2883" s="37" t="s">
        <v>591</v>
      </c>
      <c r="T2883" s="31"/>
    </row>
    <row r="2884" spans="1:20">
      <c r="A2884" s="31"/>
      <c r="B2884" s="32"/>
      <c r="C2884" s="33"/>
      <c r="D2884" s="32" t="s">
        <v>6216</v>
      </c>
      <c r="E2884" s="33" t="s">
        <v>367</v>
      </c>
      <c r="F2884" s="34">
        <v>1</v>
      </c>
      <c r="G2884" s="35">
        <v>0</v>
      </c>
      <c r="H2884" s="35">
        <v>0</v>
      </c>
      <c r="I2884" s="35">
        <f>Tabla1[[#This Row],[P.U. M.N.]]*Tabla1[[#This Row],[CANTIDADES DE REFERENCIA]]</f>
        <v>0</v>
      </c>
      <c r="J2884" s="35">
        <f>Tabla1[[#This Row],[P.U. USD]]*Tabla1[[#This Row],[CANTIDADES DE REFERENCIA]]</f>
        <v>0</v>
      </c>
      <c r="K2884" s="36"/>
      <c r="L2884" s="36"/>
      <c r="M2884" s="36"/>
      <c r="N2884" s="37" t="s">
        <v>589</v>
      </c>
      <c r="O2884" s="37"/>
      <c r="P2884" s="38"/>
      <c r="Q2884" s="37" t="s">
        <v>6217</v>
      </c>
      <c r="R2884" s="37"/>
      <c r="S2884" s="37" t="s">
        <v>591</v>
      </c>
      <c r="T2884" s="31"/>
    </row>
    <row r="2885" spans="1:20">
      <c r="A2885" s="31"/>
      <c r="B2885" s="32"/>
      <c r="C2885" s="33"/>
      <c r="D2885" s="32" t="s">
        <v>6218</v>
      </c>
      <c r="E2885" s="33" t="s">
        <v>367</v>
      </c>
      <c r="F2885" s="34">
        <v>1</v>
      </c>
      <c r="G2885" s="35">
        <v>0</v>
      </c>
      <c r="H2885" s="35">
        <v>0</v>
      </c>
      <c r="I2885" s="35">
        <f>Tabla1[[#This Row],[P.U. M.N.]]*Tabla1[[#This Row],[CANTIDADES DE REFERENCIA]]</f>
        <v>0</v>
      </c>
      <c r="J2885" s="35">
        <f>Tabla1[[#This Row],[P.U. USD]]*Tabla1[[#This Row],[CANTIDADES DE REFERENCIA]]</f>
        <v>0</v>
      </c>
      <c r="K2885" s="36"/>
      <c r="L2885" s="36"/>
      <c r="M2885" s="36"/>
      <c r="N2885" s="37" t="s">
        <v>589</v>
      </c>
      <c r="O2885" s="37"/>
      <c r="P2885" s="38"/>
      <c r="Q2885" s="37" t="s">
        <v>6219</v>
      </c>
      <c r="R2885" s="37"/>
      <c r="S2885" s="37" t="s">
        <v>591</v>
      </c>
      <c r="T2885" s="31"/>
    </row>
    <row r="2886" spans="1:20">
      <c r="A2886" s="31"/>
      <c r="B2886" s="32"/>
      <c r="C2886" s="33"/>
      <c r="D2886" s="32" t="s">
        <v>6220</v>
      </c>
      <c r="E2886" s="33" t="s">
        <v>367</v>
      </c>
      <c r="F2886" s="34">
        <v>1</v>
      </c>
      <c r="G2886" s="35">
        <v>0</v>
      </c>
      <c r="H2886" s="35">
        <v>0</v>
      </c>
      <c r="I2886" s="35">
        <f>Tabla1[[#This Row],[P.U. M.N.]]*Tabla1[[#This Row],[CANTIDADES DE REFERENCIA]]</f>
        <v>0</v>
      </c>
      <c r="J2886" s="35">
        <f>Tabla1[[#This Row],[P.U. USD]]*Tabla1[[#This Row],[CANTIDADES DE REFERENCIA]]</f>
        <v>0</v>
      </c>
      <c r="K2886" s="36"/>
      <c r="L2886" s="36"/>
      <c r="M2886" s="36"/>
      <c r="N2886" s="37" t="s">
        <v>1059</v>
      </c>
      <c r="O2886" s="37" t="s">
        <v>1060</v>
      </c>
      <c r="P2886" s="38"/>
      <c r="Q2886" s="37" t="s">
        <v>6221</v>
      </c>
      <c r="R2886" s="37"/>
      <c r="S2886" s="37"/>
      <c r="T2886" s="31"/>
    </row>
    <row r="2887" spans="1:20">
      <c r="A2887" s="31"/>
      <c r="B2887" s="32"/>
      <c r="C2887" s="33"/>
      <c r="D2887" s="32" t="s">
        <v>6222</v>
      </c>
      <c r="E2887" s="33" t="s">
        <v>367</v>
      </c>
      <c r="F2887" s="34">
        <v>1</v>
      </c>
      <c r="G2887" s="35">
        <v>0</v>
      </c>
      <c r="H2887" s="35">
        <v>0</v>
      </c>
      <c r="I2887" s="35">
        <f>Tabla1[[#This Row],[P.U. M.N.]]*Tabla1[[#This Row],[CANTIDADES DE REFERENCIA]]</f>
        <v>0</v>
      </c>
      <c r="J2887" s="35">
        <f>Tabla1[[#This Row],[P.U. USD]]*Tabla1[[#This Row],[CANTIDADES DE REFERENCIA]]</f>
        <v>0</v>
      </c>
      <c r="K2887" s="36"/>
      <c r="L2887" s="36"/>
      <c r="M2887" s="36"/>
      <c r="N2887" s="37" t="s">
        <v>1059</v>
      </c>
      <c r="O2887" s="37" t="s">
        <v>1060</v>
      </c>
      <c r="P2887" s="38"/>
      <c r="Q2887" s="37" t="s">
        <v>6223</v>
      </c>
      <c r="R2887" s="37"/>
      <c r="S2887" s="37"/>
      <c r="T2887" s="31"/>
    </row>
    <row r="2888" spans="1:20">
      <c r="A2888" s="31"/>
      <c r="B2888" s="32"/>
      <c r="C2888" s="33"/>
      <c r="D2888" s="32" t="s">
        <v>6224</v>
      </c>
      <c r="E2888" s="33" t="s">
        <v>367</v>
      </c>
      <c r="F2888" s="34">
        <v>1</v>
      </c>
      <c r="G2888" s="35">
        <v>0</v>
      </c>
      <c r="H2888" s="35">
        <v>0</v>
      </c>
      <c r="I2888" s="35">
        <f>Tabla1[[#This Row],[P.U. M.N.]]*Tabla1[[#This Row],[CANTIDADES DE REFERENCIA]]</f>
        <v>0</v>
      </c>
      <c r="J2888" s="35">
        <f>Tabla1[[#This Row],[P.U. USD]]*Tabla1[[#This Row],[CANTIDADES DE REFERENCIA]]</f>
        <v>0</v>
      </c>
      <c r="K2888" s="36"/>
      <c r="L2888" s="36"/>
      <c r="M2888" s="36"/>
      <c r="N2888" s="37" t="s">
        <v>1059</v>
      </c>
      <c r="O2888" s="37" t="s">
        <v>1060</v>
      </c>
      <c r="P2888" s="38"/>
      <c r="Q2888" s="37" t="s">
        <v>6225</v>
      </c>
      <c r="R2888" s="37"/>
      <c r="S2888" s="37"/>
      <c r="T2888" s="31"/>
    </row>
    <row r="2889" spans="1:20">
      <c r="A2889" s="31"/>
      <c r="B2889" s="32"/>
      <c r="C2889" s="33"/>
      <c r="D2889" s="32" t="s">
        <v>6226</v>
      </c>
      <c r="E2889" s="33" t="s">
        <v>23</v>
      </c>
      <c r="F2889" s="34">
        <v>1</v>
      </c>
      <c r="G2889" s="35">
        <v>0</v>
      </c>
      <c r="H2889" s="35">
        <v>0</v>
      </c>
      <c r="I2889" s="35">
        <f>Tabla1[[#This Row],[P.U. M.N.]]*Tabla1[[#This Row],[CANTIDADES DE REFERENCIA]]</f>
        <v>0</v>
      </c>
      <c r="J2889" s="35">
        <f>Tabla1[[#This Row],[P.U. USD]]*Tabla1[[#This Row],[CANTIDADES DE REFERENCIA]]</f>
        <v>0</v>
      </c>
      <c r="K2889" s="36"/>
      <c r="L2889" s="36"/>
      <c r="M2889" s="36"/>
      <c r="N2889" s="37"/>
      <c r="O2889" s="37"/>
      <c r="P2889" s="38"/>
      <c r="Q2889" s="37" t="s">
        <v>6227</v>
      </c>
      <c r="R2889" s="37" t="s">
        <v>58</v>
      </c>
      <c r="S2889" s="37" t="s">
        <v>6228</v>
      </c>
      <c r="T2889" s="31"/>
    </row>
    <row r="2890" spans="1:20">
      <c r="A2890" s="31"/>
      <c r="B2890" s="32"/>
      <c r="C2890" s="33"/>
      <c r="D2890" s="32" t="s">
        <v>6229</v>
      </c>
      <c r="E2890" s="33" t="s">
        <v>23</v>
      </c>
      <c r="F2890" s="34">
        <v>1</v>
      </c>
      <c r="G2890" s="35">
        <v>0</v>
      </c>
      <c r="H2890" s="35">
        <v>0</v>
      </c>
      <c r="I2890" s="35">
        <f>Tabla1[[#This Row],[P.U. M.N.]]*Tabla1[[#This Row],[CANTIDADES DE REFERENCIA]]</f>
        <v>0</v>
      </c>
      <c r="J2890" s="35">
        <f>Tabla1[[#This Row],[P.U. USD]]*Tabla1[[#This Row],[CANTIDADES DE REFERENCIA]]</f>
        <v>0</v>
      </c>
      <c r="K2890" s="36"/>
      <c r="L2890" s="36"/>
      <c r="M2890" s="36"/>
      <c r="N2890" s="37"/>
      <c r="O2890" s="37"/>
      <c r="P2890" s="38"/>
      <c r="Q2890" s="37" t="s">
        <v>6230</v>
      </c>
      <c r="R2890" s="37" t="s">
        <v>58</v>
      </c>
      <c r="S2890" s="37" t="s">
        <v>6228</v>
      </c>
      <c r="T2890" s="31"/>
    </row>
    <row r="2891" spans="1:20">
      <c r="A2891" s="31"/>
      <c r="B2891" s="32"/>
      <c r="C2891" s="33"/>
      <c r="D2891" s="32" t="s">
        <v>6231</v>
      </c>
      <c r="E2891" s="33" t="s">
        <v>23</v>
      </c>
      <c r="F2891" s="34">
        <v>1</v>
      </c>
      <c r="G2891" s="35">
        <v>0</v>
      </c>
      <c r="H2891" s="35">
        <v>0</v>
      </c>
      <c r="I2891" s="35">
        <f>Tabla1[[#This Row],[P.U. M.N.]]*Tabla1[[#This Row],[CANTIDADES DE REFERENCIA]]</f>
        <v>0</v>
      </c>
      <c r="J2891" s="35">
        <f>Tabla1[[#This Row],[P.U. USD]]*Tabla1[[#This Row],[CANTIDADES DE REFERENCIA]]</f>
        <v>0</v>
      </c>
      <c r="K2891" s="36"/>
      <c r="L2891" s="36"/>
      <c r="M2891" s="36"/>
      <c r="N2891" s="37" t="s">
        <v>31</v>
      </c>
      <c r="O2891" s="37"/>
      <c r="P2891" s="38"/>
      <c r="Q2891" s="37" t="s">
        <v>6232</v>
      </c>
      <c r="R2891" s="37" t="s">
        <v>58</v>
      </c>
      <c r="S2891" s="37" t="s">
        <v>33</v>
      </c>
      <c r="T2891" s="31"/>
    </row>
    <row r="2892" spans="1:20">
      <c r="A2892" s="31"/>
      <c r="B2892" s="32"/>
      <c r="C2892" s="33"/>
      <c r="D2892" s="32" t="s">
        <v>6233</v>
      </c>
      <c r="E2892" s="33" t="s">
        <v>367</v>
      </c>
      <c r="F2892" s="34">
        <v>1</v>
      </c>
      <c r="G2892" s="35">
        <v>0</v>
      </c>
      <c r="H2892" s="35">
        <v>0</v>
      </c>
      <c r="I2892" s="35">
        <f>Tabla1[[#This Row],[P.U. M.N.]]*Tabla1[[#This Row],[CANTIDADES DE REFERENCIA]]</f>
        <v>0</v>
      </c>
      <c r="J2892" s="35">
        <f>Tabla1[[#This Row],[P.U. USD]]*Tabla1[[#This Row],[CANTIDADES DE REFERENCIA]]</f>
        <v>0</v>
      </c>
      <c r="K2892" s="36"/>
      <c r="L2892" s="36"/>
      <c r="M2892" s="36"/>
      <c r="N2892" s="37" t="s">
        <v>117</v>
      </c>
      <c r="O2892" s="37" t="s">
        <v>118</v>
      </c>
      <c r="P2892" s="38"/>
      <c r="Q2892" s="37" t="s">
        <v>6234</v>
      </c>
      <c r="R2892" s="37"/>
      <c r="S2892" s="37" t="s">
        <v>120</v>
      </c>
      <c r="T2892" s="31"/>
    </row>
    <row r="2893" spans="1:20">
      <c r="A2893" s="31"/>
      <c r="B2893" s="32"/>
      <c r="C2893" s="33"/>
      <c r="D2893" s="32" t="s">
        <v>6235</v>
      </c>
      <c r="E2893" s="33" t="s">
        <v>23</v>
      </c>
      <c r="F2893" s="34">
        <v>1</v>
      </c>
      <c r="G2893" s="35">
        <v>0</v>
      </c>
      <c r="H2893" s="35">
        <v>0</v>
      </c>
      <c r="I2893" s="35">
        <f>Tabla1[[#This Row],[P.U. M.N.]]*Tabla1[[#This Row],[CANTIDADES DE REFERENCIA]]</f>
        <v>0</v>
      </c>
      <c r="J2893" s="35">
        <f>Tabla1[[#This Row],[P.U. USD]]*Tabla1[[#This Row],[CANTIDADES DE REFERENCIA]]</f>
        <v>0</v>
      </c>
      <c r="K2893" s="36"/>
      <c r="L2893" s="36"/>
      <c r="M2893" s="36"/>
      <c r="N2893" s="37" t="s">
        <v>599</v>
      </c>
      <c r="O2893" s="37" t="s">
        <v>600</v>
      </c>
      <c r="P2893" s="38"/>
      <c r="Q2893" s="37" t="s">
        <v>6236</v>
      </c>
      <c r="R2893" s="37" t="s">
        <v>58</v>
      </c>
      <c r="S2893" s="37" t="s">
        <v>602</v>
      </c>
      <c r="T2893" s="31"/>
    </row>
    <row r="2894" spans="1:20">
      <c r="A2894" s="31"/>
      <c r="B2894" s="32"/>
      <c r="C2894" s="33"/>
      <c r="D2894" s="32" t="s">
        <v>6237</v>
      </c>
      <c r="E2894" s="33" t="s">
        <v>2699</v>
      </c>
      <c r="F2894" s="34">
        <v>1</v>
      </c>
      <c r="G2894" s="35">
        <v>0</v>
      </c>
      <c r="H2894" s="35">
        <v>0</v>
      </c>
      <c r="I2894" s="35">
        <f>Tabla1[[#This Row],[P.U. M.N.]]*Tabla1[[#This Row],[CANTIDADES DE REFERENCIA]]</f>
        <v>0</v>
      </c>
      <c r="J2894" s="35">
        <f>Tabla1[[#This Row],[P.U. USD]]*Tabla1[[#This Row],[CANTIDADES DE REFERENCIA]]</f>
        <v>0</v>
      </c>
      <c r="K2894" s="36"/>
      <c r="L2894" s="36"/>
      <c r="M2894" s="36"/>
      <c r="N2894" s="37" t="s">
        <v>599</v>
      </c>
      <c r="O2894" s="37" t="s">
        <v>600</v>
      </c>
      <c r="P2894" s="38"/>
      <c r="Q2894" s="37" t="s">
        <v>6238</v>
      </c>
      <c r="R2894" s="37" t="s">
        <v>58</v>
      </c>
      <c r="S2894" s="37" t="s">
        <v>602</v>
      </c>
      <c r="T2894" s="31"/>
    </row>
    <row r="2895" spans="1:20">
      <c r="A2895" s="31"/>
      <c r="B2895" s="32"/>
      <c r="C2895" s="33"/>
      <c r="D2895" s="32" t="s">
        <v>6239</v>
      </c>
      <c r="E2895" s="33" t="s">
        <v>2699</v>
      </c>
      <c r="F2895" s="34">
        <v>1</v>
      </c>
      <c r="G2895" s="35">
        <v>0</v>
      </c>
      <c r="H2895" s="35">
        <v>0</v>
      </c>
      <c r="I2895" s="35">
        <f>Tabla1[[#This Row],[P.U. M.N.]]*Tabla1[[#This Row],[CANTIDADES DE REFERENCIA]]</f>
        <v>0</v>
      </c>
      <c r="J2895" s="35">
        <f>Tabla1[[#This Row],[P.U. USD]]*Tabla1[[#This Row],[CANTIDADES DE REFERENCIA]]</f>
        <v>0</v>
      </c>
      <c r="K2895" s="36"/>
      <c r="L2895" s="36"/>
      <c r="M2895" s="36"/>
      <c r="N2895" s="37" t="s">
        <v>599</v>
      </c>
      <c r="O2895" s="37" t="s">
        <v>600</v>
      </c>
      <c r="P2895" s="38"/>
      <c r="Q2895" s="37" t="s">
        <v>6240</v>
      </c>
      <c r="R2895" s="37" t="s">
        <v>58</v>
      </c>
      <c r="S2895" s="37" t="s">
        <v>602</v>
      </c>
      <c r="T2895" s="31"/>
    </row>
    <row r="2896" spans="1:20">
      <c r="A2896" s="31" t="s">
        <v>4143</v>
      </c>
      <c r="B2896" s="32" t="s">
        <v>6241</v>
      </c>
      <c r="C2896" s="33" t="str">
        <f>Tabla1[[#This Row],[PARTIDA]] &amp; "."</f>
        <v>8C-008.</v>
      </c>
      <c r="D2896" s="32" t="s">
        <v>6242</v>
      </c>
      <c r="E2896" s="33" t="s">
        <v>116</v>
      </c>
      <c r="F2896" s="34">
        <v>1</v>
      </c>
      <c r="G2896" s="35">
        <v>3897.18</v>
      </c>
      <c r="H2896" s="35">
        <v>4659.9799999999996</v>
      </c>
      <c r="I2896" s="35">
        <f>Tabla1[[#This Row],[P.U. M.N.]]*Tabla1[[#This Row],[CANTIDADES DE REFERENCIA]]</f>
        <v>3897.18</v>
      </c>
      <c r="J2896" s="35">
        <f>Tabla1[[#This Row],[P.U. USD]]*Tabla1[[#This Row],[CANTIDADES DE REFERENCIA]]</f>
        <v>4659.9799999999996</v>
      </c>
      <c r="K2896" s="36"/>
      <c r="L2896" s="36"/>
      <c r="M2896" s="36"/>
      <c r="N2896" s="37" t="s">
        <v>117</v>
      </c>
      <c r="O2896" s="37" t="s">
        <v>118</v>
      </c>
      <c r="P2896" s="38">
        <v>45479</v>
      </c>
      <c r="Q2896" s="37" t="s">
        <v>6243</v>
      </c>
      <c r="R2896" s="37"/>
      <c r="S2896" s="37" t="s">
        <v>120</v>
      </c>
      <c r="T2896" s="31"/>
    </row>
    <row r="2897" spans="1:20">
      <c r="A2897" s="31"/>
      <c r="B2897" s="32"/>
      <c r="C2897" s="33"/>
      <c r="D2897" s="32" t="s">
        <v>6244</v>
      </c>
      <c r="E2897" s="33" t="s">
        <v>23</v>
      </c>
      <c r="F2897" s="34">
        <v>1</v>
      </c>
      <c r="G2897" s="35">
        <v>0</v>
      </c>
      <c r="H2897" s="35">
        <v>0</v>
      </c>
      <c r="I2897" s="35">
        <f>Tabla1[[#This Row],[P.U. M.N.]]*Tabla1[[#This Row],[CANTIDADES DE REFERENCIA]]</f>
        <v>0</v>
      </c>
      <c r="J2897" s="35">
        <f>Tabla1[[#This Row],[P.U. USD]]*Tabla1[[#This Row],[CANTIDADES DE REFERENCIA]]</f>
        <v>0</v>
      </c>
      <c r="K2897" s="36"/>
      <c r="L2897" s="36"/>
      <c r="M2897" s="36"/>
      <c r="N2897" s="37" t="s">
        <v>599</v>
      </c>
      <c r="O2897" s="37" t="s">
        <v>600</v>
      </c>
      <c r="P2897" s="38"/>
      <c r="Q2897" s="37" t="s">
        <v>6245</v>
      </c>
      <c r="R2897" s="37" t="s">
        <v>58</v>
      </c>
      <c r="S2897" s="37" t="s">
        <v>602</v>
      </c>
      <c r="T2897" s="31"/>
    </row>
    <row r="2898" spans="1:20">
      <c r="A2898" s="31"/>
      <c r="B2898" s="32"/>
      <c r="C2898" s="33"/>
      <c r="D2898" s="32" t="s">
        <v>6246</v>
      </c>
      <c r="E2898" s="33" t="s">
        <v>23</v>
      </c>
      <c r="F2898" s="34">
        <v>1</v>
      </c>
      <c r="G2898" s="35">
        <v>0</v>
      </c>
      <c r="H2898" s="35">
        <v>0</v>
      </c>
      <c r="I2898" s="35">
        <f>Tabla1[[#This Row],[P.U. M.N.]]*Tabla1[[#This Row],[CANTIDADES DE REFERENCIA]]</f>
        <v>0</v>
      </c>
      <c r="J2898" s="35">
        <f>Tabla1[[#This Row],[P.U. USD]]*Tabla1[[#This Row],[CANTIDADES DE REFERENCIA]]</f>
        <v>0</v>
      </c>
      <c r="K2898" s="36"/>
      <c r="L2898" s="36"/>
      <c r="M2898" s="36"/>
      <c r="N2898" s="37" t="s">
        <v>599</v>
      </c>
      <c r="O2898" s="37" t="s">
        <v>600</v>
      </c>
      <c r="P2898" s="38"/>
      <c r="Q2898" s="37" t="s">
        <v>6247</v>
      </c>
      <c r="R2898" s="37" t="s">
        <v>58</v>
      </c>
      <c r="S2898" s="37" t="s">
        <v>602</v>
      </c>
      <c r="T2898" s="31"/>
    </row>
    <row r="2899" spans="1:20">
      <c r="A2899" s="31"/>
      <c r="B2899" s="32"/>
      <c r="C2899" s="33"/>
      <c r="D2899" s="32" t="s">
        <v>6248</v>
      </c>
      <c r="E2899" s="33" t="s">
        <v>2699</v>
      </c>
      <c r="F2899" s="34">
        <v>1</v>
      </c>
      <c r="G2899" s="35">
        <v>0</v>
      </c>
      <c r="H2899" s="35">
        <v>0</v>
      </c>
      <c r="I2899" s="35">
        <f>Tabla1[[#This Row],[P.U. M.N.]]*Tabla1[[#This Row],[CANTIDADES DE REFERENCIA]]</f>
        <v>0</v>
      </c>
      <c r="J2899" s="35">
        <f>Tabla1[[#This Row],[P.U. USD]]*Tabla1[[#This Row],[CANTIDADES DE REFERENCIA]]</f>
        <v>0</v>
      </c>
      <c r="K2899" s="36"/>
      <c r="L2899" s="36"/>
      <c r="M2899" s="36"/>
      <c r="N2899" s="37" t="s">
        <v>599</v>
      </c>
      <c r="O2899" s="37" t="s">
        <v>600</v>
      </c>
      <c r="P2899" s="38"/>
      <c r="Q2899" s="37" t="s">
        <v>6249</v>
      </c>
      <c r="R2899" s="37" t="s">
        <v>58</v>
      </c>
      <c r="S2899" s="37" t="s">
        <v>602</v>
      </c>
      <c r="T2899" s="31"/>
    </row>
    <row r="2900" spans="1:20">
      <c r="A2900" s="31"/>
      <c r="B2900" s="32"/>
      <c r="C2900" s="33"/>
      <c r="D2900" s="32" t="s">
        <v>6250</v>
      </c>
      <c r="E2900" s="33" t="s">
        <v>2699</v>
      </c>
      <c r="F2900" s="34">
        <v>1</v>
      </c>
      <c r="G2900" s="35">
        <v>0</v>
      </c>
      <c r="H2900" s="35">
        <v>0</v>
      </c>
      <c r="I2900" s="35">
        <f>Tabla1[[#This Row],[P.U. M.N.]]*Tabla1[[#This Row],[CANTIDADES DE REFERENCIA]]</f>
        <v>0</v>
      </c>
      <c r="J2900" s="35">
        <f>Tabla1[[#This Row],[P.U. USD]]*Tabla1[[#This Row],[CANTIDADES DE REFERENCIA]]</f>
        <v>0</v>
      </c>
      <c r="K2900" s="36"/>
      <c r="L2900" s="36"/>
      <c r="M2900" s="36"/>
      <c r="N2900" s="37" t="s">
        <v>599</v>
      </c>
      <c r="O2900" s="37" t="s">
        <v>600</v>
      </c>
      <c r="P2900" s="38"/>
      <c r="Q2900" s="37" t="s">
        <v>6251</v>
      </c>
      <c r="R2900" s="37" t="s">
        <v>58</v>
      </c>
      <c r="S2900" s="37" t="s">
        <v>602</v>
      </c>
      <c r="T2900" s="31"/>
    </row>
    <row r="2901" spans="1:20">
      <c r="A2901" s="31"/>
      <c r="B2901" s="32"/>
      <c r="C2901" s="33"/>
      <c r="D2901" s="32" t="s">
        <v>6237</v>
      </c>
      <c r="E2901" s="33" t="s">
        <v>2699</v>
      </c>
      <c r="F2901" s="34">
        <v>1</v>
      </c>
      <c r="G2901" s="35">
        <v>0</v>
      </c>
      <c r="H2901" s="35">
        <v>0</v>
      </c>
      <c r="I2901" s="35">
        <f>Tabla1[[#This Row],[P.U. M.N.]]*Tabla1[[#This Row],[CANTIDADES DE REFERENCIA]]</f>
        <v>0</v>
      </c>
      <c r="J2901" s="35">
        <f>Tabla1[[#This Row],[P.U. USD]]*Tabla1[[#This Row],[CANTIDADES DE REFERENCIA]]</f>
        <v>0</v>
      </c>
      <c r="K2901" s="36"/>
      <c r="L2901" s="36"/>
      <c r="M2901" s="36"/>
      <c r="N2901" s="37" t="s">
        <v>2647</v>
      </c>
      <c r="O2901" s="37" t="s">
        <v>2648</v>
      </c>
      <c r="P2901" s="38"/>
      <c r="Q2901" s="37" t="s">
        <v>6252</v>
      </c>
      <c r="R2901" s="37" t="s">
        <v>58</v>
      </c>
      <c r="S2901" s="37" t="s">
        <v>2207</v>
      </c>
      <c r="T2901" s="31"/>
    </row>
    <row r="2902" spans="1:20">
      <c r="A2902" s="31"/>
      <c r="B2902" s="32"/>
      <c r="C2902" s="33"/>
      <c r="D2902" s="32" t="s">
        <v>6239</v>
      </c>
      <c r="E2902" s="33" t="s">
        <v>2699</v>
      </c>
      <c r="F2902" s="34">
        <v>1</v>
      </c>
      <c r="G2902" s="35">
        <v>0</v>
      </c>
      <c r="H2902" s="35">
        <v>0</v>
      </c>
      <c r="I2902" s="35">
        <f>Tabla1[[#This Row],[P.U. M.N.]]*Tabla1[[#This Row],[CANTIDADES DE REFERENCIA]]</f>
        <v>0</v>
      </c>
      <c r="J2902" s="35">
        <f>Tabla1[[#This Row],[P.U. USD]]*Tabla1[[#This Row],[CANTIDADES DE REFERENCIA]]</f>
        <v>0</v>
      </c>
      <c r="K2902" s="36"/>
      <c r="L2902" s="36"/>
      <c r="M2902" s="36"/>
      <c r="N2902" s="37" t="s">
        <v>2647</v>
      </c>
      <c r="O2902" s="37" t="s">
        <v>2648</v>
      </c>
      <c r="P2902" s="38"/>
      <c r="Q2902" s="37" t="s">
        <v>6253</v>
      </c>
      <c r="R2902" s="37" t="s">
        <v>58</v>
      </c>
      <c r="S2902" s="37" t="s">
        <v>2207</v>
      </c>
      <c r="T2902" s="31"/>
    </row>
    <row r="2903" spans="1:20">
      <c r="A2903" s="31"/>
      <c r="B2903" s="32"/>
      <c r="C2903" s="33"/>
      <c r="D2903" s="32" t="s">
        <v>6254</v>
      </c>
      <c r="E2903" s="33" t="s">
        <v>23</v>
      </c>
      <c r="F2903" s="34">
        <v>1</v>
      </c>
      <c r="G2903" s="35">
        <v>0</v>
      </c>
      <c r="H2903" s="35">
        <v>0</v>
      </c>
      <c r="I2903" s="35">
        <f>Tabla1[[#This Row],[P.U. M.N.]]*Tabla1[[#This Row],[CANTIDADES DE REFERENCIA]]</f>
        <v>0</v>
      </c>
      <c r="J2903" s="35">
        <f>Tabla1[[#This Row],[P.U. USD]]*Tabla1[[#This Row],[CANTIDADES DE REFERENCIA]]</f>
        <v>0</v>
      </c>
      <c r="K2903" s="36"/>
      <c r="L2903" s="36"/>
      <c r="M2903" s="36"/>
      <c r="N2903" s="37" t="s">
        <v>31</v>
      </c>
      <c r="O2903" s="37"/>
      <c r="P2903" s="38"/>
      <c r="Q2903" s="37" t="s">
        <v>6255</v>
      </c>
      <c r="R2903" s="37" t="s">
        <v>389</v>
      </c>
      <c r="S2903" s="37" t="s">
        <v>33</v>
      </c>
      <c r="T2903" s="31"/>
    </row>
    <row r="2904" spans="1:20">
      <c r="A2904" s="31"/>
      <c r="B2904" s="32"/>
      <c r="C2904" s="33"/>
      <c r="D2904" s="32" t="s">
        <v>6256</v>
      </c>
      <c r="E2904" s="33" t="s">
        <v>2699</v>
      </c>
      <c r="F2904" s="34">
        <v>1</v>
      </c>
      <c r="G2904" s="35">
        <v>0</v>
      </c>
      <c r="H2904" s="35">
        <v>0</v>
      </c>
      <c r="I2904" s="35">
        <f>Tabla1[[#This Row],[P.U. M.N.]]*Tabla1[[#This Row],[CANTIDADES DE REFERENCIA]]</f>
        <v>0</v>
      </c>
      <c r="J2904" s="35">
        <f>Tabla1[[#This Row],[P.U. USD]]*Tabla1[[#This Row],[CANTIDADES DE REFERENCIA]]</f>
        <v>0</v>
      </c>
      <c r="K2904" s="36"/>
      <c r="L2904" s="36"/>
      <c r="M2904" s="36"/>
      <c r="N2904" s="37" t="s">
        <v>31</v>
      </c>
      <c r="O2904" s="37"/>
      <c r="P2904" s="38"/>
      <c r="Q2904" s="37" t="s">
        <v>6257</v>
      </c>
      <c r="R2904" s="37" t="s">
        <v>389</v>
      </c>
      <c r="S2904" s="37" t="s">
        <v>33</v>
      </c>
      <c r="T2904" s="31"/>
    </row>
    <row r="2905" spans="1:20">
      <c r="A2905" s="31"/>
      <c r="B2905" s="32"/>
      <c r="C2905" s="33"/>
      <c r="D2905" s="32" t="s">
        <v>6258</v>
      </c>
      <c r="E2905" s="33" t="s">
        <v>23</v>
      </c>
      <c r="F2905" s="34">
        <v>1</v>
      </c>
      <c r="G2905" s="35">
        <v>0</v>
      </c>
      <c r="H2905" s="35">
        <v>0</v>
      </c>
      <c r="I2905" s="35">
        <f>Tabla1[[#This Row],[P.U. M.N.]]*Tabla1[[#This Row],[CANTIDADES DE REFERENCIA]]</f>
        <v>0</v>
      </c>
      <c r="J2905" s="35">
        <f>Tabla1[[#This Row],[P.U. USD]]*Tabla1[[#This Row],[CANTIDADES DE REFERENCIA]]</f>
        <v>0</v>
      </c>
      <c r="K2905" s="36"/>
      <c r="L2905" s="36"/>
      <c r="M2905" s="36"/>
      <c r="N2905" s="37" t="s">
        <v>31</v>
      </c>
      <c r="O2905" s="37"/>
      <c r="P2905" s="38"/>
      <c r="Q2905" s="37" t="s">
        <v>6259</v>
      </c>
      <c r="R2905" s="37" t="s">
        <v>389</v>
      </c>
      <c r="S2905" s="37" t="s">
        <v>33</v>
      </c>
      <c r="T2905" s="31"/>
    </row>
    <row r="2906" spans="1:20">
      <c r="A2906" s="31"/>
      <c r="B2906" s="32"/>
      <c r="C2906" s="33"/>
      <c r="D2906" s="32" t="s">
        <v>6260</v>
      </c>
      <c r="E2906" s="33" t="s">
        <v>2699</v>
      </c>
      <c r="F2906" s="34">
        <v>1</v>
      </c>
      <c r="G2906" s="35">
        <v>0</v>
      </c>
      <c r="H2906" s="35">
        <v>0</v>
      </c>
      <c r="I2906" s="35">
        <f>Tabla1[[#This Row],[P.U. M.N.]]*Tabla1[[#This Row],[CANTIDADES DE REFERENCIA]]</f>
        <v>0</v>
      </c>
      <c r="J2906" s="35">
        <f>Tabla1[[#This Row],[P.U. USD]]*Tabla1[[#This Row],[CANTIDADES DE REFERENCIA]]</f>
        <v>0</v>
      </c>
      <c r="K2906" s="36"/>
      <c r="L2906" s="36"/>
      <c r="M2906" s="36"/>
      <c r="N2906" s="37" t="s">
        <v>31</v>
      </c>
      <c r="O2906" s="37"/>
      <c r="P2906" s="38"/>
      <c r="Q2906" s="37" t="s">
        <v>6261</v>
      </c>
      <c r="R2906" s="37" t="s">
        <v>389</v>
      </c>
      <c r="S2906" s="37" t="s">
        <v>33</v>
      </c>
      <c r="T2906" s="31"/>
    </row>
    <row r="2907" spans="1:20">
      <c r="A2907" s="31"/>
      <c r="B2907" s="32"/>
      <c r="C2907" s="33"/>
      <c r="D2907" s="32" t="s">
        <v>6262</v>
      </c>
      <c r="E2907" s="33" t="s">
        <v>23</v>
      </c>
      <c r="F2907" s="34">
        <v>1</v>
      </c>
      <c r="G2907" s="35">
        <v>0</v>
      </c>
      <c r="H2907" s="35">
        <v>0</v>
      </c>
      <c r="I2907" s="35">
        <f>Tabla1[[#This Row],[P.U. M.N.]]*Tabla1[[#This Row],[CANTIDADES DE REFERENCIA]]</f>
        <v>0</v>
      </c>
      <c r="J2907" s="35">
        <f>Tabla1[[#This Row],[P.U. USD]]*Tabla1[[#This Row],[CANTIDADES DE REFERENCIA]]</f>
        <v>0</v>
      </c>
      <c r="K2907" s="36"/>
      <c r="L2907" s="36"/>
      <c r="M2907" s="36"/>
      <c r="N2907" s="37" t="s">
        <v>2641</v>
      </c>
      <c r="O2907" s="37" t="s">
        <v>2642</v>
      </c>
      <c r="P2907" s="38"/>
      <c r="Q2907" s="37" t="s">
        <v>6263</v>
      </c>
      <c r="R2907" s="37" t="s">
        <v>58</v>
      </c>
      <c r="S2907" s="37" t="s">
        <v>2644</v>
      </c>
      <c r="T2907" s="31"/>
    </row>
    <row r="2908" spans="1:20">
      <c r="A2908" s="31"/>
      <c r="B2908" s="32"/>
      <c r="C2908" s="33"/>
      <c r="D2908" s="32" t="s">
        <v>6264</v>
      </c>
      <c r="E2908" s="33" t="s">
        <v>23</v>
      </c>
      <c r="F2908" s="34">
        <v>1</v>
      </c>
      <c r="G2908" s="35">
        <v>0</v>
      </c>
      <c r="H2908" s="35">
        <v>0</v>
      </c>
      <c r="I2908" s="35">
        <f>Tabla1[[#This Row],[P.U. M.N.]]*Tabla1[[#This Row],[CANTIDADES DE REFERENCIA]]</f>
        <v>0</v>
      </c>
      <c r="J2908" s="35">
        <f>Tabla1[[#This Row],[P.U. USD]]*Tabla1[[#This Row],[CANTIDADES DE REFERENCIA]]</f>
        <v>0</v>
      </c>
      <c r="K2908" s="36"/>
      <c r="L2908" s="36"/>
      <c r="M2908" s="36"/>
      <c r="N2908" s="37" t="s">
        <v>31</v>
      </c>
      <c r="O2908" s="37"/>
      <c r="P2908" s="38"/>
      <c r="Q2908" s="37" t="s">
        <v>6265</v>
      </c>
      <c r="R2908" s="37" t="s">
        <v>389</v>
      </c>
      <c r="S2908" s="37" t="s">
        <v>33</v>
      </c>
      <c r="T2908" s="31"/>
    </row>
    <row r="2909" spans="1:20">
      <c r="A2909" s="31"/>
      <c r="B2909" s="32"/>
      <c r="C2909" s="33"/>
      <c r="D2909" s="32" t="s">
        <v>6266</v>
      </c>
      <c r="E2909" s="33" t="s">
        <v>23</v>
      </c>
      <c r="F2909" s="34">
        <v>1</v>
      </c>
      <c r="G2909" s="35">
        <v>0</v>
      </c>
      <c r="H2909" s="35">
        <v>0</v>
      </c>
      <c r="I2909" s="35">
        <f>Tabla1[[#This Row],[P.U. M.N.]]*Tabla1[[#This Row],[CANTIDADES DE REFERENCIA]]</f>
        <v>0</v>
      </c>
      <c r="J2909" s="35">
        <f>Tabla1[[#This Row],[P.U. USD]]*Tabla1[[#This Row],[CANTIDADES DE REFERENCIA]]</f>
        <v>0</v>
      </c>
      <c r="K2909" s="36"/>
      <c r="L2909" s="36"/>
      <c r="M2909" s="36"/>
      <c r="N2909" s="37" t="s">
        <v>31</v>
      </c>
      <c r="O2909" s="37"/>
      <c r="P2909" s="38"/>
      <c r="Q2909" s="37" t="s">
        <v>6267</v>
      </c>
      <c r="R2909" s="37" t="s">
        <v>389</v>
      </c>
      <c r="S2909" s="37" t="s">
        <v>33</v>
      </c>
      <c r="T2909" s="31"/>
    </row>
    <row r="2910" spans="1:20">
      <c r="A2910" s="31"/>
      <c r="B2910" s="32"/>
      <c r="C2910" s="33"/>
      <c r="D2910" s="32" t="s">
        <v>6268</v>
      </c>
      <c r="E2910" s="33" t="s">
        <v>23</v>
      </c>
      <c r="F2910" s="34">
        <v>1</v>
      </c>
      <c r="G2910" s="35">
        <v>0</v>
      </c>
      <c r="H2910" s="35">
        <v>0</v>
      </c>
      <c r="I2910" s="35">
        <f>Tabla1[[#This Row],[P.U. M.N.]]*Tabla1[[#This Row],[CANTIDADES DE REFERENCIA]]</f>
        <v>0</v>
      </c>
      <c r="J2910" s="35">
        <f>Tabla1[[#This Row],[P.U. USD]]*Tabla1[[#This Row],[CANTIDADES DE REFERENCIA]]</f>
        <v>0</v>
      </c>
      <c r="K2910" s="36"/>
      <c r="L2910" s="36"/>
      <c r="M2910" s="36"/>
      <c r="N2910" s="37" t="s">
        <v>31</v>
      </c>
      <c r="O2910" s="37"/>
      <c r="P2910" s="38"/>
      <c r="Q2910" s="37" t="s">
        <v>6269</v>
      </c>
      <c r="R2910" s="37" t="s">
        <v>389</v>
      </c>
      <c r="S2910" s="37" t="s">
        <v>33</v>
      </c>
      <c r="T2910" s="31"/>
    </row>
    <row r="2911" spans="1:20">
      <c r="A2911" s="31"/>
      <c r="B2911" s="32"/>
      <c r="C2911" s="33"/>
      <c r="D2911" s="32" t="s">
        <v>6270</v>
      </c>
      <c r="E2911" s="33" t="s">
        <v>23</v>
      </c>
      <c r="F2911" s="34">
        <v>1</v>
      </c>
      <c r="G2911" s="35">
        <v>0</v>
      </c>
      <c r="H2911" s="35">
        <v>0</v>
      </c>
      <c r="I2911" s="35">
        <f>Tabla1[[#This Row],[P.U. M.N.]]*Tabla1[[#This Row],[CANTIDADES DE REFERENCIA]]</f>
        <v>0</v>
      </c>
      <c r="J2911" s="35">
        <f>Tabla1[[#This Row],[P.U. USD]]*Tabla1[[#This Row],[CANTIDADES DE REFERENCIA]]</f>
        <v>0</v>
      </c>
      <c r="K2911" s="36"/>
      <c r="L2911" s="36"/>
      <c r="M2911" s="36"/>
      <c r="N2911" s="37" t="s">
        <v>31</v>
      </c>
      <c r="O2911" s="37"/>
      <c r="P2911" s="38"/>
      <c r="Q2911" s="37" t="s">
        <v>6271</v>
      </c>
      <c r="R2911" s="37" t="s">
        <v>389</v>
      </c>
      <c r="S2911" s="37" t="s">
        <v>33</v>
      </c>
      <c r="T2911" s="31"/>
    </row>
    <row r="2912" spans="1:20">
      <c r="A2912" s="31"/>
      <c r="B2912" s="32"/>
      <c r="C2912" s="33"/>
      <c r="D2912" s="32" t="s">
        <v>6272</v>
      </c>
      <c r="E2912" s="33" t="s">
        <v>23</v>
      </c>
      <c r="F2912" s="34">
        <v>1</v>
      </c>
      <c r="G2912" s="35">
        <v>0</v>
      </c>
      <c r="H2912" s="35">
        <v>0</v>
      </c>
      <c r="I2912" s="35">
        <f>Tabla1[[#This Row],[P.U. M.N.]]*Tabla1[[#This Row],[CANTIDADES DE REFERENCIA]]</f>
        <v>0</v>
      </c>
      <c r="J2912" s="35">
        <f>Tabla1[[#This Row],[P.U. USD]]*Tabla1[[#This Row],[CANTIDADES DE REFERENCIA]]</f>
        <v>0</v>
      </c>
      <c r="K2912" s="36"/>
      <c r="L2912" s="36"/>
      <c r="M2912" s="36"/>
      <c r="N2912" s="37" t="s">
        <v>31</v>
      </c>
      <c r="O2912" s="37"/>
      <c r="P2912" s="38"/>
      <c r="Q2912" s="37" t="s">
        <v>6273</v>
      </c>
      <c r="R2912" s="37" t="s">
        <v>389</v>
      </c>
      <c r="S2912" s="37" t="s">
        <v>33</v>
      </c>
      <c r="T2912" s="31"/>
    </row>
    <row r="2913" spans="1:20">
      <c r="A2913" s="31"/>
      <c r="B2913" s="32"/>
      <c r="C2913" s="33"/>
      <c r="D2913" s="32" t="s">
        <v>6274</v>
      </c>
      <c r="E2913" s="33" t="s">
        <v>23</v>
      </c>
      <c r="F2913" s="34">
        <v>1</v>
      </c>
      <c r="G2913" s="35">
        <v>0</v>
      </c>
      <c r="H2913" s="35">
        <v>0</v>
      </c>
      <c r="I2913" s="35">
        <f>Tabla1[[#This Row],[P.U. M.N.]]*Tabla1[[#This Row],[CANTIDADES DE REFERENCIA]]</f>
        <v>0</v>
      </c>
      <c r="J2913" s="35">
        <f>Tabla1[[#This Row],[P.U. USD]]*Tabla1[[#This Row],[CANTIDADES DE REFERENCIA]]</f>
        <v>0</v>
      </c>
      <c r="K2913" s="36"/>
      <c r="L2913" s="36"/>
      <c r="M2913" s="36"/>
      <c r="N2913" s="37" t="s">
        <v>31</v>
      </c>
      <c r="O2913" s="37"/>
      <c r="P2913" s="38"/>
      <c r="Q2913" s="37" t="s">
        <v>6275</v>
      </c>
      <c r="R2913" s="37" t="s">
        <v>389</v>
      </c>
      <c r="S2913" s="37" t="s">
        <v>33</v>
      </c>
      <c r="T2913" s="31"/>
    </row>
    <row r="2914" spans="1:20">
      <c r="A2914" s="31"/>
      <c r="B2914" s="32"/>
      <c r="C2914" s="33"/>
      <c r="D2914" s="32" t="s">
        <v>6276</v>
      </c>
      <c r="E2914" s="33" t="s">
        <v>23</v>
      </c>
      <c r="F2914" s="34">
        <v>1</v>
      </c>
      <c r="G2914" s="35">
        <v>0</v>
      </c>
      <c r="H2914" s="35">
        <v>0</v>
      </c>
      <c r="I2914" s="35">
        <f>Tabla1[[#This Row],[P.U. M.N.]]*Tabla1[[#This Row],[CANTIDADES DE REFERENCIA]]</f>
        <v>0</v>
      </c>
      <c r="J2914" s="35">
        <f>Tabla1[[#This Row],[P.U. USD]]*Tabla1[[#This Row],[CANTIDADES DE REFERENCIA]]</f>
        <v>0</v>
      </c>
      <c r="K2914" s="36"/>
      <c r="L2914" s="36"/>
      <c r="M2914" s="36"/>
      <c r="N2914" s="37" t="s">
        <v>31</v>
      </c>
      <c r="O2914" s="37"/>
      <c r="P2914" s="38"/>
      <c r="Q2914" s="37" t="s">
        <v>6277</v>
      </c>
      <c r="R2914" s="37" t="s">
        <v>389</v>
      </c>
      <c r="S2914" s="37" t="s">
        <v>33</v>
      </c>
      <c r="T2914" s="31"/>
    </row>
    <row r="2915" spans="1:20">
      <c r="A2915" s="31"/>
      <c r="B2915" s="32"/>
      <c r="C2915" s="33"/>
      <c r="D2915" s="32" t="s">
        <v>6278</v>
      </c>
      <c r="E2915" s="33" t="s">
        <v>23</v>
      </c>
      <c r="F2915" s="34">
        <v>1</v>
      </c>
      <c r="G2915" s="35">
        <v>0</v>
      </c>
      <c r="H2915" s="35">
        <v>0</v>
      </c>
      <c r="I2915" s="35">
        <f>Tabla1[[#This Row],[P.U. M.N.]]*Tabla1[[#This Row],[CANTIDADES DE REFERENCIA]]</f>
        <v>0</v>
      </c>
      <c r="J2915" s="35">
        <f>Tabla1[[#This Row],[P.U. USD]]*Tabla1[[#This Row],[CANTIDADES DE REFERENCIA]]</f>
        <v>0</v>
      </c>
      <c r="K2915" s="36"/>
      <c r="L2915" s="36"/>
      <c r="M2915" s="36"/>
      <c r="N2915" s="37" t="s">
        <v>31</v>
      </c>
      <c r="O2915" s="37"/>
      <c r="P2915" s="38"/>
      <c r="Q2915" s="37" t="s">
        <v>6279</v>
      </c>
      <c r="R2915" s="37" t="s">
        <v>389</v>
      </c>
      <c r="S2915" s="37" t="s">
        <v>33</v>
      </c>
      <c r="T2915" s="31"/>
    </row>
    <row r="2916" spans="1:20">
      <c r="A2916" s="31"/>
      <c r="B2916" s="32"/>
      <c r="C2916" s="33"/>
      <c r="D2916" s="32" t="s">
        <v>6280</v>
      </c>
      <c r="E2916" s="33" t="s">
        <v>23</v>
      </c>
      <c r="F2916" s="34">
        <v>1</v>
      </c>
      <c r="G2916" s="35">
        <v>0</v>
      </c>
      <c r="H2916" s="35">
        <v>0</v>
      </c>
      <c r="I2916" s="35">
        <f>Tabla1[[#This Row],[P.U. M.N.]]*Tabla1[[#This Row],[CANTIDADES DE REFERENCIA]]</f>
        <v>0</v>
      </c>
      <c r="J2916" s="35">
        <f>Tabla1[[#This Row],[P.U. USD]]*Tabla1[[#This Row],[CANTIDADES DE REFERENCIA]]</f>
        <v>0</v>
      </c>
      <c r="K2916" s="36"/>
      <c r="L2916" s="36"/>
      <c r="M2916" s="36"/>
      <c r="N2916" s="37" t="s">
        <v>31</v>
      </c>
      <c r="O2916" s="37"/>
      <c r="P2916" s="38"/>
      <c r="Q2916" s="37" t="s">
        <v>6281</v>
      </c>
      <c r="R2916" s="37" t="s">
        <v>389</v>
      </c>
      <c r="S2916" s="37" t="s">
        <v>33</v>
      </c>
      <c r="T2916" s="31"/>
    </row>
    <row r="2917" spans="1:20">
      <c r="A2917" s="31"/>
      <c r="B2917" s="32"/>
      <c r="C2917" s="33"/>
      <c r="D2917" s="32" t="s">
        <v>6282</v>
      </c>
      <c r="E2917" s="33" t="s">
        <v>23</v>
      </c>
      <c r="F2917" s="34">
        <v>1</v>
      </c>
      <c r="G2917" s="35">
        <v>0</v>
      </c>
      <c r="H2917" s="35">
        <v>0</v>
      </c>
      <c r="I2917" s="35">
        <f>Tabla1[[#This Row],[P.U. M.N.]]*Tabla1[[#This Row],[CANTIDADES DE REFERENCIA]]</f>
        <v>0</v>
      </c>
      <c r="J2917" s="35">
        <f>Tabla1[[#This Row],[P.U. USD]]*Tabla1[[#This Row],[CANTIDADES DE REFERENCIA]]</f>
        <v>0</v>
      </c>
      <c r="K2917" s="36"/>
      <c r="L2917" s="36"/>
      <c r="M2917" s="36"/>
      <c r="N2917" s="37" t="s">
        <v>31</v>
      </c>
      <c r="O2917" s="37"/>
      <c r="P2917" s="38"/>
      <c r="Q2917" s="37" t="s">
        <v>6283</v>
      </c>
      <c r="R2917" s="37" t="s">
        <v>389</v>
      </c>
      <c r="S2917" s="37" t="s">
        <v>33</v>
      </c>
      <c r="T2917" s="31"/>
    </row>
    <row r="2918" spans="1:20">
      <c r="A2918" s="31"/>
      <c r="B2918" s="32"/>
      <c r="C2918" s="33"/>
      <c r="D2918" s="32" t="s">
        <v>6284</v>
      </c>
      <c r="E2918" s="33" t="s">
        <v>23</v>
      </c>
      <c r="F2918" s="34">
        <v>1</v>
      </c>
      <c r="G2918" s="35">
        <v>0</v>
      </c>
      <c r="H2918" s="35">
        <v>0</v>
      </c>
      <c r="I2918" s="35">
        <f>Tabla1[[#This Row],[P.U. M.N.]]*Tabla1[[#This Row],[CANTIDADES DE REFERENCIA]]</f>
        <v>0</v>
      </c>
      <c r="J2918" s="35">
        <f>Tabla1[[#This Row],[P.U. USD]]*Tabla1[[#This Row],[CANTIDADES DE REFERENCIA]]</f>
        <v>0</v>
      </c>
      <c r="K2918" s="36"/>
      <c r="L2918" s="36"/>
      <c r="M2918" s="36"/>
      <c r="N2918" s="37" t="s">
        <v>31</v>
      </c>
      <c r="O2918" s="37"/>
      <c r="P2918" s="38"/>
      <c r="Q2918" s="37" t="s">
        <v>6285</v>
      </c>
      <c r="R2918" s="37" t="s">
        <v>389</v>
      </c>
      <c r="S2918" s="37" t="s">
        <v>33</v>
      </c>
      <c r="T2918" s="31"/>
    </row>
    <row r="2919" spans="1:20">
      <c r="A2919" s="31"/>
      <c r="B2919" s="32"/>
      <c r="C2919" s="33"/>
      <c r="D2919" s="32" t="s">
        <v>6286</v>
      </c>
      <c r="E2919" s="33" t="s">
        <v>23</v>
      </c>
      <c r="F2919" s="34">
        <v>1</v>
      </c>
      <c r="G2919" s="35">
        <v>0</v>
      </c>
      <c r="H2919" s="35">
        <v>0</v>
      </c>
      <c r="I2919" s="35">
        <f>Tabla1[[#This Row],[P.U. M.N.]]*Tabla1[[#This Row],[CANTIDADES DE REFERENCIA]]</f>
        <v>0</v>
      </c>
      <c r="J2919" s="35">
        <f>Tabla1[[#This Row],[P.U. USD]]*Tabla1[[#This Row],[CANTIDADES DE REFERENCIA]]</f>
        <v>0</v>
      </c>
      <c r="K2919" s="36"/>
      <c r="L2919" s="36"/>
      <c r="M2919" s="36"/>
      <c r="N2919" s="37" t="s">
        <v>31</v>
      </c>
      <c r="O2919" s="37"/>
      <c r="P2919" s="38"/>
      <c r="Q2919" s="37" t="s">
        <v>6287</v>
      </c>
      <c r="R2919" s="37" t="s">
        <v>389</v>
      </c>
      <c r="S2919" s="37" t="s">
        <v>33</v>
      </c>
      <c r="T2919" s="31"/>
    </row>
    <row r="2920" spans="1:20">
      <c r="A2920" s="31"/>
      <c r="B2920" s="32"/>
      <c r="C2920" s="33"/>
      <c r="D2920" s="32" t="s">
        <v>6288</v>
      </c>
      <c r="E2920" s="33" t="s">
        <v>23</v>
      </c>
      <c r="F2920" s="34">
        <v>1</v>
      </c>
      <c r="G2920" s="35">
        <v>0</v>
      </c>
      <c r="H2920" s="35">
        <v>0</v>
      </c>
      <c r="I2920" s="35">
        <f>Tabla1[[#This Row],[P.U. M.N.]]*Tabla1[[#This Row],[CANTIDADES DE REFERENCIA]]</f>
        <v>0</v>
      </c>
      <c r="J2920" s="35">
        <f>Tabla1[[#This Row],[P.U. USD]]*Tabla1[[#This Row],[CANTIDADES DE REFERENCIA]]</f>
        <v>0</v>
      </c>
      <c r="K2920" s="36"/>
      <c r="L2920" s="36"/>
      <c r="M2920" s="36"/>
      <c r="N2920" s="37" t="s">
        <v>31</v>
      </c>
      <c r="O2920" s="37"/>
      <c r="P2920" s="38"/>
      <c r="Q2920" s="37" t="s">
        <v>6289</v>
      </c>
      <c r="R2920" s="37" t="s">
        <v>389</v>
      </c>
      <c r="S2920" s="37" t="s">
        <v>33</v>
      </c>
      <c r="T2920" s="31"/>
    </row>
    <row r="2921" spans="1:20">
      <c r="A2921" s="31"/>
      <c r="B2921" s="32"/>
      <c r="C2921" s="33"/>
      <c r="D2921" s="32" t="s">
        <v>6290</v>
      </c>
      <c r="E2921" s="33" t="s">
        <v>23</v>
      </c>
      <c r="F2921" s="34">
        <v>1</v>
      </c>
      <c r="G2921" s="35">
        <v>0</v>
      </c>
      <c r="H2921" s="35">
        <v>0</v>
      </c>
      <c r="I2921" s="35">
        <f>Tabla1[[#This Row],[P.U. M.N.]]*Tabla1[[#This Row],[CANTIDADES DE REFERENCIA]]</f>
        <v>0</v>
      </c>
      <c r="J2921" s="35">
        <f>Tabla1[[#This Row],[P.U. USD]]*Tabla1[[#This Row],[CANTIDADES DE REFERENCIA]]</f>
        <v>0</v>
      </c>
      <c r="K2921" s="36"/>
      <c r="L2921" s="36"/>
      <c r="M2921" s="36"/>
      <c r="N2921" s="37" t="s">
        <v>31</v>
      </c>
      <c r="O2921" s="37"/>
      <c r="P2921" s="38"/>
      <c r="Q2921" s="37" t="s">
        <v>6291</v>
      </c>
      <c r="R2921" s="37" t="s">
        <v>389</v>
      </c>
      <c r="S2921" s="37" t="s">
        <v>33</v>
      </c>
      <c r="T2921" s="31"/>
    </row>
    <row r="2922" spans="1:20">
      <c r="A2922" s="31"/>
      <c r="B2922" s="32"/>
      <c r="C2922" s="33"/>
      <c r="D2922" s="32" t="s">
        <v>6292</v>
      </c>
      <c r="E2922" s="33" t="s">
        <v>23</v>
      </c>
      <c r="F2922" s="34">
        <v>1</v>
      </c>
      <c r="G2922" s="35">
        <v>0</v>
      </c>
      <c r="H2922" s="35">
        <v>0</v>
      </c>
      <c r="I2922" s="35">
        <f>Tabla1[[#This Row],[P.U. M.N.]]*Tabla1[[#This Row],[CANTIDADES DE REFERENCIA]]</f>
        <v>0</v>
      </c>
      <c r="J2922" s="35">
        <f>Tabla1[[#This Row],[P.U. USD]]*Tabla1[[#This Row],[CANTIDADES DE REFERENCIA]]</f>
        <v>0</v>
      </c>
      <c r="K2922" s="36"/>
      <c r="L2922" s="36"/>
      <c r="M2922" s="36"/>
      <c r="N2922" s="37" t="s">
        <v>31</v>
      </c>
      <c r="O2922" s="37"/>
      <c r="P2922" s="38"/>
      <c r="Q2922" s="37" t="s">
        <v>6293</v>
      </c>
      <c r="R2922" s="37" t="s">
        <v>389</v>
      </c>
      <c r="S2922" s="37" t="s">
        <v>33</v>
      </c>
      <c r="T2922" s="31"/>
    </row>
    <row r="2923" spans="1:20">
      <c r="A2923" s="31"/>
      <c r="B2923" s="32"/>
      <c r="C2923" s="33"/>
      <c r="D2923" s="32" t="s">
        <v>6294</v>
      </c>
      <c r="E2923" s="33" t="s">
        <v>23</v>
      </c>
      <c r="F2923" s="34">
        <v>1</v>
      </c>
      <c r="G2923" s="35">
        <v>0</v>
      </c>
      <c r="H2923" s="35">
        <v>0</v>
      </c>
      <c r="I2923" s="35">
        <f>Tabla1[[#This Row],[P.U. M.N.]]*Tabla1[[#This Row],[CANTIDADES DE REFERENCIA]]</f>
        <v>0</v>
      </c>
      <c r="J2923" s="35">
        <f>Tabla1[[#This Row],[P.U. USD]]*Tabla1[[#This Row],[CANTIDADES DE REFERENCIA]]</f>
        <v>0</v>
      </c>
      <c r="K2923" s="36"/>
      <c r="L2923" s="36"/>
      <c r="M2923" s="36"/>
      <c r="N2923" s="37" t="s">
        <v>31</v>
      </c>
      <c r="O2923" s="37"/>
      <c r="P2923" s="38"/>
      <c r="Q2923" s="37" t="s">
        <v>6295</v>
      </c>
      <c r="R2923" s="37" t="s">
        <v>389</v>
      </c>
      <c r="S2923" s="37" t="s">
        <v>33</v>
      </c>
      <c r="T2923" s="31"/>
    </row>
    <row r="2924" spans="1:20">
      <c r="A2924" s="31"/>
      <c r="B2924" s="32"/>
      <c r="C2924" s="33"/>
      <c r="D2924" s="32" t="s">
        <v>6296</v>
      </c>
      <c r="E2924" s="33" t="s">
        <v>2699</v>
      </c>
      <c r="F2924" s="34">
        <v>1</v>
      </c>
      <c r="G2924" s="35">
        <v>0</v>
      </c>
      <c r="H2924" s="35">
        <v>0</v>
      </c>
      <c r="I2924" s="35">
        <f>Tabla1[[#This Row],[P.U. M.N.]]*Tabla1[[#This Row],[CANTIDADES DE REFERENCIA]]</f>
        <v>0</v>
      </c>
      <c r="J2924" s="35">
        <f>Tabla1[[#This Row],[P.U. USD]]*Tabla1[[#This Row],[CANTIDADES DE REFERENCIA]]</f>
        <v>0</v>
      </c>
      <c r="K2924" s="36"/>
      <c r="L2924" s="36"/>
      <c r="M2924" s="36"/>
      <c r="N2924" s="37" t="s">
        <v>31</v>
      </c>
      <c r="O2924" s="37"/>
      <c r="P2924" s="38"/>
      <c r="Q2924" s="37" t="s">
        <v>6297</v>
      </c>
      <c r="R2924" s="37" t="s">
        <v>389</v>
      </c>
      <c r="S2924" s="37" t="s">
        <v>33</v>
      </c>
      <c r="T2924" s="31"/>
    </row>
    <row r="2925" spans="1:20">
      <c r="A2925" s="31"/>
      <c r="B2925" s="32"/>
      <c r="C2925" s="33"/>
      <c r="D2925" s="32" t="s">
        <v>6298</v>
      </c>
      <c r="E2925" s="33" t="s">
        <v>2699</v>
      </c>
      <c r="F2925" s="34">
        <v>1</v>
      </c>
      <c r="G2925" s="35">
        <v>0</v>
      </c>
      <c r="H2925" s="35">
        <v>0</v>
      </c>
      <c r="I2925" s="35">
        <f>Tabla1[[#This Row],[P.U. M.N.]]*Tabla1[[#This Row],[CANTIDADES DE REFERENCIA]]</f>
        <v>0</v>
      </c>
      <c r="J2925" s="35">
        <f>Tabla1[[#This Row],[P.U. USD]]*Tabla1[[#This Row],[CANTIDADES DE REFERENCIA]]</f>
        <v>0</v>
      </c>
      <c r="K2925" s="36"/>
      <c r="L2925" s="36"/>
      <c r="M2925" s="36"/>
      <c r="N2925" s="37" t="s">
        <v>31</v>
      </c>
      <c r="O2925" s="37"/>
      <c r="P2925" s="38"/>
      <c r="Q2925" s="37" t="s">
        <v>6299</v>
      </c>
      <c r="R2925" s="37" t="s">
        <v>389</v>
      </c>
      <c r="S2925" s="37" t="s">
        <v>33</v>
      </c>
      <c r="T2925" s="31"/>
    </row>
    <row r="2926" spans="1:20">
      <c r="A2926" s="31"/>
      <c r="B2926" s="32"/>
      <c r="C2926" s="33"/>
      <c r="D2926" s="32" t="s">
        <v>6300</v>
      </c>
      <c r="E2926" s="33" t="s">
        <v>23</v>
      </c>
      <c r="F2926" s="34">
        <v>1</v>
      </c>
      <c r="G2926" s="35">
        <v>0</v>
      </c>
      <c r="H2926" s="35">
        <v>0</v>
      </c>
      <c r="I2926" s="35">
        <f>Tabla1[[#This Row],[P.U. M.N.]]*Tabla1[[#This Row],[CANTIDADES DE REFERENCIA]]</f>
        <v>0</v>
      </c>
      <c r="J2926" s="35">
        <f>Tabla1[[#This Row],[P.U. USD]]*Tabla1[[#This Row],[CANTIDADES DE REFERENCIA]]</f>
        <v>0</v>
      </c>
      <c r="K2926" s="36"/>
      <c r="L2926" s="36"/>
      <c r="M2926" s="36"/>
      <c r="N2926" s="37" t="s">
        <v>31</v>
      </c>
      <c r="O2926" s="37"/>
      <c r="P2926" s="38"/>
      <c r="Q2926" s="37" t="s">
        <v>6301</v>
      </c>
      <c r="R2926" s="37" t="s">
        <v>389</v>
      </c>
      <c r="S2926" s="37" t="s">
        <v>33</v>
      </c>
      <c r="T2926" s="31"/>
    </row>
    <row r="2927" spans="1:20">
      <c r="A2927" s="31"/>
      <c r="B2927" s="32"/>
      <c r="C2927" s="33"/>
      <c r="D2927" s="32" t="s">
        <v>6302</v>
      </c>
      <c r="E2927" s="33" t="s">
        <v>23</v>
      </c>
      <c r="F2927" s="34">
        <v>1</v>
      </c>
      <c r="G2927" s="35">
        <v>0</v>
      </c>
      <c r="H2927" s="35">
        <v>0</v>
      </c>
      <c r="I2927" s="35">
        <f>Tabla1[[#This Row],[P.U. M.N.]]*Tabla1[[#This Row],[CANTIDADES DE REFERENCIA]]</f>
        <v>0</v>
      </c>
      <c r="J2927" s="35">
        <f>Tabla1[[#This Row],[P.U. USD]]*Tabla1[[#This Row],[CANTIDADES DE REFERENCIA]]</f>
        <v>0</v>
      </c>
      <c r="K2927" s="36"/>
      <c r="L2927" s="36"/>
      <c r="M2927" s="36"/>
      <c r="N2927" s="37" t="s">
        <v>31</v>
      </c>
      <c r="O2927" s="37"/>
      <c r="P2927" s="38"/>
      <c r="Q2927" s="37" t="s">
        <v>6303</v>
      </c>
      <c r="R2927" s="37" t="s">
        <v>389</v>
      </c>
      <c r="S2927" s="37" t="s">
        <v>33</v>
      </c>
      <c r="T2927" s="31"/>
    </row>
    <row r="2928" spans="1:20">
      <c r="A2928" s="31"/>
      <c r="B2928" s="32"/>
      <c r="C2928" s="33"/>
      <c r="D2928" s="32" t="s">
        <v>6304</v>
      </c>
      <c r="E2928" s="33" t="s">
        <v>23</v>
      </c>
      <c r="F2928" s="34">
        <v>1</v>
      </c>
      <c r="G2928" s="35">
        <v>0</v>
      </c>
      <c r="H2928" s="35">
        <v>0</v>
      </c>
      <c r="I2928" s="35">
        <f>Tabla1[[#This Row],[P.U. M.N.]]*Tabla1[[#This Row],[CANTIDADES DE REFERENCIA]]</f>
        <v>0</v>
      </c>
      <c r="J2928" s="35">
        <f>Tabla1[[#This Row],[P.U. USD]]*Tabla1[[#This Row],[CANTIDADES DE REFERENCIA]]</f>
        <v>0</v>
      </c>
      <c r="K2928" s="36"/>
      <c r="L2928" s="36"/>
      <c r="M2928" s="36"/>
      <c r="N2928" s="37" t="s">
        <v>31</v>
      </c>
      <c r="O2928" s="37"/>
      <c r="P2928" s="38"/>
      <c r="Q2928" s="37" t="s">
        <v>6305</v>
      </c>
      <c r="R2928" s="37" t="s">
        <v>389</v>
      </c>
      <c r="S2928" s="37" t="s">
        <v>33</v>
      </c>
      <c r="T2928" s="31"/>
    </row>
    <row r="2929" spans="1:20">
      <c r="A2929" s="31"/>
      <c r="B2929" s="32"/>
      <c r="C2929" s="33"/>
      <c r="D2929" s="32" t="s">
        <v>6306</v>
      </c>
      <c r="E2929" s="33" t="s">
        <v>23</v>
      </c>
      <c r="F2929" s="34">
        <v>1</v>
      </c>
      <c r="G2929" s="35">
        <v>0</v>
      </c>
      <c r="H2929" s="35">
        <v>0</v>
      </c>
      <c r="I2929" s="35">
        <f>Tabla1[[#This Row],[P.U. M.N.]]*Tabla1[[#This Row],[CANTIDADES DE REFERENCIA]]</f>
        <v>0</v>
      </c>
      <c r="J2929" s="35">
        <f>Tabla1[[#This Row],[P.U. USD]]*Tabla1[[#This Row],[CANTIDADES DE REFERENCIA]]</f>
        <v>0</v>
      </c>
      <c r="K2929" s="36"/>
      <c r="L2929" s="36"/>
      <c r="M2929" s="36"/>
      <c r="N2929" s="37" t="s">
        <v>31</v>
      </c>
      <c r="O2929" s="37"/>
      <c r="P2929" s="38"/>
      <c r="Q2929" s="37" t="s">
        <v>6307</v>
      </c>
      <c r="R2929" s="37" t="s">
        <v>389</v>
      </c>
      <c r="S2929" s="37" t="s">
        <v>33</v>
      </c>
      <c r="T2929" s="31"/>
    </row>
    <row r="2930" spans="1:20">
      <c r="A2930" s="31"/>
      <c r="B2930" s="32"/>
      <c r="C2930" s="33"/>
      <c r="D2930" s="32" t="s">
        <v>6308</v>
      </c>
      <c r="E2930" s="33" t="s">
        <v>23</v>
      </c>
      <c r="F2930" s="34">
        <v>1</v>
      </c>
      <c r="G2930" s="35">
        <v>0</v>
      </c>
      <c r="H2930" s="35">
        <v>0</v>
      </c>
      <c r="I2930" s="35">
        <f>Tabla1[[#This Row],[P.U. M.N.]]*Tabla1[[#This Row],[CANTIDADES DE REFERENCIA]]</f>
        <v>0</v>
      </c>
      <c r="J2930" s="35">
        <f>Tabla1[[#This Row],[P.U. USD]]*Tabla1[[#This Row],[CANTIDADES DE REFERENCIA]]</f>
        <v>0</v>
      </c>
      <c r="K2930" s="36"/>
      <c r="L2930" s="36"/>
      <c r="M2930" s="36"/>
      <c r="N2930" s="37" t="s">
        <v>31</v>
      </c>
      <c r="O2930" s="37"/>
      <c r="P2930" s="38"/>
      <c r="Q2930" s="37" t="s">
        <v>6309</v>
      </c>
      <c r="R2930" s="37" t="s">
        <v>389</v>
      </c>
      <c r="S2930" s="37" t="s">
        <v>33</v>
      </c>
      <c r="T2930" s="31"/>
    </row>
    <row r="2931" spans="1:20">
      <c r="A2931" s="31"/>
      <c r="B2931" s="32"/>
      <c r="C2931" s="33"/>
      <c r="D2931" s="32" t="s">
        <v>6310</v>
      </c>
      <c r="E2931" s="33" t="s">
        <v>23</v>
      </c>
      <c r="F2931" s="34">
        <v>1</v>
      </c>
      <c r="G2931" s="35">
        <v>0</v>
      </c>
      <c r="H2931" s="35">
        <v>0</v>
      </c>
      <c r="I2931" s="35">
        <f>Tabla1[[#This Row],[P.U. M.N.]]*Tabla1[[#This Row],[CANTIDADES DE REFERENCIA]]</f>
        <v>0</v>
      </c>
      <c r="J2931" s="35">
        <f>Tabla1[[#This Row],[P.U. USD]]*Tabla1[[#This Row],[CANTIDADES DE REFERENCIA]]</f>
        <v>0</v>
      </c>
      <c r="K2931" s="36"/>
      <c r="L2931" s="36"/>
      <c r="M2931" s="36"/>
      <c r="N2931" s="37" t="s">
        <v>31</v>
      </c>
      <c r="O2931" s="37"/>
      <c r="P2931" s="38"/>
      <c r="Q2931" s="37" t="s">
        <v>6311</v>
      </c>
      <c r="R2931" s="37" t="s">
        <v>389</v>
      </c>
      <c r="S2931" s="37" t="s">
        <v>33</v>
      </c>
      <c r="T2931" s="31"/>
    </row>
    <row r="2932" spans="1:20">
      <c r="A2932" s="31"/>
      <c r="B2932" s="32"/>
      <c r="C2932" s="33"/>
      <c r="D2932" s="32" t="s">
        <v>6312</v>
      </c>
      <c r="E2932" s="33" t="s">
        <v>23</v>
      </c>
      <c r="F2932" s="34">
        <v>1</v>
      </c>
      <c r="G2932" s="35">
        <v>0</v>
      </c>
      <c r="H2932" s="35">
        <v>0</v>
      </c>
      <c r="I2932" s="35">
        <f>Tabla1[[#This Row],[P.U. M.N.]]*Tabla1[[#This Row],[CANTIDADES DE REFERENCIA]]</f>
        <v>0</v>
      </c>
      <c r="J2932" s="35">
        <f>Tabla1[[#This Row],[P.U. USD]]*Tabla1[[#This Row],[CANTIDADES DE REFERENCIA]]</f>
        <v>0</v>
      </c>
      <c r="K2932" s="36"/>
      <c r="L2932" s="36"/>
      <c r="M2932" s="36"/>
      <c r="N2932" s="37" t="s">
        <v>31</v>
      </c>
      <c r="O2932" s="37"/>
      <c r="P2932" s="38"/>
      <c r="Q2932" s="37" t="s">
        <v>6313</v>
      </c>
      <c r="R2932" s="37" t="s">
        <v>389</v>
      </c>
      <c r="S2932" s="37" t="s">
        <v>33</v>
      </c>
      <c r="T2932" s="31"/>
    </row>
    <row r="2933" spans="1:20">
      <c r="A2933" s="31"/>
      <c r="B2933" s="32"/>
      <c r="C2933" s="33"/>
      <c r="D2933" s="32" t="s">
        <v>6314</v>
      </c>
      <c r="E2933" s="33" t="s">
        <v>23</v>
      </c>
      <c r="F2933" s="34">
        <v>1</v>
      </c>
      <c r="G2933" s="35">
        <v>0</v>
      </c>
      <c r="H2933" s="35">
        <v>0</v>
      </c>
      <c r="I2933" s="35">
        <f>Tabla1[[#This Row],[P.U. M.N.]]*Tabla1[[#This Row],[CANTIDADES DE REFERENCIA]]</f>
        <v>0</v>
      </c>
      <c r="J2933" s="35">
        <f>Tabla1[[#This Row],[P.U. USD]]*Tabla1[[#This Row],[CANTIDADES DE REFERENCIA]]</f>
        <v>0</v>
      </c>
      <c r="K2933" s="36"/>
      <c r="L2933" s="36"/>
      <c r="M2933" s="36"/>
      <c r="N2933" s="37" t="s">
        <v>31</v>
      </c>
      <c r="O2933" s="37"/>
      <c r="P2933" s="38"/>
      <c r="Q2933" s="37" t="s">
        <v>6315</v>
      </c>
      <c r="R2933" s="37" t="s">
        <v>389</v>
      </c>
      <c r="S2933" s="37" t="s">
        <v>33</v>
      </c>
      <c r="T2933" s="31"/>
    </row>
    <row r="2934" spans="1:20">
      <c r="A2934" s="31"/>
      <c r="B2934" s="32"/>
      <c r="C2934" s="33"/>
      <c r="D2934" s="32" t="s">
        <v>6316</v>
      </c>
      <c r="E2934" s="33" t="s">
        <v>23</v>
      </c>
      <c r="F2934" s="34">
        <v>1</v>
      </c>
      <c r="G2934" s="35">
        <v>0</v>
      </c>
      <c r="H2934" s="35">
        <v>0</v>
      </c>
      <c r="I2934" s="35">
        <f>Tabla1[[#This Row],[P.U. M.N.]]*Tabla1[[#This Row],[CANTIDADES DE REFERENCIA]]</f>
        <v>0</v>
      </c>
      <c r="J2934" s="35">
        <f>Tabla1[[#This Row],[P.U. USD]]*Tabla1[[#This Row],[CANTIDADES DE REFERENCIA]]</f>
        <v>0</v>
      </c>
      <c r="K2934" s="36"/>
      <c r="L2934" s="36"/>
      <c r="M2934" s="36"/>
      <c r="N2934" s="37" t="s">
        <v>31</v>
      </c>
      <c r="O2934" s="37"/>
      <c r="P2934" s="38"/>
      <c r="Q2934" s="37" t="s">
        <v>6317</v>
      </c>
      <c r="R2934" s="37" t="s">
        <v>389</v>
      </c>
      <c r="S2934" s="37" t="s">
        <v>33</v>
      </c>
      <c r="T2934" s="31"/>
    </row>
    <row r="2935" spans="1:20">
      <c r="A2935" s="31"/>
      <c r="B2935" s="32"/>
      <c r="C2935" s="33"/>
      <c r="D2935" s="32" t="s">
        <v>6318</v>
      </c>
      <c r="E2935" s="33" t="s">
        <v>23</v>
      </c>
      <c r="F2935" s="34">
        <v>1</v>
      </c>
      <c r="G2935" s="35">
        <v>0</v>
      </c>
      <c r="H2935" s="35">
        <v>0</v>
      </c>
      <c r="I2935" s="35">
        <f>Tabla1[[#This Row],[P.U. M.N.]]*Tabla1[[#This Row],[CANTIDADES DE REFERENCIA]]</f>
        <v>0</v>
      </c>
      <c r="J2935" s="35">
        <f>Tabla1[[#This Row],[P.U. USD]]*Tabla1[[#This Row],[CANTIDADES DE REFERENCIA]]</f>
        <v>0</v>
      </c>
      <c r="K2935" s="36"/>
      <c r="L2935" s="36"/>
      <c r="M2935" s="36"/>
      <c r="N2935" s="37" t="s">
        <v>31</v>
      </c>
      <c r="O2935" s="37"/>
      <c r="P2935" s="38"/>
      <c r="Q2935" s="37" t="s">
        <v>6319</v>
      </c>
      <c r="R2935" s="37" t="s">
        <v>389</v>
      </c>
      <c r="S2935" s="37" t="s">
        <v>33</v>
      </c>
      <c r="T2935" s="31"/>
    </row>
    <row r="2936" spans="1:20">
      <c r="A2936" s="31"/>
      <c r="B2936" s="32"/>
      <c r="C2936" s="33"/>
      <c r="D2936" s="32" t="s">
        <v>6320</v>
      </c>
      <c r="E2936" s="33" t="s">
        <v>23</v>
      </c>
      <c r="F2936" s="34">
        <v>1</v>
      </c>
      <c r="G2936" s="35">
        <v>0</v>
      </c>
      <c r="H2936" s="35">
        <v>0</v>
      </c>
      <c r="I2936" s="35">
        <f>Tabla1[[#This Row],[P.U. M.N.]]*Tabla1[[#This Row],[CANTIDADES DE REFERENCIA]]</f>
        <v>0</v>
      </c>
      <c r="J2936" s="35">
        <f>Tabla1[[#This Row],[P.U. USD]]*Tabla1[[#This Row],[CANTIDADES DE REFERENCIA]]</f>
        <v>0</v>
      </c>
      <c r="K2936" s="36"/>
      <c r="L2936" s="36"/>
      <c r="M2936" s="36"/>
      <c r="N2936" s="37" t="s">
        <v>31</v>
      </c>
      <c r="O2936" s="37"/>
      <c r="P2936" s="38"/>
      <c r="Q2936" s="37" t="s">
        <v>6321</v>
      </c>
      <c r="R2936" s="37" t="s">
        <v>389</v>
      </c>
      <c r="S2936" s="37" t="s">
        <v>33</v>
      </c>
      <c r="T2936" s="31"/>
    </row>
    <row r="2937" spans="1:20">
      <c r="A2937" s="31"/>
      <c r="B2937" s="32"/>
      <c r="C2937" s="33"/>
      <c r="D2937" s="32" t="s">
        <v>6322</v>
      </c>
      <c r="E2937" s="33" t="s">
        <v>23</v>
      </c>
      <c r="F2937" s="34">
        <v>1</v>
      </c>
      <c r="G2937" s="35">
        <v>0</v>
      </c>
      <c r="H2937" s="35">
        <v>0</v>
      </c>
      <c r="I2937" s="35">
        <f>Tabla1[[#This Row],[P.U. M.N.]]*Tabla1[[#This Row],[CANTIDADES DE REFERENCIA]]</f>
        <v>0</v>
      </c>
      <c r="J2937" s="35">
        <f>Tabla1[[#This Row],[P.U. USD]]*Tabla1[[#This Row],[CANTIDADES DE REFERENCIA]]</f>
        <v>0</v>
      </c>
      <c r="K2937" s="36"/>
      <c r="L2937" s="36"/>
      <c r="M2937" s="36"/>
      <c r="N2937" s="37" t="s">
        <v>31</v>
      </c>
      <c r="O2937" s="37"/>
      <c r="P2937" s="38"/>
      <c r="Q2937" s="37" t="s">
        <v>6323</v>
      </c>
      <c r="R2937" s="37" t="s">
        <v>389</v>
      </c>
      <c r="S2937" s="37" t="s">
        <v>33</v>
      </c>
      <c r="T2937" s="31"/>
    </row>
    <row r="2938" spans="1:20">
      <c r="A2938" s="31"/>
      <c r="B2938" s="32"/>
      <c r="C2938" s="33"/>
      <c r="D2938" s="32" t="s">
        <v>6324</v>
      </c>
      <c r="E2938" s="33" t="s">
        <v>23</v>
      </c>
      <c r="F2938" s="34">
        <v>1</v>
      </c>
      <c r="G2938" s="35">
        <v>0</v>
      </c>
      <c r="H2938" s="35">
        <v>0</v>
      </c>
      <c r="I2938" s="35">
        <f>Tabla1[[#This Row],[P.U. M.N.]]*Tabla1[[#This Row],[CANTIDADES DE REFERENCIA]]</f>
        <v>0</v>
      </c>
      <c r="J2938" s="35">
        <f>Tabla1[[#This Row],[P.U. USD]]*Tabla1[[#This Row],[CANTIDADES DE REFERENCIA]]</f>
        <v>0</v>
      </c>
      <c r="K2938" s="36"/>
      <c r="L2938" s="36"/>
      <c r="M2938" s="36"/>
      <c r="N2938" s="37" t="s">
        <v>31</v>
      </c>
      <c r="O2938" s="37"/>
      <c r="P2938" s="38"/>
      <c r="Q2938" s="37" t="s">
        <v>6325</v>
      </c>
      <c r="R2938" s="37" t="s">
        <v>389</v>
      </c>
      <c r="S2938" s="37" t="s">
        <v>33</v>
      </c>
      <c r="T2938" s="31"/>
    </row>
    <row r="2939" spans="1:20">
      <c r="A2939" s="31"/>
      <c r="B2939" s="32"/>
      <c r="C2939" s="33"/>
      <c r="D2939" s="32" t="s">
        <v>6326</v>
      </c>
      <c r="E2939" s="33" t="s">
        <v>23</v>
      </c>
      <c r="F2939" s="34">
        <v>1</v>
      </c>
      <c r="G2939" s="35">
        <v>0</v>
      </c>
      <c r="H2939" s="35">
        <v>0</v>
      </c>
      <c r="I2939" s="35">
        <f>Tabla1[[#This Row],[P.U. M.N.]]*Tabla1[[#This Row],[CANTIDADES DE REFERENCIA]]</f>
        <v>0</v>
      </c>
      <c r="J2939" s="35">
        <f>Tabla1[[#This Row],[P.U. USD]]*Tabla1[[#This Row],[CANTIDADES DE REFERENCIA]]</f>
        <v>0</v>
      </c>
      <c r="K2939" s="36"/>
      <c r="L2939" s="36"/>
      <c r="M2939" s="36"/>
      <c r="N2939" s="37" t="s">
        <v>31</v>
      </c>
      <c r="O2939" s="37"/>
      <c r="P2939" s="38"/>
      <c r="Q2939" s="37" t="s">
        <v>6327</v>
      </c>
      <c r="R2939" s="37" t="s">
        <v>389</v>
      </c>
      <c r="S2939" s="37" t="s">
        <v>33</v>
      </c>
      <c r="T2939" s="31"/>
    </row>
    <row r="2940" spans="1:20">
      <c r="A2940" s="31"/>
      <c r="B2940" s="32"/>
      <c r="C2940" s="33"/>
      <c r="D2940" s="32" t="s">
        <v>6328</v>
      </c>
      <c r="E2940" s="33" t="s">
        <v>23</v>
      </c>
      <c r="F2940" s="34">
        <v>1</v>
      </c>
      <c r="G2940" s="35">
        <v>0</v>
      </c>
      <c r="H2940" s="35">
        <v>0</v>
      </c>
      <c r="I2940" s="35">
        <f>Tabla1[[#This Row],[P.U. M.N.]]*Tabla1[[#This Row],[CANTIDADES DE REFERENCIA]]</f>
        <v>0</v>
      </c>
      <c r="J2940" s="35">
        <f>Tabla1[[#This Row],[P.U. USD]]*Tabla1[[#This Row],[CANTIDADES DE REFERENCIA]]</f>
        <v>0</v>
      </c>
      <c r="K2940" s="36"/>
      <c r="L2940" s="36"/>
      <c r="M2940" s="36"/>
      <c r="N2940" s="37" t="s">
        <v>31</v>
      </c>
      <c r="O2940" s="37"/>
      <c r="P2940" s="38"/>
      <c r="Q2940" s="37" t="s">
        <v>6329</v>
      </c>
      <c r="R2940" s="37" t="s">
        <v>389</v>
      </c>
      <c r="S2940" s="37" t="s">
        <v>33</v>
      </c>
      <c r="T2940" s="31"/>
    </row>
    <row r="2941" spans="1:20">
      <c r="A2941" s="31"/>
      <c r="B2941" s="32"/>
      <c r="C2941" s="33"/>
      <c r="D2941" s="32" t="s">
        <v>6330</v>
      </c>
      <c r="E2941" s="33" t="s">
        <v>23</v>
      </c>
      <c r="F2941" s="34">
        <v>1</v>
      </c>
      <c r="G2941" s="35">
        <v>0</v>
      </c>
      <c r="H2941" s="35">
        <v>0</v>
      </c>
      <c r="I2941" s="35">
        <f>Tabla1[[#This Row],[P.U. M.N.]]*Tabla1[[#This Row],[CANTIDADES DE REFERENCIA]]</f>
        <v>0</v>
      </c>
      <c r="J2941" s="35">
        <f>Tabla1[[#This Row],[P.U. USD]]*Tabla1[[#This Row],[CANTIDADES DE REFERENCIA]]</f>
        <v>0</v>
      </c>
      <c r="K2941" s="36"/>
      <c r="L2941" s="36"/>
      <c r="M2941" s="36"/>
      <c r="N2941" s="37" t="s">
        <v>31</v>
      </c>
      <c r="O2941" s="37"/>
      <c r="P2941" s="38"/>
      <c r="Q2941" s="37" t="s">
        <v>6331</v>
      </c>
      <c r="R2941" s="37" t="s">
        <v>389</v>
      </c>
      <c r="S2941" s="37" t="s">
        <v>33</v>
      </c>
      <c r="T2941" s="31"/>
    </row>
    <row r="2942" spans="1:20">
      <c r="A2942" s="31"/>
      <c r="B2942" s="32"/>
      <c r="C2942" s="33"/>
      <c r="D2942" s="32" t="s">
        <v>6332</v>
      </c>
      <c r="E2942" s="33" t="s">
        <v>23</v>
      </c>
      <c r="F2942" s="34">
        <v>1</v>
      </c>
      <c r="G2942" s="35">
        <v>0</v>
      </c>
      <c r="H2942" s="35">
        <v>0</v>
      </c>
      <c r="I2942" s="35">
        <f>Tabla1[[#This Row],[P.U. M.N.]]*Tabla1[[#This Row],[CANTIDADES DE REFERENCIA]]</f>
        <v>0</v>
      </c>
      <c r="J2942" s="35">
        <f>Tabla1[[#This Row],[P.U. USD]]*Tabla1[[#This Row],[CANTIDADES DE REFERENCIA]]</f>
        <v>0</v>
      </c>
      <c r="K2942" s="36"/>
      <c r="L2942" s="36"/>
      <c r="M2942" s="36"/>
      <c r="N2942" s="37" t="s">
        <v>31</v>
      </c>
      <c r="O2942" s="37"/>
      <c r="P2942" s="38"/>
      <c r="Q2942" s="37" t="s">
        <v>6333</v>
      </c>
      <c r="R2942" s="37" t="s">
        <v>389</v>
      </c>
      <c r="S2942" s="37" t="s">
        <v>33</v>
      </c>
      <c r="T2942" s="31"/>
    </row>
    <row r="2943" spans="1:20">
      <c r="A2943" s="31"/>
      <c r="B2943" s="32"/>
      <c r="C2943" s="33"/>
      <c r="D2943" s="32" t="s">
        <v>6334</v>
      </c>
      <c r="E2943" s="33" t="s">
        <v>23</v>
      </c>
      <c r="F2943" s="34">
        <v>1</v>
      </c>
      <c r="G2943" s="35">
        <v>0</v>
      </c>
      <c r="H2943" s="35">
        <v>0</v>
      </c>
      <c r="I2943" s="35">
        <f>Tabla1[[#This Row],[P.U. M.N.]]*Tabla1[[#This Row],[CANTIDADES DE REFERENCIA]]</f>
        <v>0</v>
      </c>
      <c r="J2943" s="35">
        <f>Tabla1[[#This Row],[P.U. USD]]*Tabla1[[#This Row],[CANTIDADES DE REFERENCIA]]</f>
        <v>0</v>
      </c>
      <c r="K2943" s="36"/>
      <c r="L2943" s="36"/>
      <c r="M2943" s="36"/>
      <c r="N2943" s="37" t="s">
        <v>31</v>
      </c>
      <c r="O2943" s="37"/>
      <c r="P2943" s="38"/>
      <c r="Q2943" s="37" t="s">
        <v>6335</v>
      </c>
      <c r="R2943" s="37" t="s">
        <v>389</v>
      </c>
      <c r="S2943" s="37" t="s">
        <v>33</v>
      </c>
      <c r="T2943" s="31"/>
    </row>
    <row r="2944" spans="1:20">
      <c r="A2944" s="31"/>
      <c r="B2944" s="32"/>
      <c r="C2944" s="33"/>
      <c r="D2944" s="32" t="s">
        <v>6336</v>
      </c>
      <c r="E2944" s="33" t="s">
        <v>23</v>
      </c>
      <c r="F2944" s="34">
        <v>1</v>
      </c>
      <c r="G2944" s="35">
        <v>0</v>
      </c>
      <c r="H2944" s="35">
        <v>0</v>
      </c>
      <c r="I2944" s="35">
        <f>Tabla1[[#This Row],[P.U. M.N.]]*Tabla1[[#This Row],[CANTIDADES DE REFERENCIA]]</f>
        <v>0</v>
      </c>
      <c r="J2944" s="35">
        <f>Tabla1[[#This Row],[P.U. USD]]*Tabla1[[#This Row],[CANTIDADES DE REFERENCIA]]</f>
        <v>0</v>
      </c>
      <c r="K2944" s="36"/>
      <c r="L2944" s="36"/>
      <c r="M2944" s="36"/>
      <c r="N2944" s="37" t="s">
        <v>31</v>
      </c>
      <c r="O2944" s="37"/>
      <c r="P2944" s="38"/>
      <c r="Q2944" s="37" t="s">
        <v>6337</v>
      </c>
      <c r="R2944" s="37" t="s">
        <v>389</v>
      </c>
      <c r="S2944" s="37" t="s">
        <v>33</v>
      </c>
      <c r="T2944" s="31"/>
    </row>
    <row r="2945" spans="1:20">
      <c r="A2945" s="31"/>
      <c r="B2945" s="32"/>
      <c r="C2945" s="33"/>
      <c r="D2945" s="32" t="s">
        <v>6338</v>
      </c>
      <c r="E2945" s="33" t="s">
        <v>23</v>
      </c>
      <c r="F2945" s="34">
        <v>1</v>
      </c>
      <c r="G2945" s="35">
        <v>0</v>
      </c>
      <c r="H2945" s="35">
        <v>0</v>
      </c>
      <c r="I2945" s="35">
        <f>Tabla1[[#This Row],[P.U. M.N.]]*Tabla1[[#This Row],[CANTIDADES DE REFERENCIA]]</f>
        <v>0</v>
      </c>
      <c r="J2945" s="35">
        <f>Tabla1[[#This Row],[P.U. USD]]*Tabla1[[#This Row],[CANTIDADES DE REFERENCIA]]</f>
        <v>0</v>
      </c>
      <c r="K2945" s="36"/>
      <c r="L2945" s="36"/>
      <c r="M2945" s="36"/>
      <c r="N2945" s="37" t="s">
        <v>31</v>
      </c>
      <c r="O2945" s="37"/>
      <c r="P2945" s="38"/>
      <c r="Q2945" s="37" t="s">
        <v>6339</v>
      </c>
      <c r="R2945" s="37" t="s">
        <v>389</v>
      </c>
      <c r="S2945" s="37" t="s">
        <v>33</v>
      </c>
      <c r="T2945" s="31"/>
    </row>
    <row r="2946" spans="1:20">
      <c r="A2946" s="31"/>
      <c r="B2946" s="32"/>
      <c r="C2946" s="33"/>
      <c r="D2946" s="32" t="s">
        <v>6340</v>
      </c>
      <c r="E2946" s="33" t="s">
        <v>2699</v>
      </c>
      <c r="F2946" s="34">
        <v>1</v>
      </c>
      <c r="G2946" s="35">
        <v>0</v>
      </c>
      <c r="H2946" s="35">
        <v>0</v>
      </c>
      <c r="I2946" s="35">
        <f>Tabla1[[#This Row],[P.U. M.N.]]*Tabla1[[#This Row],[CANTIDADES DE REFERENCIA]]</f>
        <v>0</v>
      </c>
      <c r="J2946" s="35">
        <f>Tabla1[[#This Row],[P.U. USD]]*Tabla1[[#This Row],[CANTIDADES DE REFERENCIA]]</f>
        <v>0</v>
      </c>
      <c r="K2946" s="36"/>
      <c r="L2946" s="36"/>
      <c r="M2946" s="36"/>
      <c r="N2946" s="37" t="s">
        <v>31</v>
      </c>
      <c r="O2946" s="37"/>
      <c r="P2946" s="38"/>
      <c r="Q2946" s="37" t="s">
        <v>6341</v>
      </c>
      <c r="R2946" s="37" t="s">
        <v>389</v>
      </c>
      <c r="S2946" s="37" t="s">
        <v>33</v>
      </c>
      <c r="T2946" s="31"/>
    </row>
    <row r="2947" spans="1:20">
      <c r="A2947" s="31"/>
      <c r="B2947" s="32"/>
      <c r="C2947" s="33"/>
      <c r="D2947" s="32" t="s">
        <v>6342</v>
      </c>
      <c r="E2947" s="33" t="s">
        <v>2699</v>
      </c>
      <c r="F2947" s="34">
        <v>1</v>
      </c>
      <c r="G2947" s="35">
        <v>0</v>
      </c>
      <c r="H2947" s="35">
        <v>0</v>
      </c>
      <c r="I2947" s="35">
        <f>Tabla1[[#This Row],[P.U. M.N.]]*Tabla1[[#This Row],[CANTIDADES DE REFERENCIA]]</f>
        <v>0</v>
      </c>
      <c r="J2947" s="35">
        <f>Tabla1[[#This Row],[P.U. USD]]*Tabla1[[#This Row],[CANTIDADES DE REFERENCIA]]</f>
        <v>0</v>
      </c>
      <c r="K2947" s="36"/>
      <c r="L2947" s="36"/>
      <c r="M2947" s="36"/>
      <c r="N2947" s="37" t="s">
        <v>31</v>
      </c>
      <c r="O2947" s="37"/>
      <c r="P2947" s="38"/>
      <c r="Q2947" s="37" t="s">
        <v>6343</v>
      </c>
      <c r="R2947" s="37" t="s">
        <v>389</v>
      </c>
      <c r="S2947" s="37" t="s">
        <v>33</v>
      </c>
      <c r="T2947" s="31"/>
    </row>
    <row r="2948" spans="1:20">
      <c r="A2948" s="31"/>
      <c r="B2948" s="32"/>
      <c r="C2948" s="33"/>
      <c r="D2948" s="32" t="s">
        <v>6344</v>
      </c>
      <c r="E2948" s="33" t="s">
        <v>23</v>
      </c>
      <c r="F2948" s="34">
        <v>1</v>
      </c>
      <c r="G2948" s="35">
        <v>0</v>
      </c>
      <c r="H2948" s="35">
        <v>0</v>
      </c>
      <c r="I2948" s="35">
        <f>Tabla1[[#This Row],[P.U. M.N.]]*Tabla1[[#This Row],[CANTIDADES DE REFERENCIA]]</f>
        <v>0</v>
      </c>
      <c r="J2948" s="35">
        <f>Tabla1[[#This Row],[P.U. USD]]*Tabla1[[#This Row],[CANTIDADES DE REFERENCIA]]</f>
        <v>0</v>
      </c>
      <c r="K2948" s="36"/>
      <c r="L2948" s="36"/>
      <c r="M2948" s="36"/>
      <c r="N2948" s="37" t="s">
        <v>31</v>
      </c>
      <c r="O2948" s="37"/>
      <c r="P2948" s="38"/>
      <c r="Q2948" s="37" t="s">
        <v>6345</v>
      </c>
      <c r="R2948" s="37" t="s">
        <v>389</v>
      </c>
      <c r="S2948" s="37" t="s">
        <v>33</v>
      </c>
      <c r="T2948" s="31"/>
    </row>
    <row r="2949" spans="1:20">
      <c r="A2949" s="31"/>
      <c r="B2949" s="32"/>
      <c r="C2949" s="33"/>
      <c r="D2949" s="32" t="s">
        <v>6346</v>
      </c>
      <c r="E2949" s="33" t="s">
        <v>23</v>
      </c>
      <c r="F2949" s="34">
        <v>1</v>
      </c>
      <c r="G2949" s="35">
        <v>0</v>
      </c>
      <c r="H2949" s="35">
        <v>0</v>
      </c>
      <c r="I2949" s="35">
        <f>Tabla1[[#This Row],[P.U. M.N.]]*Tabla1[[#This Row],[CANTIDADES DE REFERENCIA]]</f>
        <v>0</v>
      </c>
      <c r="J2949" s="35">
        <f>Tabla1[[#This Row],[P.U. USD]]*Tabla1[[#This Row],[CANTIDADES DE REFERENCIA]]</f>
        <v>0</v>
      </c>
      <c r="K2949" s="36"/>
      <c r="L2949" s="36"/>
      <c r="M2949" s="36"/>
      <c r="N2949" s="37" t="s">
        <v>31</v>
      </c>
      <c r="O2949" s="37"/>
      <c r="P2949" s="38"/>
      <c r="Q2949" s="37" t="s">
        <v>6347</v>
      </c>
      <c r="R2949" s="37" t="s">
        <v>389</v>
      </c>
      <c r="S2949" s="37" t="s">
        <v>33</v>
      </c>
      <c r="T2949" s="31"/>
    </row>
    <row r="2950" spans="1:20">
      <c r="A2950" s="31"/>
      <c r="B2950" s="32"/>
      <c r="C2950" s="33"/>
      <c r="D2950" s="32" t="s">
        <v>6348</v>
      </c>
      <c r="E2950" s="33" t="s">
        <v>23</v>
      </c>
      <c r="F2950" s="34">
        <v>1</v>
      </c>
      <c r="G2950" s="35">
        <v>0</v>
      </c>
      <c r="H2950" s="35">
        <v>0</v>
      </c>
      <c r="I2950" s="35">
        <f>Tabla1[[#This Row],[P.U. M.N.]]*Tabla1[[#This Row],[CANTIDADES DE REFERENCIA]]</f>
        <v>0</v>
      </c>
      <c r="J2950" s="35">
        <f>Tabla1[[#This Row],[P.U. USD]]*Tabla1[[#This Row],[CANTIDADES DE REFERENCIA]]</f>
        <v>0</v>
      </c>
      <c r="K2950" s="36"/>
      <c r="L2950" s="36"/>
      <c r="M2950" s="36"/>
      <c r="N2950" s="37" t="s">
        <v>31</v>
      </c>
      <c r="O2950" s="37"/>
      <c r="P2950" s="38"/>
      <c r="Q2950" s="37" t="s">
        <v>6349</v>
      </c>
      <c r="R2950" s="37" t="s">
        <v>389</v>
      </c>
      <c r="S2950" s="37" t="s">
        <v>33</v>
      </c>
      <c r="T2950" s="31"/>
    </row>
    <row r="2951" spans="1:20">
      <c r="A2951" s="31"/>
      <c r="B2951" s="32"/>
      <c r="C2951" s="33"/>
      <c r="D2951" s="32" t="s">
        <v>6350</v>
      </c>
      <c r="E2951" s="33" t="s">
        <v>23</v>
      </c>
      <c r="F2951" s="34">
        <v>1</v>
      </c>
      <c r="G2951" s="35">
        <v>0</v>
      </c>
      <c r="H2951" s="35">
        <v>0</v>
      </c>
      <c r="I2951" s="35">
        <f>Tabla1[[#This Row],[P.U. M.N.]]*Tabla1[[#This Row],[CANTIDADES DE REFERENCIA]]</f>
        <v>0</v>
      </c>
      <c r="J2951" s="35">
        <f>Tabla1[[#This Row],[P.U. USD]]*Tabla1[[#This Row],[CANTIDADES DE REFERENCIA]]</f>
        <v>0</v>
      </c>
      <c r="K2951" s="36"/>
      <c r="L2951" s="36"/>
      <c r="M2951" s="36"/>
      <c r="N2951" s="37" t="s">
        <v>31</v>
      </c>
      <c r="O2951" s="37"/>
      <c r="P2951" s="38"/>
      <c r="Q2951" s="37" t="s">
        <v>6351</v>
      </c>
      <c r="R2951" s="37" t="s">
        <v>389</v>
      </c>
      <c r="S2951" s="37" t="s">
        <v>33</v>
      </c>
      <c r="T2951" s="31"/>
    </row>
    <row r="2952" spans="1:20">
      <c r="A2952" s="31"/>
      <c r="B2952" s="32"/>
      <c r="C2952" s="33"/>
      <c r="D2952" s="32" t="s">
        <v>6352</v>
      </c>
      <c r="E2952" s="33" t="s">
        <v>23</v>
      </c>
      <c r="F2952" s="34">
        <v>1</v>
      </c>
      <c r="G2952" s="35">
        <v>0</v>
      </c>
      <c r="H2952" s="35">
        <v>0</v>
      </c>
      <c r="I2952" s="35">
        <f>Tabla1[[#This Row],[P.U. M.N.]]*Tabla1[[#This Row],[CANTIDADES DE REFERENCIA]]</f>
        <v>0</v>
      </c>
      <c r="J2952" s="35">
        <f>Tabla1[[#This Row],[P.U. USD]]*Tabla1[[#This Row],[CANTIDADES DE REFERENCIA]]</f>
        <v>0</v>
      </c>
      <c r="K2952" s="36"/>
      <c r="L2952" s="36"/>
      <c r="M2952" s="36"/>
      <c r="N2952" s="37" t="s">
        <v>31</v>
      </c>
      <c r="O2952" s="37"/>
      <c r="P2952" s="38"/>
      <c r="Q2952" s="37" t="s">
        <v>6353</v>
      </c>
      <c r="R2952" s="37" t="s">
        <v>389</v>
      </c>
      <c r="S2952" s="37" t="s">
        <v>33</v>
      </c>
      <c r="T2952" s="31"/>
    </row>
    <row r="2953" spans="1:20">
      <c r="A2953" s="31"/>
      <c r="B2953" s="32"/>
      <c r="C2953" s="33"/>
      <c r="D2953" s="32" t="s">
        <v>6354</v>
      </c>
      <c r="E2953" s="33" t="s">
        <v>23</v>
      </c>
      <c r="F2953" s="34">
        <v>1</v>
      </c>
      <c r="G2953" s="35">
        <v>0</v>
      </c>
      <c r="H2953" s="35">
        <v>0</v>
      </c>
      <c r="I2953" s="35">
        <f>Tabla1[[#This Row],[P.U. M.N.]]*Tabla1[[#This Row],[CANTIDADES DE REFERENCIA]]</f>
        <v>0</v>
      </c>
      <c r="J2953" s="35">
        <f>Tabla1[[#This Row],[P.U. USD]]*Tabla1[[#This Row],[CANTIDADES DE REFERENCIA]]</f>
        <v>0</v>
      </c>
      <c r="K2953" s="36"/>
      <c r="L2953" s="36"/>
      <c r="M2953" s="36"/>
      <c r="N2953" s="37" t="s">
        <v>31</v>
      </c>
      <c r="O2953" s="37"/>
      <c r="P2953" s="38"/>
      <c r="Q2953" s="37" t="s">
        <v>6355</v>
      </c>
      <c r="R2953" s="37" t="s">
        <v>389</v>
      </c>
      <c r="S2953" s="37" t="s">
        <v>33</v>
      </c>
      <c r="T2953" s="31"/>
    </row>
    <row r="2954" spans="1:20">
      <c r="A2954" s="31"/>
      <c r="B2954" s="32"/>
      <c r="C2954" s="33"/>
      <c r="D2954" s="32" t="s">
        <v>6356</v>
      </c>
      <c r="E2954" s="33" t="s">
        <v>23</v>
      </c>
      <c r="F2954" s="34">
        <v>1</v>
      </c>
      <c r="G2954" s="35">
        <v>0</v>
      </c>
      <c r="H2954" s="35">
        <v>0</v>
      </c>
      <c r="I2954" s="35">
        <f>Tabla1[[#This Row],[P.U. M.N.]]*Tabla1[[#This Row],[CANTIDADES DE REFERENCIA]]</f>
        <v>0</v>
      </c>
      <c r="J2954" s="35">
        <f>Tabla1[[#This Row],[P.U. USD]]*Tabla1[[#This Row],[CANTIDADES DE REFERENCIA]]</f>
        <v>0</v>
      </c>
      <c r="K2954" s="36"/>
      <c r="L2954" s="36"/>
      <c r="M2954" s="36"/>
      <c r="N2954" s="37" t="s">
        <v>31</v>
      </c>
      <c r="O2954" s="37"/>
      <c r="P2954" s="38"/>
      <c r="Q2954" s="37" t="s">
        <v>6357</v>
      </c>
      <c r="R2954" s="37" t="s">
        <v>389</v>
      </c>
      <c r="S2954" s="37" t="s">
        <v>33</v>
      </c>
      <c r="T2954" s="31"/>
    </row>
    <row r="2955" spans="1:20">
      <c r="A2955" s="31"/>
      <c r="B2955" s="32"/>
      <c r="C2955" s="33"/>
      <c r="D2955" s="32" t="s">
        <v>6358</v>
      </c>
      <c r="E2955" s="33" t="s">
        <v>23</v>
      </c>
      <c r="F2955" s="34">
        <v>1</v>
      </c>
      <c r="G2955" s="35">
        <v>0</v>
      </c>
      <c r="H2955" s="35">
        <v>0</v>
      </c>
      <c r="I2955" s="35">
        <f>Tabla1[[#This Row],[P.U. M.N.]]*Tabla1[[#This Row],[CANTIDADES DE REFERENCIA]]</f>
        <v>0</v>
      </c>
      <c r="J2955" s="35">
        <f>Tabla1[[#This Row],[P.U. USD]]*Tabla1[[#This Row],[CANTIDADES DE REFERENCIA]]</f>
        <v>0</v>
      </c>
      <c r="K2955" s="36"/>
      <c r="L2955" s="36"/>
      <c r="M2955" s="36"/>
      <c r="N2955" s="37" t="s">
        <v>31</v>
      </c>
      <c r="O2955" s="37"/>
      <c r="P2955" s="38"/>
      <c r="Q2955" s="37" t="s">
        <v>6359</v>
      </c>
      <c r="R2955" s="37" t="s">
        <v>389</v>
      </c>
      <c r="S2955" s="37" t="s">
        <v>33</v>
      </c>
      <c r="T2955" s="31"/>
    </row>
    <row r="2956" spans="1:20">
      <c r="A2956" s="31"/>
      <c r="B2956" s="32"/>
      <c r="C2956" s="33"/>
      <c r="D2956" s="32" t="s">
        <v>6360</v>
      </c>
      <c r="E2956" s="33" t="s">
        <v>23</v>
      </c>
      <c r="F2956" s="34">
        <v>1</v>
      </c>
      <c r="G2956" s="35">
        <v>0</v>
      </c>
      <c r="H2956" s="35">
        <v>0</v>
      </c>
      <c r="I2956" s="35">
        <f>Tabla1[[#This Row],[P.U. M.N.]]*Tabla1[[#This Row],[CANTIDADES DE REFERENCIA]]</f>
        <v>0</v>
      </c>
      <c r="J2956" s="35">
        <f>Tabla1[[#This Row],[P.U. USD]]*Tabla1[[#This Row],[CANTIDADES DE REFERENCIA]]</f>
        <v>0</v>
      </c>
      <c r="K2956" s="36"/>
      <c r="L2956" s="36"/>
      <c r="M2956" s="36"/>
      <c r="N2956" s="37" t="s">
        <v>31</v>
      </c>
      <c r="O2956" s="37"/>
      <c r="P2956" s="38"/>
      <c r="Q2956" s="37" t="s">
        <v>6361</v>
      </c>
      <c r="R2956" s="37" t="s">
        <v>389</v>
      </c>
      <c r="S2956" s="37" t="s">
        <v>33</v>
      </c>
      <c r="T2956" s="31"/>
    </row>
    <row r="2957" spans="1:20">
      <c r="A2957" s="31"/>
      <c r="B2957" s="32"/>
      <c r="C2957" s="33"/>
      <c r="D2957" s="32" t="s">
        <v>6362</v>
      </c>
      <c r="E2957" s="33" t="s">
        <v>23</v>
      </c>
      <c r="F2957" s="34">
        <v>1</v>
      </c>
      <c r="G2957" s="35">
        <v>0</v>
      </c>
      <c r="H2957" s="35">
        <v>0</v>
      </c>
      <c r="I2957" s="35">
        <f>Tabla1[[#This Row],[P.U. M.N.]]*Tabla1[[#This Row],[CANTIDADES DE REFERENCIA]]</f>
        <v>0</v>
      </c>
      <c r="J2957" s="35">
        <f>Tabla1[[#This Row],[P.U. USD]]*Tabla1[[#This Row],[CANTIDADES DE REFERENCIA]]</f>
        <v>0</v>
      </c>
      <c r="K2957" s="36"/>
      <c r="L2957" s="36"/>
      <c r="M2957" s="36"/>
      <c r="N2957" s="37" t="s">
        <v>31</v>
      </c>
      <c r="O2957" s="37"/>
      <c r="P2957" s="38"/>
      <c r="Q2957" s="37" t="s">
        <v>6363</v>
      </c>
      <c r="R2957" s="37" t="s">
        <v>389</v>
      </c>
      <c r="S2957" s="37" t="s">
        <v>33</v>
      </c>
      <c r="T2957" s="31"/>
    </row>
    <row r="2958" spans="1:20">
      <c r="A2958" s="31"/>
      <c r="B2958" s="32"/>
      <c r="C2958" s="33"/>
      <c r="D2958" s="32" t="s">
        <v>6364</v>
      </c>
      <c r="E2958" s="33" t="s">
        <v>23</v>
      </c>
      <c r="F2958" s="34">
        <v>1</v>
      </c>
      <c r="G2958" s="35">
        <v>0</v>
      </c>
      <c r="H2958" s="35">
        <v>0</v>
      </c>
      <c r="I2958" s="35">
        <f>Tabla1[[#This Row],[P.U. M.N.]]*Tabla1[[#This Row],[CANTIDADES DE REFERENCIA]]</f>
        <v>0</v>
      </c>
      <c r="J2958" s="35">
        <f>Tabla1[[#This Row],[P.U. USD]]*Tabla1[[#This Row],[CANTIDADES DE REFERENCIA]]</f>
        <v>0</v>
      </c>
      <c r="K2958" s="36"/>
      <c r="L2958" s="36"/>
      <c r="M2958" s="36"/>
      <c r="N2958" s="37" t="s">
        <v>31</v>
      </c>
      <c r="O2958" s="37"/>
      <c r="P2958" s="38"/>
      <c r="Q2958" s="37" t="s">
        <v>6365</v>
      </c>
      <c r="R2958" s="37" t="s">
        <v>389</v>
      </c>
      <c r="S2958" s="37" t="s">
        <v>33</v>
      </c>
      <c r="T2958" s="31"/>
    </row>
    <row r="2959" spans="1:20">
      <c r="A2959" s="31"/>
      <c r="B2959" s="32"/>
      <c r="C2959" s="33"/>
      <c r="D2959" s="32" t="s">
        <v>6366</v>
      </c>
      <c r="E2959" s="33" t="s">
        <v>23</v>
      </c>
      <c r="F2959" s="34">
        <v>1</v>
      </c>
      <c r="G2959" s="35">
        <v>0</v>
      </c>
      <c r="H2959" s="35">
        <v>0</v>
      </c>
      <c r="I2959" s="35">
        <f>Tabla1[[#This Row],[P.U. M.N.]]*Tabla1[[#This Row],[CANTIDADES DE REFERENCIA]]</f>
        <v>0</v>
      </c>
      <c r="J2959" s="35">
        <f>Tabla1[[#This Row],[P.U. USD]]*Tabla1[[#This Row],[CANTIDADES DE REFERENCIA]]</f>
        <v>0</v>
      </c>
      <c r="K2959" s="36"/>
      <c r="L2959" s="36"/>
      <c r="M2959" s="36"/>
      <c r="N2959" s="37" t="s">
        <v>31</v>
      </c>
      <c r="O2959" s="37"/>
      <c r="P2959" s="38"/>
      <c r="Q2959" s="37" t="s">
        <v>6367</v>
      </c>
      <c r="R2959" s="37" t="s">
        <v>389</v>
      </c>
      <c r="S2959" s="37" t="s">
        <v>33</v>
      </c>
      <c r="T2959" s="31"/>
    </row>
    <row r="2960" spans="1:20">
      <c r="A2960" s="31"/>
      <c r="B2960" s="32"/>
      <c r="C2960" s="33"/>
      <c r="D2960" s="32" t="s">
        <v>6368</v>
      </c>
      <c r="E2960" s="33" t="s">
        <v>2699</v>
      </c>
      <c r="F2960" s="34">
        <v>1</v>
      </c>
      <c r="G2960" s="35">
        <v>0</v>
      </c>
      <c r="H2960" s="35">
        <v>0</v>
      </c>
      <c r="I2960" s="35">
        <f>Tabla1[[#This Row],[P.U. M.N.]]*Tabla1[[#This Row],[CANTIDADES DE REFERENCIA]]</f>
        <v>0</v>
      </c>
      <c r="J2960" s="35">
        <f>Tabla1[[#This Row],[P.U. USD]]*Tabla1[[#This Row],[CANTIDADES DE REFERENCIA]]</f>
        <v>0</v>
      </c>
      <c r="K2960" s="36"/>
      <c r="L2960" s="36"/>
      <c r="M2960" s="36"/>
      <c r="N2960" s="37" t="s">
        <v>31</v>
      </c>
      <c r="O2960" s="37"/>
      <c r="P2960" s="38"/>
      <c r="Q2960" s="37" t="s">
        <v>6369</v>
      </c>
      <c r="R2960" s="37" t="s">
        <v>389</v>
      </c>
      <c r="S2960" s="37" t="s">
        <v>33</v>
      </c>
      <c r="T2960" s="31"/>
    </row>
    <row r="2961" spans="1:20">
      <c r="A2961" s="31"/>
      <c r="B2961" s="32"/>
      <c r="C2961" s="33"/>
      <c r="D2961" s="32" t="s">
        <v>6370</v>
      </c>
      <c r="E2961" s="33" t="s">
        <v>2699</v>
      </c>
      <c r="F2961" s="34">
        <v>1</v>
      </c>
      <c r="G2961" s="35">
        <v>0</v>
      </c>
      <c r="H2961" s="35">
        <v>0</v>
      </c>
      <c r="I2961" s="35">
        <f>Tabla1[[#This Row],[P.U. M.N.]]*Tabla1[[#This Row],[CANTIDADES DE REFERENCIA]]</f>
        <v>0</v>
      </c>
      <c r="J2961" s="35">
        <f>Tabla1[[#This Row],[P.U. USD]]*Tabla1[[#This Row],[CANTIDADES DE REFERENCIA]]</f>
        <v>0</v>
      </c>
      <c r="K2961" s="36"/>
      <c r="L2961" s="36"/>
      <c r="M2961" s="36"/>
      <c r="N2961" s="37" t="s">
        <v>31</v>
      </c>
      <c r="O2961" s="37"/>
      <c r="P2961" s="38"/>
      <c r="Q2961" s="37" t="s">
        <v>6371</v>
      </c>
      <c r="R2961" s="37" t="s">
        <v>389</v>
      </c>
      <c r="S2961" s="37" t="s">
        <v>33</v>
      </c>
      <c r="T2961" s="31"/>
    </row>
    <row r="2962" spans="1:20">
      <c r="A2962" s="31"/>
      <c r="B2962" s="32"/>
      <c r="C2962" s="33"/>
      <c r="D2962" s="32" t="s">
        <v>6372</v>
      </c>
      <c r="E2962" s="33" t="s">
        <v>2699</v>
      </c>
      <c r="F2962" s="34">
        <v>1</v>
      </c>
      <c r="G2962" s="35">
        <v>0</v>
      </c>
      <c r="H2962" s="35">
        <v>0</v>
      </c>
      <c r="I2962" s="35">
        <f>Tabla1[[#This Row],[P.U. M.N.]]*Tabla1[[#This Row],[CANTIDADES DE REFERENCIA]]</f>
        <v>0</v>
      </c>
      <c r="J2962" s="35">
        <f>Tabla1[[#This Row],[P.U. USD]]*Tabla1[[#This Row],[CANTIDADES DE REFERENCIA]]</f>
        <v>0</v>
      </c>
      <c r="K2962" s="36"/>
      <c r="L2962" s="36"/>
      <c r="M2962" s="36"/>
      <c r="N2962" s="37" t="s">
        <v>31</v>
      </c>
      <c r="O2962" s="37"/>
      <c r="P2962" s="38"/>
      <c r="Q2962" s="37" t="s">
        <v>6373</v>
      </c>
      <c r="R2962" s="37" t="s">
        <v>389</v>
      </c>
      <c r="S2962" s="37" t="s">
        <v>33</v>
      </c>
      <c r="T2962" s="31"/>
    </row>
    <row r="2963" spans="1:20">
      <c r="A2963" s="31"/>
      <c r="B2963" s="32"/>
      <c r="C2963" s="33"/>
      <c r="D2963" s="32" t="s">
        <v>6374</v>
      </c>
      <c r="E2963" s="33" t="s">
        <v>2699</v>
      </c>
      <c r="F2963" s="34">
        <v>1</v>
      </c>
      <c r="G2963" s="35">
        <v>0</v>
      </c>
      <c r="H2963" s="35">
        <v>0</v>
      </c>
      <c r="I2963" s="35">
        <f>Tabla1[[#This Row],[P.U. M.N.]]*Tabla1[[#This Row],[CANTIDADES DE REFERENCIA]]</f>
        <v>0</v>
      </c>
      <c r="J2963" s="35">
        <f>Tabla1[[#This Row],[P.U. USD]]*Tabla1[[#This Row],[CANTIDADES DE REFERENCIA]]</f>
        <v>0</v>
      </c>
      <c r="K2963" s="36"/>
      <c r="L2963" s="36"/>
      <c r="M2963" s="36"/>
      <c r="N2963" s="37" t="s">
        <v>31</v>
      </c>
      <c r="O2963" s="37"/>
      <c r="P2963" s="38"/>
      <c r="Q2963" s="37" t="s">
        <v>6375</v>
      </c>
      <c r="R2963" s="37" t="s">
        <v>389</v>
      </c>
      <c r="S2963" s="37" t="s">
        <v>33</v>
      </c>
      <c r="T2963" s="31"/>
    </row>
    <row r="2964" spans="1:20">
      <c r="A2964" s="31"/>
      <c r="B2964" s="32"/>
      <c r="C2964" s="33"/>
      <c r="D2964" s="32" t="s">
        <v>6376</v>
      </c>
      <c r="E2964" s="33" t="s">
        <v>23</v>
      </c>
      <c r="F2964" s="34">
        <v>1</v>
      </c>
      <c r="G2964" s="35">
        <v>0</v>
      </c>
      <c r="H2964" s="35">
        <v>0</v>
      </c>
      <c r="I2964" s="35">
        <f>Tabla1[[#This Row],[P.U. M.N.]]*Tabla1[[#This Row],[CANTIDADES DE REFERENCIA]]</f>
        <v>0</v>
      </c>
      <c r="J2964" s="35">
        <f>Tabla1[[#This Row],[P.U. USD]]*Tabla1[[#This Row],[CANTIDADES DE REFERENCIA]]</f>
        <v>0</v>
      </c>
      <c r="K2964" s="36"/>
      <c r="L2964" s="36"/>
      <c r="M2964" s="36"/>
      <c r="N2964" s="37" t="s">
        <v>31</v>
      </c>
      <c r="O2964" s="37"/>
      <c r="P2964" s="38"/>
      <c r="Q2964" s="37" t="s">
        <v>6377</v>
      </c>
      <c r="R2964" s="37" t="s">
        <v>389</v>
      </c>
      <c r="S2964" s="37" t="s">
        <v>33</v>
      </c>
      <c r="T2964" s="31"/>
    </row>
    <row r="2965" spans="1:20">
      <c r="A2965" s="31"/>
      <c r="B2965" s="32"/>
      <c r="C2965" s="33"/>
      <c r="D2965" s="32" t="s">
        <v>6378</v>
      </c>
      <c r="E2965" s="33" t="s">
        <v>23</v>
      </c>
      <c r="F2965" s="34">
        <v>1</v>
      </c>
      <c r="G2965" s="35">
        <v>0</v>
      </c>
      <c r="H2965" s="35">
        <v>0</v>
      </c>
      <c r="I2965" s="35">
        <f>Tabla1[[#This Row],[P.U. M.N.]]*Tabla1[[#This Row],[CANTIDADES DE REFERENCIA]]</f>
        <v>0</v>
      </c>
      <c r="J2965" s="35">
        <f>Tabla1[[#This Row],[P.U. USD]]*Tabla1[[#This Row],[CANTIDADES DE REFERENCIA]]</f>
        <v>0</v>
      </c>
      <c r="K2965" s="36"/>
      <c r="L2965" s="36"/>
      <c r="M2965" s="36"/>
      <c r="N2965" s="37" t="s">
        <v>31</v>
      </c>
      <c r="O2965" s="37"/>
      <c r="P2965" s="38"/>
      <c r="Q2965" s="37" t="s">
        <v>6379</v>
      </c>
      <c r="R2965" s="37" t="s">
        <v>389</v>
      </c>
      <c r="S2965" s="37" t="s">
        <v>33</v>
      </c>
      <c r="T2965" s="31"/>
    </row>
    <row r="2966" spans="1:20">
      <c r="A2966" s="31"/>
      <c r="B2966" s="32"/>
      <c r="C2966" s="33"/>
      <c r="D2966" s="32" t="s">
        <v>6380</v>
      </c>
      <c r="E2966" s="33" t="s">
        <v>23</v>
      </c>
      <c r="F2966" s="34">
        <v>1</v>
      </c>
      <c r="G2966" s="35">
        <v>0</v>
      </c>
      <c r="H2966" s="35">
        <v>0</v>
      </c>
      <c r="I2966" s="35">
        <f>Tabla1[[#This Row],[P.U. M.N.]]*Tabla1[[#This Row],[CANTIDADES DE REFERENCIA]]</f>
        <v>0</v>
      </c>
      <c r="J2966" s="35">
        <f>Tabla1[[#This Row],[P.U. USD]]*Tabla1[[#This Row],[CANTIDADES DE REFERENCIA]]</f>
        <v>0</v>
      </c>
      <c r="K2966" s="36"/>
      <c r="L2966" s="36"/>
      <c r="M2966" s="36"/>
      <c r="N2966" s="37" t="s">
        <v>31</v>
      </c>
      <c r="O2966" s="37"/>
      <c r="P2966" s="38"/>
      <c r="Q2966" s="37" t="s">
        <v>6381</v>
      </c>
      <c r="R2966" s="37" t="s">
        <v>389</v>
      </c>
      <c r="S2966" s="37" t="s">
        <v>33</v>
      </c>
      <c r="T2966" s="31"/>
    </row>
    <row r="2967" spans="1:20">
      <c r="A2967" s="31"/>
      <c r="B2967" s="32"/>
      <c r="C2967" s="33"/>
      <c r="D2967" s="32" t="s">
        <v>6382</v>
      </c>
      <c r="E2967" s="33" t="s">
        <v>23</v>
      </c>
      <c r="F2967" s="34">
        <v>1</v>
      </c>
      <c r="G2967" s="35">
        <v>0</v>
      </c>
      <c r="H2967" s="35">
        <v>0</v>
      </c>
      <c r="I2967" s="35">
        <f>Tabla1[[#This Row],[P.U. M.N.]]*Tabla1[[#This Row],[CANTIDADES DE REFERENCIA]]</f>
        <v>0</v>
      </c>
      <c r="J2967" s="35">
        <f>Tabla1[[#This Row],[P.U. USD]]*Tabla1[[#This Row],[CANTIDADES DE REFERENCIA]]</f>
        <v>0</v>
      </c>
      <c r="K2967" s="36"/>
      <c r="L2967" s="36"/>
      <c r="M2967" s="36"/>
      <c r="N2967" s="37" t="s">
        <v>31</v>
      </c>
      <c r="O2967" s="37"/>
      <c r="P2967" s="38"/>
      <c r="Q2967" s="37" t="s">
        <v>6383</v>
      </c>
      <c r="R2967" s="37" t="s">
        <v>389</v>
      </c>
      <c r="S2967" s="37" t="s">
        <v>33</v>
      </c>
      <c r="T2967" s="31"/>
    </row>
    <row r="2968" spans="1:20">
      <c r="A2968" s="31"/>
      <c r="B2968" s="32"/>
      <c r="C2968" s="33"/>
      <c r="D2968" s="32" t="s">
        <v>6384</v>
      </c>
      <c r="E2968" s="33" t="s">
        <v>23</v>
      </c>
      <c r="F2968" s="34">
        <v>1</v>
      </c>
      <c r="G2968" s="35">
        <v>0</v>
      </c>
      <c r="H2968" s="35">
        <v>0</v>
      </c>
      <c r="I2968" s="35">
        <f>Tabla1[[#This Row],[P.U. M.N.]]*Tabla1[[#This Row],[CANTIDADES DE REFERENCIA]]</f>
        <v>0</v>
      </c>
      <c r="J2968" s="35">
        <f>Tabla1[[#This Row],[P.U. USD]]*Tabla1[[#This Row],[CANTIDADES DE REFERENCIA]]</f>
        <v>0</v>
      </c>
      <c r="K2968" s="36"/>
      <c r="L2968" s="36"/>
      <c r="M2968" s="36"/>
      <c r="N2968" s="37" t="s">
        <v>31</v>
      </c>
      <c r="O2968" s="37"/>
      <c r="P2968" s="38"/>
      <c r="Q2968" s="37" t="s">
        <v>6385</v>
      </c>
      <c r="R2968" s="37" t="s">
        <v>389</v>
      </c>
      <c r="S2968" s="37" t="s">
        <v>33</v>
      </c>
      <c r="T2968" s="31"/>
    </row>
    <row r="2969" spans="1:20">
      <c r="A2969" s="31"/>
      <c r="B2969" s="32"/>
      <c r="C2969" s="33"/>
      <c r="D2969" s="32" t="s">
        <v>6386</v>
      </c>
      <c r="E2969" s="33" t="s">
        <v>23</v>
      </c>
      <c r="F2969" s="34">
        <v>1</v>
      </c>
      <c r="G2969" s="35">
        <v>0</v>
      </c>
      <c r="H2969" s="35">
        <v>0</v>
      </c>
      <c r="I2969" s="35">
        <f>Tabla1[[#This Row],[P.U. M.N.]]*Tabla1[[#This Row],[CANTIDADES DE REFERENCIA]]</f>
        <v>0</v>
      </c>
      <c r="J2969" s="35">
        <f>Tabla1[[#This Row],[P.U. USD]]*Tabla1[[#This Row],[CANTIDADES DE REFERENCIA]]</f>
        <v>0</v>
      </c>
      <c r="K2969" s="36"/>
      <c r="L2969" s="36"/>
      <c r="M2969" s="36"/>
      <c r="N2969" s="37" t="s">
        <v>31</v>
      </c>
      <c r="O2969" s="37"/>
      <c r="P2969" s="38"/>
      <c r="Q2969" s="37" t="s">
        <v>6387</v>
      </c>
      <c r="R2969" s="37" t="s">
        <v>389</v>
      </c>
      <c r="S2969" s="37" t="s">
        <v>33</v>
      </c>
      <c r="T2969" s="31"/>
    </row>
    <row r="2970" spans="1:20">
      <c r="A2970" s="31"/>
      <c r="B2970" s="32"/>
      <c r="C2970" s="33"/>
      <c r="D2970" s="32" t="s">
        <v>6388</v>
      </c>
      <c r="E2970" s="33" t="s">
        <v>23</v>
      </c>
      <c r="F2970" s="34">
        <v>1</v>
      </c>
      <c r="G2970" s="35">
        <v>0</v>
      </c>
      <c r="H2970" s="35">
        <v>0</v>
      </c>
      <c r="I2970" s="35">
        <f>Tabla1[[#This Row],[P.U. M.N.]]*Tabla1[[#This Row],[CANTIDADES DE REFERENCIA]]</f>
        <v>0</v>
      </c>
      <c r="J2970" s="35">
        <f>Tabla1[[#This Row],[P.U. USD]]*Tabla1[[#This Row],[CANTIDADES DE REFERENCIA]]</f>
        <v>0</v>
      </c>
      <c r="K2970" s="36"/>
      <c r="L2970" s="36"/>
      <c r="M2970" s="36"/>
      <c r="N2970" s="37" t="s">
        <v>31</v>
      </c>
      <c r="O2970" s="37"/>
      <c r="P2970" s="38"/>
      <c r="Q2970" s="37" t="s">
        <v>6389</v>
      </c>
      <c r="R2970" s="37" t="s">
        <v>389</v>
      </c>
      <c r="S2970" s="37" t="s">
        <v>33</v>
      </c>
      <c r="T2970" s="31"/>
    </row>
    <row r="2971" spans="1:20">
      <c r="A2971" s="31"/>
      <c r="B2971" s="32"/>
      <c r="C2971" s="33"/>
      <c r="D2971" s="32" t="s">
        <v>6390</v>
      </c>
      <c r="E2971" s="33" t="s">
        <v>23</v>
      </c>
      <c r="F2971" s="34">
        <v>1</v>
      </c>
      <c r="G2971" s="35">
        <v>0</v>
      </c>
      <c r="H2971" s="35">
        <v>0</v>
      </c>
      <c r="I2971" s="35">
        <f>Tabla1[[#This Row],[P.U. M.N.]]*Tabla1[[#This Row],[CANTIDADES DE REFERENCIA]]</f>
        <v>0</v>
      </c>
      <c r="J2971" s="35">
        <f>Tabla1[[#This Row],[P.U. USD]]*Tabla1[[#This Row],[CANTIDADES DE REFERENCIA]]</f>
        <v>0</v>
      </c>
      <c r="K2971" s="36"/>
      <c r="L2971" s="36"/>
      <c r="M2971" s="36"/>
      <c r="N2971" s="37" t="s">
        <v>31</v>
      </c>
      <c r="O2971" s="37"/>
      <c r="P2971" s="38"/>
      <c r="Q2971" s="37" t="s">
        <v>6391</v>
      </c>
      <c r="R2971" s="37" t="s">
        <v>389</v>
      </c>
      <c r="S2971" s="37" t="s">
        <v>33</v>
      </c>
      <c r="T2971" s="31"/>
    </row>
    <row r="2972" spans="1:20">
      <c r="A2972" s="31"/>
      <c r="B2972" s="32"/>
      <c r="C2972" s="33"/>
      <c r="D2972" s="32" t="s">
        <v>6392</v>
      </c>
      <c r="E2972" s="33" t="s">
        <v>23</v>
      </c>
      <c r="F2972" s="34">
        <v>1</v>
      </c>
      <c r="G2972" s="35">
        <v>0</v>
      </c>
      <c r="H2972" s="35">
        <v>0</v>
      </c>
      <c r="I2972" s="35">
        <f>Tabla1[[#This Row],[P.U. M.N.]]*Tabla1[[#This Row],[CANTIDADES DE REFERENCIA]]</f>
        <v>0</v>
      </c>
      <c r="J2972" s="35">
        <f>Tabla1[[#This Row],[P.U. USD]]*Tabla1[[#This Row],[CANTIDADES DE REFERENCIA]]</f>
        <v>0</v>
      </c>
      <c r="K2972" s="36"/>
      <c r="L2972" s="36"/>
      <c r="M2972" s="36"/>
      <c r="N2972" s="37" t="s">
        <v>2647</v>
      </c>
      <c r="O2972" s="37" t="s">
        <v>2648</v>
      </c>
      <c r="P2972" s="38"/>
      <c r="Q2972" s="37" t="s">
        <v>6393</v>
      </c>
      <c r="R2972" s="37" t="s">
        <v>58</v>
      </c>
      <c r="S2972" s="37" t="s">
        <v>2207</v>
      </c>
      <c r="T2972" s="31"/>
    </row>
    <row r="2973" spans="1:20">
      <c r="A2973" s="31"/>
      <c r="B2973" s="32"/>
      <c r="C2973" s="33"/>
      <c r="D2973" s="32" t="s">
        <v>6394</v>
      </c>
      <c r="E2973" s="33" t="s">
        <v>2699</v>
      </c>
      <c r="F2973" s="34">
        <v>1</v>
      </c>
      <c r="G2973" s="35">
        <v>0</v>
      </c>
      <c r="H2973" s="35">
        <v>0</v>
      </c>
      <c r="I2973" s="35">
        <f>Tabla1[[#This Row],[P.U. M.N.]]*Tabla1[[#This Row],[CANTIDADES DE REFERENCIA]]</f>
        <v>0</v>
      </c>
      <c r="J2973" s="35">
        <f>Tabla1[[#This Row],[P.U. USD]]*Tabla1[[#This Row],[CANTIDADES DE REFERENCIA]]</f>
        <v>0</v>
      </c>
      <c r="K2973" s="36"/>
      <c r="L2973" s="36"/>
      <c r="M2973" s="36"/>
      <c r="N2973" s="37" t="s">
        <v>31</v>
      </c>
      <c r="O2973" s="37"/>
      <c r="P2973" s="38"/>
      <c r="Q2973" s="37" t="s">
        <v>6395</v>
      </c>
      <c r="R2973" s="37" t="s">
        <v>389</v>
      </c>
      <c r="S2973" s="37" t="s">
        <v>33</v>
      </c>
      <c r="T2973" s="31"/>
    </row>
    <row r="2974" spans="1:20">
      <c r="A2974" s="31"/>
      <c r="B2974" s="32"/>
      <c r="C2974" s="33"/>
      <c r="D2974" s="32" t="s">
        <v>6396</v>
      </c>
      <c r="E2974" s="33" t="s">
        <v>2699</v>
      </c>
      <c r="F2974" s="34">
        <v>1</v>
      </c>
      <c r="G2974" s="35">
        <v>0</v>
      </c>
      <c r="H2974" s="35">
        <v>0</v>
      </c>
      <c r="I2974" s="35">
        <f>Tabla1[[#This Row],[P.U. M.N.]]*Tabla1[[#This Row],[CANTIDADES DE REFERENCIA]]</f>
        <v>0</v>
      </c>
      <c r="J2974" s="35">
        <f>Tabla1[[#This Row],[P.U. USD]]*Tabla1[[#This Row],[CANTIDADES DE REFERENCIA]]</f>
        <v>0</v>
      </c>
      <c r="K2974" s="36"/>
      <c r="L2974" s="36"/>
      <c r="M2974" s="36"/>
      <c r="N2974" s="37" t="s">
        <v>31</v>
      </c>
      <c r="O2974" s="37"/>
      <c r="P2974" s="38"/>
      <c r="Q2974" s="37" t="s">
        <v>6397</v>
      </c>
      <c r="R2974" s="37" t="s">
        <v>389</v>
      </c>
      <c r="S2974" s="37" t="s">
        <v>33</v>
      </c>
      <c r="T2974" s="31"/>
    </row>
    <row r="2975" spans="1:20">
      <c r="A2975" s="31"/>
      <c r="B2975" s="32"/>
      <c r="C2975" s="33"/>
      <c r="D2975" s="32" t="s">
        <v>6398</v>
      </c>
      <c r="E2975" s="33" t="s">
        <v>23</v>
      </c>
      <c r="F2975" s="34">
        <v>1</v>
      </c>
      <c r="G2975" s="35">
        <v>0</v>
      </c>
      <c r="H2975" s="35">
        <v>0</v>
      </c>
      <c r="I2975" s="35">
        <f>Tabla1[[#This Row],[P.U. M.N.]]*Tabla1[[#This Row],[CANTIDADES DE REFERENCIA]]</f>
        <v>0</v>
      </c>
      <c r="J2975" s="35">
        <f>Tabla1[[#This Row],[P.U. USD]]*Tabla1[[#This Row],[CANTIDADES DE REFERENCIA]]</f>
        <v>0</v>
      </c>
      <c r="K2975" s="36"/>
      <c r="L2975" s="36"/>
      <c r="M2975" s="36"/>
      <c r="N2975" s="37" t="s">
        <v>31</v>
      </c>
      <c r="O2975" s="37"/>
      <c r="P2975" s="38"/>
      <c r="Q2975" s="37" t="s">
        <v>6399</v>
      </c>
      <c r="R2975" s="37" t="s">
        <v>389</v>
      </c>
      <c r="S2975" s="37" t="s">
        <v>33</v>
      </c>
      <c r="T2975" s="31"/>
    </row>
    <row r="2976" spans="1:20">
      <c r="A2976" s="31"/>
      <c r="B2976" s="32"/>
      <c r="C2976" s="33"/>
      <c r="D2976" s="32" t="s">
        <v>6400</v>
      </c>
      <c r="E2976" s="33" t="s">
        <v>23</v>
      </c>
      <c r="F2976" s="34">
        <v>1</v>
      </c>
      <c r="G2976" s="35">
        <v>0</v>
      </c>
      <c r="H2976" s="35">
        <v>0</v>
      </c>
      <c r="I2976" s="35">
        <f>Tabla1[[#This Row],[P.U. M.N.]]*Tabla1[[#This Row],[CANTIDADES DE REFERENCIA]]</f>
        <v>0</v>
      </c>
      <c r="J2976" s="35">
        <f>Tabla1[[#This Row],[P.U. USD]]*Tabla1[[#This Row],[CANTIDADES DE REFERENCIA]]</f>
        <v>0</v>
      </c>
      <c r="K2976" s="36"/>
      <c r="L2976" s="36"/>
      <c r="M2976" s="36"/>
      <c r="N2976" s="37" t="s">
        <v>31</v>
      </c>
      <c r="O2976" s="37"/>
      <c r="P2976" s="38"/>
      <c r="Q2976" s="37" t="s">
        <v>6401</v>
      </c>
      <c r="R2976" s="37" t="s">
        <v>389</v>
      </c>
      <c r="S2976" s="37" t="s">
        <v>33</v>
      </c>
      <c r="T2976" s="31"/>
    </row>
    <row r="2977" spans="1:20">
      <c r="A2977" s="31"/>
      <c r="B2977" s="32"/>
      <c r="C2977" s="33"/>
      <c r="D2977" s="32" t="s">
        <v>6402</v>
      </c>
      <c r="E2977" s="33" t="s">
        <v>23</v>
      </c>
      <c r="F2977" s="34">
        <v>1</v>
      </c>
      <c r="G2977" s="35">
        <v>0</v>
      </c>
      <c r="H2977" s="35">
        <v>0</v>
      </c>
      <c r="I2977" s="35">
        <f>Tabla1[[#This Row],[P.U. M.N.]]*Tabla1[[#This Row],[CANTIDADES DE REFERENCIA]]</f>
        <v>0</v>
      </c>
      <c r="J2977" s="35">
        <f>Tabla1[[#This Row],[P.U. USD]]*Tabla1[[#This Row],[CANTIDADES DE REFERENCIA]]</f>
        <v>0</v>
      </c>
      <c r="K2977" s="36"/>
      <c r="L2977" s="36"/>
      <c r="M2977" s="36"/>
      <c r="N2977" s="37" t="s">
        <v>31</v>
      </c>
      <c r="O2977" s="37"/>
      <c r="P2977" s="38"/>
      <c r="Q2977" s="37" t="s">
        <v>6403</v>
      </c>
      <c r="R2977" s="37" t="s">
        <v>58</v>
      </c>
      <c r="S2977" s="37" t="s">
        <v>33</v>
      </c>
      <c r="T2977" s="31"/>
    </row>
    <row r="2978" spans="1:20">
      <c r="A2978" s="31"/>
      <c r="B2978" s="32"/>
      <c r="C2978" s="33"/>
      <c r="D2978" s="32" t="s">
        <v>6404</v>
      </c>
      <c r="E2978" s="33" t="s">
        <v>23</v>
      </c>
      <c r="F2978" s="34">
        <v>1</v>
      </c>
      <c r="G2978" s="35">
        <v>0</v>
      </c>
      <c r="H2978" s="35">
        <v>0</v>
      </c>
      <c r="I2978" s="35">
        <f>Tabla1[[#This Row],[P.U. M.N.]]*Tabla1[[#This Row],[CANTIDADES DE REFERENCIA]]</f>
        <v>0</v>
      </c>
      <c r="J2978" s="35">
        <f>Tabla1[[#This Row],[P.U. USD]]*Tabla1[[#This Row],[CANTIDADES DE REFERENCIA]]</f>
        <v>0</v>
      </c>
      <c r="K2978" s="36"/>
      <c r="L2978" s="36"/>
      <c r="M2978" s="36"/>
      <c r="N2978" s="37" t="s">
        <v>31</v>
      </c>
      <c r="O2978" s="37"/>
      <c r="P2978" s="38"/>
      <c r="Q2978" s="37" t="s">
        <v>6405</v>
      </c>
      <c r="R2978" s="37" t="s">
        <v>58</v>
      </c>
      <c r="S2978" s="37" t="s">
        <v>33</v>
      </c>
      <c r="T2978" s="31"/>
    </row>
    <row r="2979" spans="1:20">
      <c r="A2979" s="31"/>
      <c r="B2979" s="32"/>
      <c r="C2979" s="33"/>
      <c r="D2979" s="32" t="s">
        <v>6406</v>
      </c>
      <c r="E2979" s="33" t="s">
        <v>23</v>
      </c>
      <c r="F2979" s="34">
        <v>1</v>
      </c>
      <c r="G2979" s="35">
        <v>0</v>
      </c>
      <c r="H2979" s="35">
        <v>0</v>
      </c>
      <c r="I2979" s="35">
        <f>Tabla1[[#This Row],[P.U. M.N.]]*Tabla1[[#This Row],[CANTIDADES DE REFERENCIA]]</f>
        <v>0</v>
      </c>
      <c r="J2979" s="35">
        <f>Tabla1[[#This Row],[P.U. USD]]*Tabla1[[#This Row],[CANTIDADES DE REFERENCIA]]</f>
        <v>0</v>
      </c>
      <c r="K2979" s="36"/>
      <c r="L2979" s="36"/>
      <c r="M2979" s="36"/>
      <c r="N2979" s="37" t="s">
        <v>31</v>
      </c>
      <c r="O2979" s="37"/>
      <c r="P2979" s="38"/>
      <c r="Q2979" s="37" t="s">
        <v>6407</v>
      </c>
      <c r="R2979" s="37" t="s">
        <v>58</v>
      </c>
      <c r="S2979" s="37" t="s">
        <v>33</v>
      </c>
      <c r="T2979" s="31"/>
    </row>
    <row r="2980" spans="1:20">
      <c r="A2980" s="31"/>
      <c r="B2980" s="32"/>
      <c r="C2980" s="33"/>
      <c r="D2980" s="32" t="s">
        <v>6408</v>
      </c>
      <c r="E2980" s="33" t="s">
        <v>23</v>
      </c>
      <c r="F2980" s="34">
        <v>1</v>
      </c>
      <c r="G2980" s="35">
        <v>0</v>
      </c>
      <c r="H2980" s="35">
        <v>0</v>
      </c>
      <c r="I2980" s="35">
        <f>Tabla1[[#This Row],[P.U. M.N.]]*Tabla1[[#This Row],[CANTIDADES DE REFERENCIA]]</f>
        <v>0</v>
      </c>
      <c r="J2980" s="35">
        <f>Tabla1[[#This Row],[P.U. USD]]*Tabla1[[#This Row],[CANTIDADES DE REFERENCIA]]</f>
        <v>0</v>
      </c>
      <c r="K2980" s="36"/>
      <c r="L2980" s="36"/>
      <c r="M2980" s="36"/>
      <c r="N2980" s="37" t="s">
        <v>31</v>
      </c>
      <c r="O2980" s="37"/>
      <c r="P2980" s="38"/>
      <c r="Q2980" s="37" t="s">
        <v>6409</v>
      </c>
      <c r="R2980" s="37" t="s">
        <v>58</v>
      </c>
      <c r="S2980" s="37" t="s">
        <v>33</v>
      </c>
      <c r="T2980" s="31"/>
    </row>
    <row r="2981" spans="1:20">
      <c r="A2981" s="31"/>
      <c r="B2981" s="32"/>
      <c r="C2981" s="33"/>
      <c r="D2981" s="32" t="s">
        <v>6410</v>
      </c>
      <c r="E2981" s="33" t="s">
        <v>23</v>
      </c>
      <c r="F2981" s="34">
        <v>1</v>
      </c>
      <c r="G2981" s="35">
        <v>0</v>
      </c>
      <c r="H2981" s="35">
        <v>0</v>
      </c>
      <c r="I2981" s="35">
        <f>Tabla1[[#This Row],[P.U. M.N.]]*Tabla1[[#This Row],[CANTIDADES DE REFERENCIA]]</f>
        <v>0</v>
      </c>
      <c r="J2981" s="35">
        <f>Tabla1[[#This Row],[P.U. USD]]*Tabla1[[#This Row],[CANTIDADES DE REFERENCIA]]</f>
        <v>0</v>
      </c>
      <c r="K2981" s="36"/>
      <c r="L2981" s="36"/>
      <c r="M2981" s="36"/>
      <c r="N2981" s="37" t="s">
        <v>31</v>
      </c>
      <c r="O2981" s="37"/>
      <c r="P2981" s="38"/>
      <c r="Q2981" s="37" t="s">
        <v>6411</v>
      </c>
      <c r="R2981" s="37" t="s">
        <v>58</v>
      </c>
      <c r="S2981" s="37" t="s">
        <v>33</v>
      </c>
      <c r="T2981" s="31"/>
    </row>
    <row r="2982" spans="1:20">
      <c r="A2982" s="31"/>
      <c r="B2982" s="32"/>
      <c r="C2982" s="33"/>
      <c r="D2982" s="32" t="s">
        <v>6412</v>
      </c>
      <c r="E2982" s="33" t="s">
        <v>23</v>
      </c>
      <c r="F2982" s="34">
        <v>1</v>
      </c>
      <c r="G2982" s="35">
        <v>0</v>
      </c>
      <c r="H2982" s="35">
        <v>0</v>
      </c>
      <c r="I2982" s="35">
        <f>Tabla1[[#This Row],[P.U. M.N.]]*Tabla1[[#This Row],[CANTIDADES DE REFERENCIA]]</f>
        <v>0</v>
      </c>
      <c r="J2982" s="35">
        <f>Tabla1[[#This Row],[P.U. USD]]*Tabla1[[#This Row],[CANTIDADES DE REFERENCIA]]</f>
        <v>0</v>
      </c>
      <c r="K2982" s="36"/>
      <c r="L2982" s="36"/>
      <c r="M2982" s="36"/>
      <c r="N2982" s="37" t="s">
        <v>31</v>
      </c>
      <c r="O2982" s="37"/>
      <c r="P2982" s="38"/>
      <c r="Q2982" s="37" t="s">
        <v>6413</v>
      </c>
      <c r="R2982" s="37" t="s">
        <v>58</v>
      </c>
      <c r="S2982" s="37" t="s">
        <v>33</v>
      </c>
      <c r="T2982" s="31"/>
    </row>
    <row r="2983" spans="1:20">
      <c r="A2983" s="31"/>
      <c r="B2983" s="32"/>
      <c r="C2983" s="33"/>
      <c r="D2983" s="32" t="s">
        <v>6414</v>
      </c>
      <c r="E2983" s="33" t="s">
        <v>2699</v>
      </c>
      <c r="F2983" s="34">
        <v>1</v>
      </c>
      <c r="G2983" s="35">
        <v>0</v>
      </c>
      <c r="H2983" s="35">
        <v>0</v>
      </c>
      <c r="I2983" s="35">
        <f>Tabla1[[#This Row],[P.U. M.N.]]*Tabla1[[#This Row],[CANTIDADES DE REFERENCIA]]</f>
        <v>0</v>
      </c>
      <c r="J2983" s="35">
        <f>Tabla1[[#This Row],[P.U. USD]]*Tabla1[[#This Row],[CANTIDADES DE REFERENCIA]]</f>
        <v>0</v>
      </c>
      <c r="K2983" s="36"/>
      <c r="L2983" s="36"/>
      <c r="M2983" s="36"/>
      <c r="N2983" s="37" t="s">
        <v>31</v>
      </c>
      <c r="O2983" s="37"/>
      <c r="P2983" s="38"/>
      <c r="Q2983" s="37" t="s">
        <v>6415</v>
      </c>
      <c r="R2983" s="37" t="s">
        <v>58</v>
      </c>
      <c r="S2983" s="37" t="s">
        <v>33</v>
      </c>
      <c r="T2983" s="31"/>
    </row>
    <row r="2984" spans="1:20">
      <c r="A2984" s="31"/>
      <c r="B2984" s="32"/>
      <c r="C2984" s="33"/>
      <c r="D2984" s="32" t="s">
        <v>6416</v>
      </c>
      <c r="E2984" s="33" t="s">
        <v>2699</v>
      </c>
      <c r="F2984" s="34">
        <v>1</v>
      </c>
      <c r="G2984" s="35">
        <v>0</v>
      </c>
      <c r="H2984" s="35">
        <v>0</v>
      </c>
      <c r="I2984" s="35">
        <f>Tabla1[[#This Row],[P.U. M.N.]]*Tabla1[[#This Row],[CANTIDADES DE REFERENCIA]]</f>
        <v>0</v>
      </c>
      <c r="J2984" s="35">
        <f>Tabla1[[#This Row],[P.U. USD]]*Tabla1[[#This Row],[CANTIDADES DE REFERENCIA]]</f>
        <v>0</v>
      </c>
      <c r="K2984" s="36"/>
      <c r="L2984" s="36"/>
      <c r="M2984" s="36"/>
      <c r="N2984" s="37" t="s">
        <v>31</v>
      </c>
      <c r="O2984" s="37"/>
      <c r="P2984" s="38"/>
      <c r="Q2984" s="37" t="s">
        <v>6417</v>
      </c>
      <c r="R2984" s="37" t="s">
        <v>58</v>
      </c>
      <c r="S2984" s="37" t="s">
        <v>33</v>
      </c>
      <c r="T2984" s="31"/>
    </row>
    <row r="2985" spans="1:20">
      <c r="A2985" s="31"/>
      <c r="B2985" s="32"/>
      <c r="C2985" s="33"/>
      <c r="D2985" s="32" t="s">
        <v>6418</v>
      </c>
      <c r="E2985" s="33" t="s">
        <v>23</v>
      </c>
      <c r="F2985" s="34">
        <v>1</v>
      </c>
      <c r="G2985" s="35">
        <v>0</v>
      </c>
      <c r="H2985" s="35">
        <v>0</v>
      </c>
      <c r="I2985" s="35">
        <f>Tabla1[[#This Row],[P.U. M.N.]]*Tabla1[[#This Row],[CANTIDADES DE REFERENCIA]]</f>
        <v>0</v>
      </c>
      <c r="J2985" s="35">
        <f>Tabla1[[#This Row],[P.U. USD]]*Tabla1[[#This Row],[CANTIDADES DE REFERENCIA]]</f>
        <v>0</v>
      </c>
      <c r="K2985" s="36"/>
      <c r="L2985" s="36"/>
      <c r="M2985" s="36"/>
      <c r="N2985" s="37" t="s">
        <v>31</v>
      </c>
      <c r="O2985" s="37"/>
      <c r="P2985" s="38"/>
      <c r="Q2985" s="37" t="s">
        <v>6419</v>
      </c>
      <c r="R2985" s="37" t="s">
        <v>389</v>
      </c>
      <c r="S2985" s="37" t="s">
        <v>33</v>
      </c>
      <c r="T2985" s="31"/>
    </row>
    <row r="2986" spans="1:20">
      <c r="A2986" s="31"/>
      <c r="B2986" s="32"/>
      <c r="C2986" s="33"/>
      <c r="D2986" s="32" t="s">
        <v>6420</v>
      </c>
      <c r="E2986" s="33" t="s">
        <v>2699</v>
      </c>
      <c r="F2986" s="34">
        <v>1</v>
      </c>
      <c r="G2986" s="35">
        <v>0</v>
      </c>
      <c r="H2986" s="35">
        <v>0</v>
      </c>
      <c r="I2986" s="35">
        <f>Tabla1[[#This Row],[P.U. M.N.]]*Tabla1[[#This Row],[CANTIDADES DE REFERENCIA]]</f>
        <v>0</v>
      </c>
      <c r="J2986" s="35">
        <f>Tabla1[[#This Row],[P.U. USD]]*Tabla1[[#This Row],[CANTIDADES DE REFERENCIA]]</f>
        <v>0</v>
      </c>
      <c r="K2986" s="36"/>
      <c r="L2986" s="36"/>
      <c r="M2986" s="36"/>
      <c r="N2986" s="37" t="s">
        <v>31</v>
      </c>
      <c r="O2986" s="37"/>
      <c r="P2986" s="38"/>
      <c r="Q2986" s="37" t="s">
        <v>6421</v>
      </c>
      <c r="R2986" s="37" t="s">
        <v>389</v>
      </c>
      <c r="S2986" s="37" t="s">
        <v>33</v>
      </c>
      <c r="T2986" s="31"/>
    </row>
    <row r="2987" spans="1:20">
      <c r="A2987" s="31"/>
      <c r="B2987" s="32"/>
      <c r="C2987" s="33"/>
      <c r="D2987" s="32" t="s">
        <v>6422</v>
      </c>
      <c r="E2987" s="33" t="s">
        <v>2699</v>
      </c>
      <c r="F2987" s="34">
        <v>1</v>
      </c>
      <c r="G2987" s="35">
        <v>0</v>
      </c>
      <c r="H2987" s="35">
        <v>0</v>
      </c>
      <c r="I2987" s="35">
        <f>Tabla1[[#This Row],[P.U. M.N.]]*Tabla1[[#This Row],[CANTIDADES DE REFERENCIA]]</f>
        <v>0</v>
      </c>
      <c r="J2987" s="35">
        <f>Tabla1[[#This Row],[P.U. USD]]*Tabla1[[#This Row],[CANTIDADES DE REFERENCIA]]</f>
        <v>0</v>
      </c>
      <c r="K2987" s="36"/>
      <c r="L2987" s="36"/>
      <c r="M2987" s="36"/>
      <c r="N2987" s="37" t="s">
        <v>31</v>
      </c>
      <c r="O2987" s="37"/>
      <c r="P2987" s="38"/>
      <c r="Q2987" s="37" t="s">
        <v>6423</v>
      </c>
      <c r="R2987" s="37" t="s">
        <v>389</v>
      </c>
      <c r="S2987" s="37" t="s">
        <v>33</v>
      </c>
      <c r="T2987" s="31"/>
    </row>
    <row r="2988" spans="1:20">
      <c r="A2988" s="31"/>
      <c r="B2988" s="32"/>
      <c r="C2988" s="33"/>
      <c r="D2988" s="32" t="s">
        <v>3198</v>
      </c>
      <c r="E2988" s="33" t="s">
        <v>42</v>
      </c>
      <c r="F2988" s="34">
        <v>1</v>
      </c>
      <c r="G2988" s="35">
        <v>0</v>
      </c>
      <c r="H2988" s="35">
        <v>0</v>
      </c>
      <c r="I2988" s="35">
        <f>Tabla1[[#This Row],[P.U. M.N.]]*Tabla1[[#This Row],[CANTIDADES DE REFERENCIA]]</f>
        <v>0</v>
      </c>
      <c r="J2988" s="35">
        <f>Tabla1[[#This Row],[P.U. USD]]*Tabla1[[#This Row],[CANTIDADES DE REFERENCIA]]</f>
        <v>0</v>
      </c>
      <c r="K2988" s="36"/>
      <c r="L2988" s="36"/>
      <c r="M2988" s="36"/>
      <c r="N2988" s="37" t="s">
        <v>31</v>
      </c>
      <c r="O2988" s="37"/>
      <c r="P2988" s="38"/>
      <c r="Q2988" s="37" t="s">
        <v>6424</v>
      </c>
      <c r="R2988" s="37" t="s">
        <v>58</v>
      </c>
      <c r="S2988" s="37" t="s">
        <v>33</v>
      </c>
      <c r="T2988" s="31"/>
    </row>
    <row r="2989" spans="1:20">
      <c r="A2989" s="31"/>
      <c r="B2989" s="32"/>
      <c r="C2989" s="33"/>
      <c r="D2989" s="32" t="s">
        <v>6425</v>
      </c>
      <c r="E2989" s="33" t="s">
        <v>2699</v>
      </c>
      <c r="F2989" s="34">
        <v>1</v>
      </c>
      <c r="G2989" s="35">
        <v>0</v>
      </c>
      <c r="H2989" s="35">
        <v>0</v>
      </c>
      <c r="I2989" s="35">
        <f>Tabla1[[#This Row],[P.U. M.N.]]*Tabla1[[#This Row],[CANTIDADES DE REFERENCIA]]</f>
        <v>0</v>
      </c>
      <c r="J2989" s="35">
        <f>Tabla1[[#This Row],[P.U. USD]]*Tabla1[[#This Row],[CANTIDADES DE REFERENCIA]]</f>
        <v>0</v>
      </c>
      <c r="K2989" s="36"/>
      <c r="L2989" s="36"/>
      <c r="M2989" s="36"/>
      <c r="N2989" s="37"/>
      <c r="O2989" s="37"/>
      <c r="P2989" s="38"/>
      <c r="Q2989" s="37" t="s">
        <v>6426</v>
      </c>
      <c r="R2989" s="37" t="s">
        <v>389</v>
      </c>
      <c r="S2989" s="37" t="s">
        <v>390</v>
      </c>
      <c r="T2989" s="31"/>
    </row>
    <row r="2990" spans="1:20">
      <c r="A2990" s="31"/>
      <c r="B2990" s="32"/>
      <c r="C2990" s="33"/>
      <c r="D2990" s="32" t="s">
        <v>6427</v>
      </c>
      <c r="E2990" s="33" t="s">
        <v>2699</v>
      </c>
      <c r="F2990" s="34">
        <v>1</v>
      </c>
      <c r="G2990" s="35">
        <v>0</v>
      </c>
      <c r="H2990" s="35">
        <v>0</v>
      </c>
      <c r="I2990" s="35">
        <f>Tabla1[[#This Row],[P.U. M.N.]]*Tabla1[[#This Row],[CANTIDADES DE REFERENCIA]]</f>
        <v>0</v>
      </c>
      <c r="J2990" s="35">
        <f>Tabla1[[#This Row],[P.U. USD]]*Tabla1[[#This Row],[CANTIDADES DE REFERENCIA]]</f>
        <v>0</v>
      </c>
      <c r="K2990" s="36"/>
      <c r="L2990" s="36"/>
      <c r="M2990" s="36"/>
      <c r="N2990" s="37"/>
      <c r="O2990" s="37"/>
      <c r="P2990" s="38"/>
      <c r="Q2990" s="37" t="s">
        <v>6428</v>
      </c>
      <c r="R2990" s="37" t="s">
        <v>389</v>
      </c>
      <c r="S2990" s="37" t="s">
        <v>390</v>
      </c>
      <c r="T2990" s="31"/>
    </row>
    <row r="2991" spans="1:20">
      <c r="A2991" s="31"/>
      <c r="B2991" s="32"/>
      <c r="C2991" s="33"/>
      <c r="D2991" s="32" t="s">
        <v>6429</v>
      </c>
      <c r="E2991" s="33" t="s">
        <v>367</v>
      </c>
      <c r="F2991" s="34">
        <v>1</v>
      </c>
      <c r="G2991" s="35">
        <v>0</v>
      </c>
      <c r="H2991" s="35">
        <v>0</v>
      </c>
      <c r="I2991" s="35">
        <f>Tabla1[[#This Row],[P.U. M.N.]]*Tabla1[[#This Row],[CANTIDADES DE REFERENCIA]]</f>
        <v>0</v>
      </c>
      <c r="J2991" s="35">
        <f>Tabla1[[#This Row],[P.U. USD]]*Tabla1[[#This Row],[CANTIDADES DE REFERENCIA]]</f>
        <v>0</v>
      </c>
      <c r="K2991" s="36"/>
      <c r="L2991" s="36"/>
      <c r="M2991" s="36"/>
      <c r="N2991" s="37" t="s">
        <v>2989</v>
      </c>
      <c r="O2991" s="37" t="s">
        <v>2990</v>
      </c>
      <c r="P2991" s="38"/>
      <c r="Q2991" s="37" t="s">
        <v>6430</v>
      </c>
      <c r="R2991" s="37"/>
      <c r="S2991" s="37" t="s">
        <v>2992</v>
      </c>
      <c r="T2991" s="31"/>
    </row>
    <row r="2992" spans="1:20">
      <c r="A2992" s="31"/>
      <c r="B2992" s="32"/>
      <c r="C2992" s="33"/>
      <c r="D2992" s="32" t="s">
        <v>6431</v>
      </c>
      <c r="E2992" s="33" t="s">
        <v>23</v>
      </c>
      <c r="F2992" s="34">
        <v>1</v>
      </c>
      <c r="G2992" s="35">
        <v>0</v>
      </c>
      <c r="H2992" s="35">
        <v>0</v>
      </c>
      <c r="I2992" s="35">
        <f>Tabla1[[#This Row],[P.U. M.N.]]*Tabla1[[#This Row],[CANTIDADES DE REFERENCIA]]</f>
        <v>0</v>
      </c>
      <c r="J2992" s="35">
        <f>Tabla1[[#This Row],[P.U. USD]]*Tabla1[[#This Row],[CANTIDADES DE REFERENCIA]]</f>
        <v>0</v>
      </c>
      <c r="K2992" s="36"/>
      <c r="L2992" s="36"/>
      <c r="M2992" s="36"/>
      <c r="N2992" s="37" t="s">
        <v>599</v>
      </c>
      <c r="O2992" s="37" t="s">
        <v>600</v>
      </c>
      <c r="P2992" s="38"/>
      <c r="Q2992" s="37" t="s">
        <v>6432</v>
      </c>
      <c r="R2992" s="37" t="s">
        <v>58</v>
      </c>
      <c r="S2992" s="37" t="s">
        <v>602</v>
      </c>
      <c r="T2992" s="31"/>
    </row>
    <row r="2993" spans="1:20">
      <c r="A2993" s="31"/>
      <c r="B2993" s="32"/>
      <c r="C2993" s="33"/>
      <c r="D2993" s="32" t="s">
        <v>6433</v>
      </c>
      <c r="E2993" s="33" t="s">
        <v>2699</v>
      </c>
      <c r="F2993" s="34">
        <v>1</v>
      </c>
      <c r="G2993" s="35">
        <v>0</v>
      </c>
      <c r="H2993" s="35">
        <v>0</v>
      </c>
      <c r="I2993" s="35">
        <f>Tabla1[[#This Row],[P.U. M.N.]]*Tabla1[[#This Row],[CANTIDADES DE REFERENCIA]]</f>
        <v>0</v>
      </c>
      <c r="J2993" s="35">
        <f>Tabla1[[#This Row],[P.U. USD]]*Tabla1[[#This Row],[CANTIDADES DE REFERENCIA]]</f>
        <v>0</v>
      </c>
      <c r="K2993" s="36"/>
      <c r="L2993" s="36"/>
      <c r="M2993" s="36"/>
      <c r="N2993" s="37" t="s">
        <v>599</v>
      </c>
      <c r="O2993" s="37" t="s">
        <v>600</v>
      </c>
      <c r="P2993" s="38"/>
      <c r="Q2993" s="37" t="s">
        <v>6434</v>
      </c>
      <c r="R2993" s="37" t="s">
        <v>58</v>
      </c>
      <c r="S2993" s="37" t="s">
        <v>602</v>
      </c>
      <c r="T2993" s="31"/>
    </row>
    <row r="2994" spans="1:20">
      <c r="A2994" s="31"/>
      <c r="B2994" s="32"/>
      <c r="C2994" s="33"/>
      <c r="D2994" s="32" t="s">
        <v>6435</v>
      </c>
      <c r="E2994" s="33" t="s">
        <v>2699</v>
      </c>
      <c r="F2994" s="34">
        <v>1</v>
      </c>
      <c r="G2994" s="35">
        <v>0</v>
      </c>
      <c r="H2994" s="35">
        <v>0</v>
      </c>
      <c r="I2994" s="35">
        <f>Tabla1[[#This Row],[P.U. M.N.]]*Tabla1[[#This Row],[CANTIDADES DE REFERENCIA]]</f>
        <v>0</v>
      </c>
      <c r="J2994" s="35">
        <f>Tabla1[[#This Row],[P.U. USD]]*Tabla1[[#This Row],[CANTIDADES DE REFERENCIA]]</f>
        <v>0</v>
      </c>
      <c r="K2994" s="36"/>
      <c r="L2994" s="36"/>
      <c r="M2994" s="36"/>
      <c r="N2994" s="37" t="s">
        <v>599</v>
      </c>
      <c r="O2994" s="37" t="s">
        <v>600</v>
      </c>
      <c r="P2994" s="38"/>
      <c r="Q2994" s="37" t="s">
        <v>6436</v>
      </c>
      <c r="R2994" s="37" t="s">
        <v>58</v>
      </c>
      <c r="S2994" s="37" t="s">
        <v>602</v>
      </c>
      <c r="T2994" s="31"/>
    </row>
    <row r="2995" spans="1:20">
      <c r="A2995" s="31"/>
      <c r="B2995" s="32"/>
      <c r="C2995" s="33"/>
      <c r="D2995" s="32" t="s">
        <v>6437</v>
      </c>
      <c r="E2995" s="33" t="s">
        <v>23</v>
      </c>
      <c r="F2995" s="34">
        <v>1</v>
      </c>
      <c r="G2995" s="35">
        <v>0</v>
      </c>
      <c r="H2995" s="35">
        <v>0</v>
      </c>
      <c r="I2995" s="35">
        <f>Tabla1[[#This Row],[P.U. M.N.]]*Tabla1[[#This Row],[CANTIDADES DE REFERENCIA]]</f>
        <v>0</v>
      </c>
      <c r="J2995" s="35">
        <f>Tabla1[[#This Row],[P.U. USD]]*Tabla1[[#This Row],[CANTIDADES DE REFERENCIA]]</f>
        <v>0</v>
      </c>
      <c r="K2995" s="36"/>
      <c r="L2995" s="36"/>
      <c r="M2995" s="36"/>
      <c r="N2995" s="37" t="s">
        <v>599</v>
      </c>
      <c r="O2995" s="37" t="s">
        <v>600</v>
      </c>
      <c r="P2995" s="38"/>
      <c r="Q2995" s="37" t="s">
        <v>6438</v>
      </c>
      <c r="R2995" s="37" t="s">
        <v>58</v>
      </c>
      <c r="S2995" s="37" t="s">
        <v>602</v>
      </c>
      <c r="T2995" s="31"/>
    </row>
    <row r="2996" spans="1:20">
      <c r="A2996" s="31"/>
      <c r="B2996" s="32"/>
      <c r="C2996" s="33"/>
      <c r="D2996" s="32" t="s">
        <v>6439</v>
      </c>
      <c r="E2996" s="33" t="s">
        <v>367</v>
      </c>
      <c r="F2996" s="34">
        <v>1</v>
      </c>
      <c r="G2996" s="35">
        <v>0</v>
      </c>
      <c r="H2996" s="35">
        <v>0</v>
      </c>
      <c r="I2996" s="35">
        <f>Tabla1[[#This Row],[P.U. M.N.]]*Tabla1[[#This Row],[CANTIDADES DE REFERENCIA]]</f>
        <v>0</v>
      </c>
      <c r="J2996" s="35">
        <f>Tabla1[[#This Row],[P.U. USD]]*Tabla1[[#This Row],[CANTIDADES DE REFERENCIA]]</f>
        <v>0</v>
      </c>
      <c r="K2996" s="36"/>
      <c r="L2996" s="36"/>
      <c r="M2996" s="36"/>
      <c r="N2996" s="37" t="s">
        <v>2989</v>
      </c>
      <c r="O2996" s="37" t="s">
        <v>2990</v>
      </c>
      <c r="P2996" s="38"/>
      <c r="Q2996" s="37" t="s">
        <v>6440</v>
      </c>
      <c r="R2996" s="37"/>
      <c r="S2996" s="37" t="s">
        <v>2992</v>
      </c>
      <c r="T2996" s="31"/>
    </row>
    <row r="2997" spans="1:20">
      <c r="A2997" s="31"/>
      <c r="B2997" s="32"/>
      <c r="C2997" s="33"/>
      <c r="D2997" s="32" t="s">
        <v>6441</v>
      </c>
      <c r="E2997" s="33" t="s">
        <v>23</v>
      </c>
      <c r="F2997" s="34">
        <v>1</v>
      </c>
      <c r="G2997" s="35">
        <v>0</v>
      </c>
      <c r="H2997" s="35">
        <v>0</v>
      </c>
      <c r="I2997" s="35">
        <f>Tabla1[[#This Row],[P.U. M.N.]]*Tabla1[[#This Row],[CANTIDADES DE REFERENCIA]]</f>
        <v>0</v>
      </c>
      <c r="J2997" s="35">
        <f>Tabla1[[#This Row],[P.U. USD]]*Tabla1[[#This Row],[CANTIDADES DE REFERENCIA]]</f>
        <v>0</v>
      </c>
      <c r="K2997" s="36"/>
      <c r="L2997" s="36"/>
      <c r="M2997" s="36"/>
      <c r="N2997" s="37"/>
      <c r="O2997" s="37"/>
      <c r="P2997" s="38"/>
      <c r="Q2997" s="37" t="s">
        <v>6442</v>
      </c>
      <c r="R2997" s="37" t="s">
        <v>389</v>
      </c>
      <c r="S2997" s="37" t="s">
        <v>390</v>
      </c>
      <c r="T2997" s="31"/>
    </row>
    <row r="2998" spans="1:20">
      <c r="A2998" s="31"/>
      <c r="B2998" s="32"/>
      <c r="C2998" s="33"/>
      <c r="D2998" s="32" t="s">
        <v>6443</v>
      </c>
      <c r="E2998" s="33" t="s">
        <v>2699</v>
      </c>
      <c r="F2998" s="34">
        <v>1</v>
      </c>
      <c r="G2998" s="35">
        <v>0</v>
      </c>
      <c r="H2998" s="35">
        <v>0</v>
      </c>
      <c r="I2998" s="35">
        <f>Tabla1[[#This Row],[P.U. M.N.]]*Tabla1[[#This Row],[CANTIDADES DE REFERENCIA]]</f>
        <v>0</v>
      </c>
      <c r="J2998" s="35">
        <f>Tabla1[[#This Row],[P.U. USD]]*Tabla1[[#This Row],[CANTIDADES DE REFERENCIA]]</f>
        <v>0</v>
      </c>
      <c r="K2998" s="36"/>
      <c r="L2998" s="36"/>
      <c r="M2998" s="36"/>
      <c r="N2998" s="37" t="s">
        <v>31</v>
      </c>
      <c r="O2998" s="37"/>
      <c r="P2998" s="38"/>
      <c r="Q2998" s="37" t="s">
        <v>6444</v>
      </c>
      <c r="R2998" s="37" t="s">
        <v>389</v>
      </c>
      <c r="S2998" s="37" t="s">
        <v>33</v>
      </c>
      <c r="T2998" s="31"/>
    </row>
    <row r="2999" spans="1:20">
      <c r="A2999" s="31"/>
      <c r="B2999" s="32"/>
      <c r="C2999" s="33"/>
      <c r="D2999" s="32" t="s">
        <v>6445</v>
      </c>
      <c r="E2999" s="33" t="s">
        <v>2699</v>
      </c>
      <c r="F2999" s="34">
        <v>1</v>
      </c>
      <c r="G2999" s="35">
        <v>0</v>
      </c>
      <c r="H2999" s="35">
        <v>0</v>
      </c>
      <c r="I2999" s="35">
        <f>Tabla1[[#This Row],[P.U. M.N.]]*Tabla1[[#This Row],[CANTIDADES DE REFERENCIA]]</f>
        <v>0</v>
      </c>
      <c r="J2999" s="35">
        <f>Tabla1[[#This Row],[P.U. USD]]*Tabla1[[#This Row],[CANTIDADES DE REFERENCIA]]</f>
        <v>0</v>
      </c>
      <c r="K2999" s="36"/>
      <c r="L2999" s="36"/>
      <c r="M2999" s="36"/>
      <c r="N2999" s="37" t="s">
        <v>31</v>
      </c>
      <c r="O2999" s="37"/>
      <c r="P2999" s="38"/>
      <c r="Q2999" s="37" t="s">
        <v>6446</v>
      </c>
      <c r="R2999" s="37" t="s">
        <v>389</v>
      </c>
      <c r="S2999" s="37" t="s">
        <v>33</v>
      </c>
      <c r="T2999" s="31"/>
    </row>
    <row r="3000" spans="1:20">
      <c r="A3000" s="31"/>
      <c r="B3000" s="32"/>
      <c r="C3000" s="33"/>
      <c r="D3000" s="32" t="s">
        <v>6447</v>
      </c>
      <c r="E3000" s="33" t="s">
        <v>2699</v>
      </c>
      <c r="F3000" s="34">
        <v>1</v>
      </c>
      <c r="G3000" s="35">
        <v>0</v>
      </c>
      <c r="H3000" s="35">
        <v>0</v>
      </c>
      <c r="I3000" s="35">
        <f>Tabla1[[#This Row],[P.U. M.N.]]*Tabla1[[#This Row],[CANTIDADES DE REFERENCIA]]</f>
        <v>0</v>
      </c>
      <c r="J3000" s="35">
        <f>Tabla1[[#This Row],[P.U. USD]]*Tabla1[[#This Row],[CANTIDADES DE REFERENCIA]]</f>
        <v>0</v>
      </c>
      <c r="K3000" s="36"/>
      <c r="L3000" s="36"/>
      <c r="M3000" s="36"/>
      <c r="N3000" s="37" t="s">
        <v>31</v>
      </c>
      <c r="O3000" s="37"/>
      <c r="P3000" s="38"/>
      <c r="Q3000" s="37" t="s">
        <v>6448</v>
      </c>
      <c r="R3000" s="37" t="s">
        <v>389</v>
      </c>
      <c r="S3000" s="37" t="s">
        <v>33</v>
      </c>
      <c r="T3000" s="31"/>
    </row>
    <row r="3001" spans="1:20">
      <c r="A3001" s="31"/>
      <c r="B3001" s="32"/>
      <c r="C3001" s="33"/>
      <c r="D3001" s="32" t="s">
        <v>6449</v>
      </c>
      <c r="E3001" s="33" t="s">
        <v>2699</v>
      </c>
      <c r="F3001" s="34">
        <v>1</v>
      </c>
      <c r="G3001" s="35">
        <v>0</v>
      </c>
      <c r="H3001" s="35">
        <v>0</v>
      </c>
      <c r="I3001" s="35">
        <f>Tabla1[[#This Row],[P.U. M.N.]]*Tabla1[[#This Row],[CANTIDADES DE REFERENCIA]]</f>
        <v>0</v>
      </c>
      <c r="J3001" s="35">
        <f>Tabla1[[#This Row],[P.U. USD]]*Tabla1[[#This Row],[CANTIDADES DE REFERENCIA]]</f>
        <v>0</v>
      </c>
      <c r="K3001" s="36"/>
      <c r="L3001" s="36"/>
      <c r="M3001" s="36"/>
      <c r="N3001" s="37" t="s">
        <v>31</v>
      </c>
      <c r="O3001" s="37"/>
      <c r="P3001" s="38"/>
      <c r="Q3001" s="37" t="s">
        <v>6450</v>
      </c>
      <c r="R3001" s="37" t="s">
        <v>389</v>
      </c>
      <c r="S3001" s="37" t="s">
        <v>33</v>
      </c>
      <c r="T3001" s="31"/>
    </row>
    <row r="3002" spans="1:20">
      <c r="A3002" s="31"/>
      <c r="B3002" s="32"/>
      <c r="C3002" s="33"/>
      <c r="D3002" s="32" t="s">
        <v>6451</v>
      </c>
      <c r="E3002" s="33" t="s">
        <v>23</v>
      </c>
      <c r="F3002" s="34">
        <v>1</v>
      </c>
      <c r="G3002" s="35">
        <v>0</v>
      </c>
      <c r="H3002" s="35">
        <v>0</v>
      </c>
      <c r="I3002" s="35">
        <f>Tabla1[[#This Row],[P.U. M.N.]]*Tabla1[[#This Row],[CANTIDADES DE REFERENCIA]]</f>
        <v>0</v>
      </c>
      <c r="J3002" s="35">
        <f>Tabla1[[#This Row],[P.U. USD]]*Tabla1[[#This Row],[CANTIDADES DE REFERENCIA]]</f>
        <v>0</v>
      </c>
      <c r="K3002" s="36"/>
      <c r="L3002" s="36"/>
      <c r="M3002" s="36"/>
      <c r="N3002" s="37" t="s">
        <v>599</v>
      </c>
      <c r="O3002" s="37" t="s">
        <v>600</v>
      </c>
      <c r="P3002" s="38"/>
      <c r="Q3002" s="37" t="s">
        <v>6452</v>
      </c>
      <c r="R3002" s="37"/>
      <c r="S3002" s="37" t="s">
        <v>602</v>
      </c>
      <c r="T3002" s="31"/>
    </row>
    <row r="3003" spans="1:20">
      <c r="A3003" s="31"/>
      <c r="B3003" s="32"/>
      <c r="C3003" s="33"/>
      <c r="D3003" s="32" t="s">
        <v>6453</v>
      </c>
      <c r="E3003" s="33" t="s">
        <v>23</v>
      </c>
      <c r="F3003" s="34">
        <v>1</v>
      </c>
      <c r="G3003" s="35">
        <v>0</v>
      </c>
      <c r="H3003" s="35">
        <v>0</v>
      </c>
      <c r="I3003" s="35">
        <f>Tabla1[[#This Row],[P.U. M.N.]]*Tabla1[[#This Row],[CANTIDADES DE REFERENCIA]]</f>
        <v>0</v>
      </c>
      <c r="J3003" s="35">
        <f>Tabla1[[#This Row],[P.U. USD]]*Tabla1[[#This Row],[CANTIDADES DE REFERENCIA]]</f>
        <v>0</v>
      </c>
      <c r="K3003" s="36"/>
      <c r="L3003" s="36"/>
      <c r="M3003" s="36"/>
      <c r="N3003" s="37" t="s">
        <v>599</v>
      </c>
      <c r="O3003" s="37" t="s">
        <v>600</v>
      </c>
      <c r="P3003" s="38"/>
      <c r="Q3003" s="37" t="s">
        <v>6454</v>
      </c>
      <c r="R3003" s="37" t="s">
        <v>58</v>
      </c>
      <c r="S3003" s="37" t="s">
        <v>602</v>
      </c>
      <c r="T3003" s="31"/>
    </row>
    <row r="3004" spans="1:20">
      <c r="A3004" s="31"/>
      <c r="B3004" s="32"/>
      <c r="C3004" s="33"/>
      <c r="D3004" s="32" t="s">
        <v>6455</v>
      </c>
      <c r="E3004" s="33" t="s">
        <v>23</v>
      </c>
      <c r="F3004" s="34">
        <v>1</v>
      </c>
      <c r="G3004" s="35">
        <v>0</v>
      </c>
      <c r="H3004" s="35">
        <v>0</v>
      </c>
      <c r="I3004" s="35">
        <f>Tabla1[[#This Row],[P.U. M.N.]]*Tabla1[[#This Row],[CANTIDADES DE REFERENCIA]]</f>
        <v>0</v>
      </c>
      <c r="J3004" s="35">
        <f>Tabla1[[#This Row],[P.U. USD]]*Tabla1[[#This Row],[CANTIDADES DE REFERENCIA]]</f>
        <v>0</v>
      </c>
      <c r="K3004" s="36"/>
      <c r="L3004" s="36"/>
      <c r="M3004" s="36"/>
      <c r="N3004" s="37"/>
      <c r="O3004" s="37"/>
      <c r="P3004" s="38"/>
      <c r="Q3004" s="37" t="s">
        <v>6456</v>
      </c>
      <c r="R3004" s="37" t="s">
        <v>389</v>
      </c>
      <c r="S3004" s="37" t="s">
        <v>390</v>
      </c>
      <c r="T3004" s="31"/>
    </row>
    <row r="3005" spans="1:20">
      <c r="A3005" s="31"/>
      <c r="B3005" s="32"/>
      <c r="C3005" s="33"/>
      <c r="D3005" s="32" t="s">
        <v>6457</v>
      </c>
      <c r="E3005" s="33" t="s">
        <v>23</v>
      </c>
      <c r="F3005" s="34">
        <v>1</v>
      </c>
      <c r="G3005" s="35">
        <v>0</v>
      </c>
      <c r="H3005" s="35">
        <v>0</v>
      </c>
      <c r="I3005" s="35">
        <f>Tabla1[[#This Row],[P.U. M.N.]]*Tabla1[[#This Row],[CANTIDADES DE REFERENCIA]]</f>
        <v>0</v>
      </c>
      <c r="J3005" s="35">
        <f>Tabla1[[#This Row],[P.U. USD]]*Tabla1[[#This Row],[CANTIDADES DE REFERENCIA]]</f>
        <v>0</v>
      </c>
      <c r="K3005" s="36"/>
      <c r="L3005" s="36"/>
      <c r="M3005" s="36"/>
      <c r="N3005" s="37" t="s">
        <v>392</v>
      </c>
      <c r="O3005" s="37" t="s">
        <v>393</v>
      </c>
      <c r="P3005" s="38"/>
      <c r="Q3005" s="37" t="s">
        <v>6458</v>
      </c>
      <c r="R3005" s="37"/>
      <c r="S3005" s="37" t="s">
        <v>395</v>
      </c>
      <c r="T3005" s="31"/>
    </row>
    <row r="3006" spans="1:20">
      <c r="A3006" s="31"/>
      <c r="B3006" s="32"/>
      <c r="C3006" s="33"/>
      <c r="D3006" s="32" t="s">
        <v>6459</v>
      </c>
      <c r="E3006" s="33" t="s">
        <v>23</v>
      </c>
      <c r="F3006" s="34">
        <v>1</v>
      </c>
      <c r="G3006" s="35">
        <v>0</v>
      </c>
      <c r="H3006" s="35">
        <v>0</v>
      </c>
      <c r="I3006" s="35">
        <f>Tabla1[[#This Row],[P.U. M.N.]]*Tabla1[[#This Row],[CANTIDADES DE REFERENCIA]]</f>
        <v>0</v>
      </c>
      <c r="J3006" s="35">
        <f>Tabla1[[#This Row],[P.U. USD]]*Tabla1[[#This Row],[CANTIDADES DE REFERENCIA]]</f>
        <v>0</v>
      </c>
      <c r="K3006" s="36"/>
      <c r="L3006" s="36"/>
      <c r="M3006" s="36"/>
      <c r="N3006" s="37" t="s">
        <v>31</v>
      </c>
      <c r="O3006" s="37"/>
      <c r="P3006" s="38"/>
      <c r="Q3006" s="37" t="s">
        <v>6460</v>
      </c>
      <c r="R3006" s="37"/>
      <c r="S3006" s="37" t="s">
        <v>33</v>
      </c>
      <c r="T3006" s="31"/>
    </row>
    <row r="3007" spans="1:20">
      <c r="A3007" s="31"/>
      <c r="B3007" s="32"/>
      <c r="C3007" s="33"/>
      <c r="D3007" s="32" t="s">
        <v>6461</v>
      </c>
      <c r="E3007" s="33" t="s">
        <v>2699</v>
      </c>
      <c r="F3007" s="34">
        <v>1</v>
      </c>
      <c r="G3007" s="35">
        <v>0</v>
      </c>
      <c r="H3007" s="35">
        <v>0</v>
      </c>
      <c r="I3007" s="35">
        <f>Tabla1[[#This Row],[P.U. M.N.]]*Tabla1[[#This Row],[CANTIDADES DE REFERENCIA]]</f>
        <v>0</v>
      </c>
      <c r="J3007" s="35">
        <f>Tabla1[[#This Row],[P.U. USD]]*Tabla1[[#This Row],[CANTIDADES DE REFERENCIA]]</f>
        <v>0</v>
      </c>
      <c r="K3007" s="36"/>
      <c r="L3007" s="36"/>
      <c r="M3007" s="36"/>
      <c r="N3007" s="37" t="s">
        <v>589</v>
      </c>
      <c r="O3007" s="37"/>
      <c r="P3007" s="38"/>
      <c r="Q3007" s="37" t="s">
        <v>6462</v>
      </c>
      <c r="R3007" s="37"/>
      <c r="S3007" s="37" t="s">
        <v>591</v>
      </c>
      <c r="T3007" s="31"/>
    </row>
    <row r="3008" spans="1:20">
      <c r="A3008" s="31"/>
      <c r="B3008" s="32"/>
      <c r="C3008" s="33"/>
      <c r="D3008" s="32" t="s">
        <v>6463</v>
      </c>
      <c r="E3008" s="33" t="s">
        <v>23</v>
      </c>
      <c r="F3008" s="34">
        <v>1</v>
      </c>
      <c r="G3008" s="35">
        <v>0</v>
      </c>
      <c r="H3008" s="35">
        <v>0</v>
      </c>
      <c r="I3008" s="35">
        <f>Tabla1[[#This Row],[P.U. M.N.]]*Tabla1[[#This Row],[CANTIDADES DE REFERENCIA]]</f>
        <v>0</v>
      </c>
      <c r="J3008" s="35">
        <f>Tabla1[[#This Row],[P.U. USD]]*Tabla1[[#This Row],[CANTIDADES DE REFERENCIA]]</f>
        <v>0</v>
      </c>
      <c r="K3008" s="36"/>
      <c r="L3008" s="36"/>
      <c r="M3008" s="36"/>
      <c r="N3008" s="37" t="s">
        <v>589</v>
      </c>
      <c r="O3008" s="37"/>
      <c r="P3008" s="38"/>
      <c r="Q3008" s="37" t="s">
        <v>6464</v>
      </c>
      <c r="R3008" s="37"/>
      <c r="S3008" s="37" t="s">
        <v>591</v>
      </c>
      <c r="T3008" s="31"/>
    </row>
    <row r="3009" spans="1:20">
      <c r="A3009" s="31"/>
      <c r="B3009" s="32"/>
      <c r="C3009" s="33"/>
      <c r="D3009" s="32" t="s">
        <v>6465</v>
      </c>
      <c r="E3009" s="33" t="s">
        <v>2699</v>
      </c>
      <c r="F3009" s="34">
        <v>1</v>
      </c>
      <c r="G3009" s="35">
        <v>0</v>
      </c>
      <c r="H3009" s="35">
        <v>0</v>
      </c>
      <c r="I3009" s="35">
        <f>Tabla1[[#This Row],[P.U. M.N.]]*Tabla1[[#This Row],[CANTIDADES DE REFERENCIA]]</f>
        <v>0</v>
      </c>
      <c r="J3009" s="35">
        <f>Tabla1[[#This Row],[P.U. USD]]*Tabla1[[#This Row],[CANTIDADES DE REFERENCIA]]</f>
        <v>0</v>
      </c>
      <c r="K3009" s="36"/>
      <c r="L3009" s="36"/>
      <c r="M3009" s="36"/>
      <c r="N3009" s="37" t="s">
        <v>589</v>
      </c>
      <c r="O3009" s="37"/>
      <c r="P3009" s="38"/>
      <c r="Q3009" s="37" t="s">
        <v>6466</v>
      </c>
      <c r="R3009" s="37"/>
      <c r="S3009" s="37" t="s">
        <v>591</v>
      </c>
      <c r="T3009" s="31"/>
    </row>
    <row r="3010" spans="1:20">
      <c r="A3010" s="31"/>
      <c r="B3010" s="32"/>
      <c r="C3010" s="33"/>
      <c r="D3010" s="32" t="s">
        <v>6467</v>
      </c>
      <c r="E3010" s="33" t="s">
        <v>23</v>
      </c>
      <c r="F3010" s="34">
        <v>1</v>
      </c>
      <c r="G3010" s="35">
        <v>0</v>
      </c>
      <c r="H3010" s="35">
        <v>0</v>
      </c>
      <c r="I3010" s="35">
        <f>Tabla1[[#This Row],[P.U. M.N.]]*Tabla1[[#This Row],[CANTIDADES DE REFERENCIA]]</f>
        <v>0</v>
      </c>
      <c r="J3010" s="35">
        <f>Tabla1[[#This Row],[P.U. USD]]*Tabla1[[#This Row],[CANTIDADES DE REFERENCIA]]</f>
        <v>0</v>
      </c>
      <c r="K3010" s="36"/>
      <c r="L3010" s="36"/>
      <c r="M3010" s="36"/>
      <c r="N3010" s="37" t="s">
        <v>589</v>
      </c>
      <c r="O3010" s="37"/>
      <c r="P3010" s="38"/>
      <c r="Q3010" s="37" t="s">
        <v>6468</v>
      </c>
      <c r="R3010" s="37"/>
      <c r="S3010" s="37" t="s">
        <v>591</v>
      </c>
      <c r="T3010" s="31"/>
    </row>
    <row r="3011" spans="1:20">
      <c r="A3011" s="31"/>
      <c r="B3011" s="32"/>
      <c r="C3011" s="33"/>
      <c r="D3011" s="32" t="s">
        <v>6469</v>
      </c>
      <c r="E3011" s="33" t="s">
        <v>23</v>
      </c>
      <c r="F3011" s="34">
        <v>1</v>
      </c>
      <c r="G3011" s="35">
        <v>0</v>
      </c>
      <c r="H3011" s="35">
        <v>0</v>
      </c>
      <c r="I3011" s="35">
        <f>Tabla1[[#This Row],[P.U. M.N.]]*Tabla1[[#This Row],[CANTIDADES DE REFERENCIA]]</f>
        <v>0</v>
      </c>
      <c r="J3011" s="35">
        <f>Tabla1[[#This Row],[P.U. USD]]*Tabla1[[#This Row],[CANTIDADES DE REFERENCIA]]</f>
        <v>0</v>
      </c>
      <c r="K3011" s="36"/>
      <c r="L3011" s="36"/>
      <c r="M3011" s="36"/>
      <c r="N3011" s="37" t="s">
        <v>589</v>
      </c>
      <c r="O3011" s="37"/>
      <c r="P3011" s="38"/>
      <c r="Q3011" s="37" t="s">
        <v>6470</v>
      </c>
      <c r="R3011" s="37"/>
      <c r="S3011" s="37" t="s">
        <v>591</v>
      </c>
      <c r="T3011" s="31"/>
    </row>
    <row r="3012" spans="1:20">
      <c r="A3012" s="31"/>
      <c r="B3012" s="32"/>
      <c r="C3012" s="33"/>
      <c r="D3012" s="32" t="s">
        <v>6471</v>
      </c>
      <c r="E3012" s="33" t="s">
        <v>2699</v>
      </c>
      <c r="F3012" s="34">
        <v>1</v>
      </c>
      <c r="G3012" s="35">
        <v>0</v>
      </c>
      <c r="H3012" s="35">
        <v>0</v>
      </c>
      <c r="I3012" s="35">
        <f>Tabla1[[#This Row],[P.U. M.N.]]*Tabla1[[#This Row],[CANTIDADES DE REFERENCIA]]</f>
        <v>0</v>
      </c>
      <c r="J3012" s="35">
        <f>Tabla1[[#This Row],[P.U. USD]]*Tabla1[[#This Row],[CANTIDADES DE REFERENCIA]]</f>
        <v>0</v>
      </c>
      <c r="K3012" s="36"/>
      <c r="L3012" s="36"/>
      <c r="M3012" s="36"/>
      <c r="N3012" s="37" t="s">
        <v>589</v>
      </c>
      <c r="O3012" s="37"/>
      <c r="P3012" s="38"/>
      <c r="Q3012" s="37" t="s">
        <v>6472</v>
      </c>
      <c r="R3012" s="37"/>
      <c r="S3012" s="37" t="s">
        <v>591</v>
      </c>
      <c r="T3012" s="31"/>
    </row>
    <row r="3013" spans="1:20">
      <c r="A3013" s="31"/>
      <c r="B3013" s="32"/>
      <c r="C3013" s="33"/>
      <c r="D3013" s="32" t="s">
        <v>6473</v>
      </c>
      <c r="E3013" s="33" t="s">
        <v>367</v>
      </c>
      <c r="F3013" s="34">
        <v>1</v>
      </c>
      <c r="G3013" s="35">
        <v>0</v>
      </c>
      <c r="H3013" s="35">
        <v>0</v>
      </c>
      <c r="I3013" s="35">
        <f>Tabla1[[#This Row],[P.U. M.N.]]*Tabla1[[#This Row],[CANTIDADES DE REFERENCIA]]</f>
        <v>0</v>
      </c>
      <c r="J3013" s="35">
        <f>Tabla1[[#This Row],[P.U. USD]]*Tabla1[[#This Row],[CANTIDADES DE REFERENCIA]]</f>
        <v>0</v>
      </c>
      <c r="K3013" s="36"/>
      <c r="L3013" s="36"/>
      <c r="M3013" s="36"/>
      <c r="N3013" s="37" t="s">
        <v>1031</v>
      </c>
      <c r="O3013" s="37" t="s">
        <v>1032</v>
      </c>
      <c r="P3013" s="38"/>
      <c r="Q3013" s="37" t="s">
        <v>6474</v>
      </c>
      <c r="R3013" s="37" t="s">
        <v>58</v>
      </c>
      <c r="S3013" s="37" t="s">
        <v>2902</v>
      </c>
      <c r="T3013" s="31"/>
    </row>
    <row r="3014" spans="1:20">
      <c r="A3014" s="31"/>
      <c r="B3014" s="32"/>
      <c r="C3014" s="33"/>
      <c r="D3014" s="32" t="s">
        <v>6475</v>
      </c>
      <c r="E3014" s="33" t="s">
        <v>367</v>
      </c>
      <c r="F3014" s="34">
        <v>1</v>
      </c>
      <c r="G3014" s="35">
        <v>0</v>
      </c>
      <c r="H3014" s="35">
        <v>0</v>
      </c>
      <c r="I3014" s="35">
        <f>Tabla1[[#This Row],[P.U. M.N.]]*Tabla1[[#This Row],[CANTIDADES DE REFERENCIA]]</f>
        <v>0</v>
      </c>
      <c r="J3014" s="35">
        <f>Tabla1[[#This Row],[P.U. USD]]*Tabla1[[#This Row],[CANTIDADES DE REFERENCIA]]</f>
        <v>0</v>
      </c>
      <c r="K3014" s="36"/>
      <c r="L3014" s="36"/>
      <c r="M3014" s="36"/>
      <c r="N3014" s="37" t="s">
        <v>1031</v>
      </c>
      <c r="O3014" s="37" t="s">
        <v>1032</v>
      </c>
      <c r="P3014" s="38"/>
      <c r="Q3014" s="37" t="s">
        <v>6476</v>
      </c>
      <c r="R3014" s="37" t="s">
        <v>58</v>
      </c>
      <c r="S3014" s="37" t="s">
        <v>2902</v>
      </c>
      <c r="T3014" s="31"/>
    </row>
    <row r="3015" spans="1:20">
      <c r="A3015" s="31"/>
      <c r="B3015" s="32"/>
      <c r="C3015" s="33"/>
      <c r="D3015" s="32" t="s">
        <v>6477</v>
      </c>
      <c r="E3015" s="33" t="s">
        <v>367</v>
      </c>
      <c r="F3015" s="34">
        <v>1</v>
      </c>
      <c r="G3015" s="35">
        <v>0</v>
      </c>
      <c r="H3015" s="35">
        <v>0</v>
      </c>
      <c r="I3015" s="35">
        <f>Tabla1[[#This Row],[P.U. M.N.]]*Tabla1[[#This Row],[CANTIDADES DE REFERENCIA]]</f>
        <v>0</v>
      </c>
      <c r="J3015" s="35">
        <f>Tabla1[[#This Row],[P.U. USD]]*Tabla1[[#This Row],[CANTIDADES DE REFERENCIA]]</f>
        <v>0</v>
      </c>
      <c r="K3015" s="36"/>
      <c r="L3015" s="36"/>
      <c r="M3015" s="36"/>
      <c r="N3015" s="37" t="s">
        <v>1031</v>
      </c>
      <c r="O3015" s="37" t="s">
        <v>1032</v>
      </c>
      <c r="P3015" s="38"/>
      <c r="Q3015" s="37" t="s">
        <v>6478</v>
      </c>
      <c r="R3015" s="37" t="s">
        <v>58</v>
      </c>
      <c r="S3015" s="37" t="s">
        <v>2902</v>
      </c>
      <c r="T3015" s="31"/>
    </row>
    <row r="3016" spans="1:20">
      <c r="A3016" s="31"/>
      <c r="B3016" s="32"/>
      <c r="C3016" s="33"/>
      <c r="D3016" s="32" t="s">
        <v>6479</v>
      </c>
      <c r="E3016" s="33" t="s">
        <v>367</v>
      </c>
      <c r="F3016" s="34">
        <v>1</v>
      </c>
      <c r="G3016" s="35">
        <v>0</v>
      </c>
      <c r="H3016" s="35">
        <v>0</v>
      </c>
      <c r="I3016" s="35">
        <f>Tabla1[[#This Row],[P.U. M.N.]]*Tabla1[[#This Row],[CANTIDADES DE REFERENCIA]]</f>
        <v>0</v>
      </c>
      <c r="J3016" s="35">
        <f>Tabla1[[#This Row],[P.U. USD]]*Tabla1[[#This Row],[CANTIDADES DE REFERENCIA]]</f>
        <v>0</v>
      </c>
      <c r="K3016" s="36"/>
      <c r="L3016" s="36"/>
      <c r="M3016" s="36"/>
      <c r="N3016" s="37" t="s">
        <v>1031</v>
      </c>
      <c r="O3016" s="37" t="s">
        <v>1032</v>
      </c>
      <c r="P3016" s="38"/>
      <c r="Q3016" s="37" t="s">
        <v>6480</v>
      </c>
      <c r="R3016" s="37" t="s">
        <v>58</v>
      </c>
      <c r="S3016" s="37" t="s">
        <v>2902</v>
      </c>
      <c r="T3016" s="31"/>
    </row>
    <row r="3017" spans="1:20">
      <c r="A3017" s="31"/>
      <c r="B3017" s="32"/>
      <c r="C3017" s="33"/>
      <c r="D3017" s="32" t="s">
        <v>6481</v>
      </c>
      <c r="E3017" s="33" t="s">
        <v>23</v>
      </c>
      <c r="F3017" s="34">
        <v>1</v>
      </c>
      <c r="G3017" s="35">
        <v>0</v>
      </c>
      <c r="H3017" s="35">
        <v>0</v>
      </c>
      <c r="I3017" s="35">
        <f>Tabla1[[#This Row],[P.U. M.N.]]*Tabla1[[#This Row],[CANTIDADES DE REFERENCIA]]</f>
        <v>0</v>
      </c>
      <c r="J3017" s="35">
        <f>Tabla1[[#This Row],[P.U. USD]]*Tabla1[[#This Row],[CANTIDADES DE REFERENCIA]]</f>
        <v>0</v>
      </c>
      <c r="K3017" s="36"/>
      <c r="L3017" s="36"/>
      <c r="M3017" s="36"/>
      <c r="N3017" s="37" t="s">
        <v>961</v>
      </c>
      <c r="O3017" s="37" t="s">
        <v>962</v>
      </c>
      <c r="P3017" s="38"/>
      <c r="Q3017" s="37" t="s">
        <v>6482</v>
      </c>
      <c r="R3017" s="37"/>
      <c r="S3017" s="37" t="s">
        <v>6483</v>
      </c>
      <c r="T3017" s="31"/>
    </row>
    <row r="3018" spans="1:20">
      <c r="A3018" s="31"/>
      <c r="B3018" s="32"/>
      <c r="C3018" s="33"/>
      <c r="D3018" s="32" t="s">
        <v>892</v>
      </c>
      <c r="E3018" s="33" t="s">
        <v>42</v>
      </c>
      <c r="F3018" s="34">
        <v>1</v>
      </c>
      <c r="G3018" s="35">
        <v>0</v>
      </c>
      <c r="H3018" s="35">
        <v>0</v>
      </c>
      <c r="I3018" s="35">
        <f>Tabla1[[#This Row],[P.U. M.N.]]*Tabla1[[#This Row],[CANTIDADES DE REFERENCIA]]</f>
        <v>0</v>
      </c>
      <c r="J3018" s="35">
        <f>Tabla1[[#This Row],[P.U. USD]]*Tabla1[[#This Row],[CANTIDADES DE REFERENCIA]]</f>
        <v>0</v>
      </c>
      <c r="K3018" s="36"/>
      <c r="L3018" s="36"/>
      <c r="M3018" s="36"/>
      <c r="N3018" s="37" t="s">
        <v>961</v>
      </c>
      <c r="O3018" s="37" t="s">
        <v>962</v>
      </c>
      <c r="P3018" s="38"/>
      <c r="Q3018" s="37" t="s">
        <v>6484</v>
      </c>
      <c r="R3018" s="37"/>
      <c r="S3018" s="37" t="s">
        <v>6483</v>
      </c>
      <c r="T3018" s="31"/>
    </row>
    <row r="3019" spans="1:20">
      <c r="A3019" s="31"/>
      <c r="B3019" s="32"/>
      <c r="C3019" s="33"/>
      <c r="D3019" s="32" t="s">
        <v>934</v>
      </c>
      <c r="E3019" s="33" t="s">
        <v>42</v>
      </c>
      <c r="F3019" s="34">
        <v>1</v>
      </c>
      <c r="G3019" s="35">
        <v>0</v>
      </c>
      <c r="H3019" s="35">
        <v>0</v>
      </c>
      <c r="I3019" s="35">
        <f>Tabla1[[#This Row],[P.U. M.N.]]*Tabla1[[#This Row],[CANTIDADES DE REFERENCIA]]</f>
        <v>0</v>
      </c>
      <c r="J3019" s="35">
        <f>Tabla1[[#This Row],[P.U. USD]]*Tabla1[[#This Row],[CANTIDADES DE REFERENCIA]]</f>
        <v>0</v>
      </c>
      <c r="K3019" s="36"/>
      <c r="L3019" s="36"/>
      <c r="M3019" s="36"/>
      <c r="N3019" s="37" t="s">
        <v>961</v>
      </c>
      <c r="O3019" s="37" t="s">
        <v>962</v>
      </c>
      <c r="P3019" s="38"/>
      <c r="Q3019" s="37" t="s">
        <v>6485</v>
      </c>
      <c r="R3019" s="37"/>
      <c r="S3019" s="37" t="s">
        <v>6483</v>
      </c>
      <c r="T3019" s="31"/>
    </row>
    <row r="3020" spans="1:20">
      <c r="A3020" s="31"/>
      <c r="B3020" s="32"/>
      <c r="C3020" s="33"/>
      <c r="D3020" s="32" t="s">
        <v>6486</v>
      </c>
      <c r="E3020" s="33" t="s">
        <v>367</v>
      </c>
      <c r="F3020" s="34">
        <v>1</v>
      </c>
      <c r="G3020" s="35">
        <v>0</v>
      </c>
      <c r="H3020" s="35">
        <v>0</v>
      </c>
      <c r="I3020" s="35">
        <f>Tabla1[[#This Row],[P.U. M.N.]]*Tabla1[[#This Row],[CANTIDADES DE REFERENCIA]]</f>
        <v>0</v>
      </c>
      <c r="J3020" s="35">
        <f>Tabla1[[#This Row],[P.U. USD]]*Tabla1[[#This Row],[CANTIDADES DE REFERENCIA]]</f>
        <v>0</v>
      </c>
      <c r="K3020" s="36"/>
      <c r="L3020" s="36"/>
      <c r="M3020" s="36"/>
      <c r="N3020" s="37" t="s">
        <v>961</v>
      </c>
      <c r="O3020" s="37" t="s">
        <v>962</v>
      </c>
      <c r="P3020" s="38"/>
      <c r="Q3020" s="37" t="s">
        <v>6487</v>
      </c>
      <c r="R3020" s="37"/>
      <c r="S3020" s="37" t="s">
        <v>6483</v>
      </c>
      <c r="T3020" s="31"/>
    </row>
    <row r="3021" spans="1:20">
      <c r="A3021" s="31"/>
      <c r="B3021" s="32"/>
      <c r="C3021" s="33"/>
      <c r="D3021" s="32" t="s">
        <v>6488</v>
      </c>
      <c r="E3021" s="33" t="s">
        <v>367</v>
      </c>
      <c r="F3021" s="34">
        <v>1</v>
      </c>
      <c r="G3021" s="35">
        <v>0</v>
      </c>
      <c r="H3021" s="35">
        <v>0</v>
      </c>
      <c r="I3021" s="35">
        <f>Tabla1[[#This Row],[P.U. M.N.]]*Tabla1[[#This Row],[CANTIDADES DE REFERENCIA]]</f>
        <v>0</v>
      </c>
      <c r="J3021" s="35">
        <f>Tabla1[[#This Row],[P.U. USD]]*Tabla1[[#This Row],[CANTIDADES DE REFERENCIA]]</f>
        <v>0</v>
      </c>
      <c r="K3021" s="36"/>
      <c r="L3021" s="36"/>
      <c r="M3021" s="36"/>
      <c r="N3021" s="37" t="s">
        <v>961</v>
      </c>
      <c r="O3021" s="37" t="s">
        <v>962</v>
      </c>
      <c r="P3021" s="38"/>
      <c r="Q3021" s="37" t="s">
        <v>6489</v>
      </c>
      <c r="R3021" s="37"/>
      <c r="S3021" s="37" t="s">
        <v>6483</v>
      </c>
      <c r="T3021" s="31"/>
    </row>
    <row r="3022" spans="1:20">
      <c r="A3022" s="31"/>
      <c r="B3022" s="32"/>
      <c r="C3022" s="33"/>
      <c r="D3022" s="32" t="s">
        <v>6490</v>
      </c>
      <c r="E3022" s="33" t="s">
        <v>23</v>
      </c>
      <c r="F3022" s="34">
        <v>1</v>
      </c>
      <c r="G3022" s="35">
        <v>0</v>
      </c>
      <c r="H3022" s="35">
        <v>0</v>
      </c>
      <c r="I3022" s="35">
        <f>Tabla1[[#This Row],[P.U. M.N.]]*Tabla1[[#This Row],[CANTIDADES DE REFERENCIA]]</f>
        <v>0</v>
      </c>
      <c r="J3022" s="35">
        <f>Tabla1[[#This Row],[P.U. USD]]*Tabla1[[#This Row],[CANTIDADES DE REFERENCIA]]</f>
        <v>0</v>
      </c>
      <c r="K3022" s="36"/>
      <c r="L3022" s="36"/>
      <c r="M3022" s="36"/>
      <c r="N3022" s="37" t="s">
        <v>961</v>
      </c>
      <c r="O3022" s="37" t="s">
        <v>962</v>
      </c>
      <c r="P3022" s="38"/>
      <c r="Q3022" s="37" t="s">
        <v>6491</v>
      </c>
      <c r="R3022" s="37"/>
      <c r="S3022" s="37" t="s">
        <v>6483</v>
      </c>
      <c r="T3022" s="31"/>
    </row>
    <row r="3023" spans="1:20">
      <c r="A3023" s="31"/>
      <c r="B3023" s="32"/>
      <c r="C3023" s="33"/>
      <c r="D3023" s="32" t="s">
        <v>6492</v>
      </c>
      <c r="E3023" s="33" t="s">
        <v>367</v>
      </c>
      <c r="F3023" s="34">
        <v>1</v>
      </c>
      <c r="G3023" s="35">
        <v>0</v>
      </c>
      <c r="H3023" s="35">
        <v>0</v>
      </c>
      <c r="I3023" s="35">
        <f>Tabla1[[#This Row],[P.U. M.N.]]*Tabla1[[#This Row],[CANTIDADES DE REFERENCIA]]</f>
        <v>0</v>
      </c>
      <c r="J3023" s="35">
        <f>Tabla1[[#This Row],[P.U. USD]]*Tabla1[[#This Row],[CANTIDADES DE REFERENCIA]]</f>
        <v>0</v>
      </c>
      <c r="K3023" s="36"/>
      <c r="L3023" s="36"/>
      <c r="M3023" s="36"/>
      <c r="N3023" s="37" t="s">
        <v>961</v>
      </c>
      <c r="O3023" s="37" t="s">
        <v>962</v>
      </c>
      <c r="P3023" s="38"/>
      <c r="Q3023" s="37" t="s">
        <v>6493</v>
      </c>
      <c r="R3023" s="37"/>
      <c r="S3023" s="37" t="s">
        <v>6483</v>
      </c>
      <c r="T3023" s="31"/>
    </row>
    <row r="3024" spans="1:20">
      <c r="A3024" s="31"/>
      <c r="B3024" s="32"/>
      <c r="C3024" s="33"/>
      <c r="D3024" s="32" t="s">
        <v>6494</v>
      </c>
      <c r="E3024" s="33" t="s">
        <v>23</v>
      </c>
      <c r="F3024" s="34">
        <v>1</v>
      </c>
      <c r="G3024" s="35">
        <v>0</v>
      </c>
      <c r="H3024" s="35">
        <v>0</v>
      </c>
      <c r="I3024" s="35">
        <f>Tabla1[[#This Row],[P.U. M.N.]]*Tabla1[[#This Row],[CANTIDADES DE REFERENCIA]]</f>
        <v>0</v>
      </c>
      <c r="J3024" s="35">
        <f>Tabla1[[#This Row],[P.U. USD]]*Tabla1[[#This Row],[CANTIDADES DE REFERENCIA]]</f>
        <v>0</v>
      </c>
      <c r="K3024" s="36"/>
      <c r="L3024" s="36"/>
      <c r="M3024" s="36"/>
      <c r="N3024" s="37" t="s">
        <v>961</v>
      </c>
      <c r="O3024" s="37" t="s">
        <v>962</v>
      </c>
      <c r="P3024" s="39"/>
      <c r="Q3024" s="37" t="s">
        <v>6495</v>
      </c>
      <c r="R3024" s="37"/>
      <c r="S3024" s="37" t="s">
        <v>6483</v>
      </c>
      <c r="T3024" s="31"/>
    </row>
    <row r="3025" spans="1:20">
      <c r="A3025" s="31"/>
      <c r="B3025" s="32"/>
      <c r="C3025" s="33"/>
      <c r="D3025" s="32" t="s">
        <v>6496</v>
      </c>
      <c r="E3025" s="33" t="s">
        <v>23</v>
      </c>
      <c r="F3025" s="34">
        <v>1</v>
      </c>
      <c r="G3025" s="35">
        <v>0</v>
      </c>
      <c r="H3025" s="35">
        <v>0</v>
      </c>
      <c r="I3025" s="35">
        <f>Tabla1[[#This Row],[P.U. M.N.]]*Tabla1[[#This Row],[CANTIDADES DE REFERENCIA]]</f>
        <v>0</v>
      </c>
      <c r="J3025" s="35">
        <f>Tabla1[[#This Row],[P.U. USD]]*Tabla1[[#This Row],[CANTIDADES DE REFERENCIA]]</f>
        <v>0</v>
      </c>
      <c r="K3025" s="36"/>
      <c r="L3025" s="36"/>
      <c r="M3025" s="36"/>
      <c r="N3025" s="37" t="s">
        <v>961</v>
      </c>
      <c r="O3025" s="37" t="s">
        <v>962</v>
      </c>
      <c r="P3025" s="39"/>
      <c r="Q3025" s="37" t="s">
        <v>6497</v>
      </c>
      <c r="R3025" s="37"/>
      <c r="S3025" s="37" t="s">
        <v>6483</v>
      </c>
      <c r="T3025" s="31"/>
    </row>
    <row r="3026" spans="1:20">
      <c r="A3026" s="31"/>
      <c r="B3026" s="32"/>
      <c r="C3026" s="33"/>
      <c r="D3026" s="32" t="s">
        <v>6498</v>
      </c>
      <c r="E3026" s="33" t="s">
        <v>23</v>
      </c>
      <c r="F3026" s="34">
        <v>1</v>
      </c>
      <c r="G3026" s="35">
        <v>0</v>
      </c>
      <c r="H3026" s="35">
        <v>0</v>
      </c>
      <c r="I3026" s="35">
        <f>Tabla1[[#This Row],[P.U. M.N.]]*Tabla1[[#This Row],[CANTIDADES DE REFERENCIA]]</f>
        <v>0</v>
      </c>
      <c r="J3026" s="35">
        <f>Tabla1[[#This Row],[P.U. USD]]*Tabla1[[#This Row],[CANTIDADES DE REFERENCIA]]</f>
        <v>0</v>
      </c>
      <c r="K3026" s="36"/>
      <c r="L3026" s="36"/>
      <c r="M3026" s="36"/>
      <c r="N3026" s="37"/>
      <c r="O3026" s="37"/>
      <c r="P3026" s="39"/>
      <c r="Q3026" s="37" t="s">
        <v>6499</v>
      </c>
      <c r="R3026" s="37"/>
      <c r="S3026" s="37" t="s">
        <v>4687</v>
      </c>
      <c r="T3026" s="31"/>
    </row>
    <row r="3027" spans="1:20">
      <c r="A3027" s="31"/>
      <c r="B3027" s="32"/>
      <c r="C3027" s="33"/>
      <c r="D3027" s="32" t="s">
        <v>6500</v>
      </c>
      <c r="E3027" s="33" t="s">
        <v>23</v>
      </c>
      <c r="F3027" s="34">
        <v>1</v>
      </c>
      <c r="G3027" s="35">
        <v>0</v>
      </c>
      <c r="H3027" s="35">
        <v>0</v>
      </c>
      <c r="I3027" s="35">
        <f>Tabla1[[#This Row],[P.U. M.N.]]*Tabla1[[#This Row],[CANTIDADES DE REFERENCIA]]</f>
        <v>0</v>
      </c>
      <c r="J3027" s="35">
        <f>Tabla1[[#This Row],[P.U. USD]]*Tabla1[[#This Row],[CANTIDADES DE REFERENCIA]]</f>
        <v>0</v>
      </c>
      <c r="K3027" s="36"/>
      <c r="L3027" s="36"/>
      <c r="M3027" s="36"/>
      <c r="N3027" s="37"/>
      <c r="O3027" s="37"/>
      <c r="P3027" s="39"/>
      <c r="Q3027" s="37" t="s">
        <v>6501</v>
      </c>
      <c r="R3027" s="37"/>
      <c r="S3027" s="37" t="s">
        <v>4687</v>
      </c>
      <c r="T3027" s="31"/>
    </row>
    <row r="3028" spans="1:20">
      <c r="A3028" s="31"/>
      <c r="B3028" s="32"/>
      <c r="C3028" s="33"/>
      <c r="D3028" s="32" t="s">
        <v>6502</v>
      </c>
      <c r="E3028" s="33" t="s">
        <v>23</v>
      </c>
      <c r="F3028" s="34">
        <v>1</v>
      </c>
      <c r="G3028" s="35">
        <v>0</v>
      </c>
      <c r="H3028" s="35">
        <v>0</v>
      </c>
      <c r="I3028" s="35">
        <f>Tabla1[[#This Row],[P.U. M.N.]]*Tabla1[[#This Row],[CANTIDADES DE REFERENCIA]]</f>
        <v>0</v>
      </c>
      <c r="J3028" s="35">
        <f>Tabla1[[#This Row],[P.U. USD]]*Tabla1[[#This Row],[CANTIDADES DE REFERENCIA]]</f>
        <v>0</v>
      </c>
      <c r="K3028" s="36"/>
      <c r="L3028" s="36"/>
      <c r="M3028" s="36"/>
      <c r="N3028" s="37"/>
      <c r="O3028" s="37"/>
      <c r="P3028" s="39"/>
      <c r="Q3028" s="37" t="s">
        <v>6503</v>
      </c>
      <c r="R3028" s="37"/>
      <c r="S3028" s="37" t="s">
        <v>4687</v>
      </c>
      <c r="T3028" s="31"/>
    </row>
    <row r="3029" spans="1:20">
      <c r="A3029" s="31"/>
      <c r="B3029" s="32"/>
      <c r="C3029" s="33"/>
      <c r="D3029" s="32" t="s">
        <v>6504</v>
      </c>
      <c r="E3029" s="33" t="s">
        <v>23</v>
      </c>
      <c r="F3029" s="34">
        <v>1</v>
      </c>
      <c r="G3029" s="35">
        <v>0</v>
      </c>
      <c r="H3029" s="35">
        <v>0</v>
      </c>
      <c r="I3029" s="35">
        <f>Tabla1[[#This Row],[P.U. M.N.]]*Tabla1[[#This Row],[CANTIDADES DE REFERENCIA]]</f>
        <v>0</v>
      </c>
      <c r="J3029" s="35">
        <f>Tabla1[[#This Row],[P.U. USD]]*Tabla1[[#This Row],[CANTIDADES DE REFERENCIA]]</f>
        <v>0</v>
      </c>
      <c r="K3029" s="36"/>
      <c r="L3029" s="36"/>
      <c r="M3029" s="36"/>
      <c r="N3029" s="37"/>
      <c r="O3029" s="37"/>
      <c r="P3029" s="39"/>
      <c r="Q3029" s="37" t="s">
        <v>6505</v>
      </c>
      <c r="R3029" s="37"/>
      <c r="S3029" s="37" t="s">
        <v>4687</v>
      </c>
      <c r="T3029" s="31"/>
    </row>
    <row r="3030" spans="1:20">
      <c r="A3030" s="31"/>
      <c r="B3030" s="32"/>
      <c r="C3030" s="33"/>
      <c r="D3030" s="32" t="s">
        <v>6506</v>
      </c>
      <c r="E3030" s="33" t="s">
        <v>23</v>
      </c>
      <c r="F3030" s="34">
        <v>1</v>
      </c>
      <c r="G3030" s="35">
        <v>0</v>
      </c>
      <c r="H3030" s="35">
        <v>0</v>
      </c>
      <c r="I3030" s="35">
        <f>Tabla1[[#This Row],[P.U. M.N.]]*Tabla1[[#This Row],[CANTIDADES DE REFERENCIA]]</f>
        <v>0</v>
      </c>
      <c r="J3030" s="35">
        <f>Tabla1[[#This Row],[P.U. USD]]*Tabla1[[#This Row],[CANTIDADES DE REFERENCIA]]</f>
        <v>0</v>
      </c>
      <c r="K3030" s="36"/>
      <c r="L3030" s="36"/>
      <c r="M3030" s="36"/>
      <c r="N3030" s="37"/>
      <c r="O3030" s="37"/>
      <c r="P3030" s="39"/>
      <c r="Q3030" s="37" t="s">
        <v>6507</v>
      </c>
      <c r="R3030" s="37"/>
      <c r="S3030" s="37" t="s">
        <v>4687</v>
      </c>
      <c r="T3030" s="31"/>
    </row>
    <row r="3031" spans="1:20">
      <c r="A3031" s="31"/>
      <c r="B3031" s="32"/>
      <c r="C3031" s="33"/>
      <c r="D3031" s="32" t="s">
        <v>6508</v>
      </c>
      <c r="E3031" s="33" t="s">
        <v>23</v>
      </c>
      <c r="F3031" s="34">
        <v>1</v>
      </c>
      <c r="G3031" s="35">
        <v>0</v>
      </c>
      <c r="H3031" s="35">
        <v>0</v>
      </c>
      <c r="I3031" s="35">
        <f>Tabla1[[#This Row],[P.U. M.N.]]*Tabla1[[#This Row],[CANTIDADES DE REFERENCIA]]</f>
        <v>0</v>
      </c>
      <c r="J3031" s="35">
        <f>Tabla1[[#This Row],[P.U. USD]]*Tabla1[[#This Row],[CANTIDADES DE REFERENCIA]]</f>
        <v>0</v>
      </c>
      <c r="K3031" s="36"/>
      <c r="L3031" s="36"/>
      <c r="M3031" s="36"/>
      <c r="N3031" s="37"/>
      <c r="O3031" s="37"/>
      <c r="P3031" s="39"/>
      <c r="Q3031" s="37" t="s">
        <v>6509</v>
      </c>
      <c r="R3031" s="37"/>
      <c r="S3031" s="37" t="s">
        <v>4687</v>
      </c>
      <c r="T3031" s="31"/>
    </row>
    <row r="3032" spans="1:20">
      <c r="A3032" s="31"/>
      <c r="B3032" s="32"/>
      <c r="C3032" s="33"/>
      <c r="D3032" s="32" t="s">
        <v>6510</v>
      </c>
      <c r="E3032" s="33" t="s">
        <v>367</v>
      </c>
      <c r="F3032" s="34">
        <v>1</v>
      </c>
      <c r="G3032" s="35">
        <v>0</v>
      </c>
      <c r="H3032" s="35">
        <v>0</v>
      </c>
      <c r="I3032" s="35">
        <f>Tabla1[[#This Row],[P.U. M.N.]]*Tabla1[[#This Row],[CANTIDADES DE REFERENCIA]]</f>
        <v>0</v>
      </c>
      <c r="J3032" s="35">
        <f>Tabla1[[#This Row],[P.U. USD]]*Tabla1[[#This Row],[CANTIDADES DE REFERENCIA]]</f>
        <v>0</v>
      </c>
      <c r="K3032" s="36"/>
      <c r="L3032" s="36"/>
      <c r="M3032" s="36"/>
      <c r="N3032" s="37" t="s">
        <v>1059</v>
      </c>
      <c r="O3032" s="37" t="s">
        <v>1060</v>
      </c>
      <c r="P3032" s="39"/>
      <c r="Q3032" s="37" t="s">
        <v>6511</v>
      </c>
      <c r="R3032" s="37"/>
      <c r="S3032" s="37"/>
      <c r="T3032" s="31"/>
    </row>
    <row r="3033" spans="1:20">
      <c r="A3033" s="31"/>
      <c r="B3033" s="32"/>
      <c r="C3033" s="33"/>
      <c r="D3033" s="32" t="s">
        <v>6512</v>
      </c>
      <c r="E3033" s="33" t="s">
        <v>367</v>
      </c>
      <c r="F3033" s="34">
        <v>1</v>
      </c>
      <c r="G3033" s="35">
        <v>0</v>
      </c>
      <c r="H3033" s="35">
        <v>0</v>
      </c>
      <c r="I3033" s="35">
        <f>Tabla1[[#This Row],[P.U. M.N.]]*Tabla1[[#This Row],[CANTIDADES DE REFERENCIA]]</f>
        <v>0</v>
      </c>
      <c r="J3033" s="35">
        <f>Tabla1[[#This Row],[P.U. USD]]*Tabla1[[#This Row],[CANTIDADES DE REFERENCIA]]</f>
        <v>0</v>
      </c>
      <c r="K3033" s="36"/>
      <c r="L3033" s="36"/>
      <c r="M3033" s="36"/>
      <c r="N3033" s="37" t="s">
        <v>1059</v>
      </c>
      <c r="O3033" s="37" t="s">
        <v>1060</v>
      </c>
      <c r="P3033" s="39"/>
      <c r="Q3033" s="37" t="s">
        <v>6513</v>
      </c>
      <c r="R3033" s="37"/>
      <c r="S3033" s="37"/>
      <c r="T3033" s="31"/>
    </row>
    <row r="3034" spans="1:20">
      <c r="A3034" s="31"/>
      <c r="B3034" s="32"/>
      <c r="C3034" s="33"/>
      <c r="D3034" s="32" t="s">
        <v>6514</v>
      </c>
      <c r="E3034" s="33" t="s">
        <v>367</v>
      </c>
      <c r="F3034" s="34">
        <v>1</v>
      </c>
      <c r="G3034" s="35">
        <v>0</v>
      </c>
      <c r="H3034" s="35">
        <v>0</v>
      </c>
      <c r="I3034" s="35">
        <f>Tabla1[[#This Row],[P.U. M.N.]]*Tabla1[[#This Row],[CANTIDADES DE REFERENCIA]]</f>
        <v>0</v>
      </c>
      <c r="J3034" s="35">
        <f>Tabla1[[#This Row],[P.U. USD]]*Tabla1[[#This Row],[CANTIDADES DE REFERENCIA]]</f>
        <v>0</v>
      </c>
      <c r="K3034" s="36"/>
      <c r="L3034" s="36"/>
      <c r="M3034" s="36"/>
      <c r="N3034" s="37" t="s">
        <v>1059</v>
      </c>
      <c r="O3034" s="37" t="s">
        <v>1060</v>
      </c>
      <c r="P3034" s="39"/>
      <c r="Q3034" s="37" t="s">
        <v>6515</v>
      </c>
      <c r="R3034" s="37"/>
      <c r="S3034" s="37"/>
      <c r="T3034" s="31"/>
    </row>
    <row r="3035" spans="1:20">
      <c r="A3035" s="31"/>
      <c r="B3035" s="32"/>
      <c r="C3035" s="33"/>
      <c r="D3035" s="32" t="s">
        <v>6516</v>
      </c>
      <c r="E3035" s="33" t="s">
        <v>367</v>
      </c>
      <c r="F3035" s="34">
        <v>1</v>
      </c>
      <c r="G3035" s="35">
        <v>0</v>
      </c>
      <c r="H3035" s="35">
        <v>0</v>
      </c>
      <c r="I3035" s="35">
        <f>Tabla1[[#This Row],[P.U. M.N.]]*Tabla1[[#This Row],[CANTIDADES DE REFERENCIA]]</f>
        <v>0</v>
      </c>
      <c r="J3035" s="35">
        <f>Tabla1[[#This Row],[P.U. USD]]*Tabla1[[#This Row],[CANTIDADES DE REFERENCIA]]</f>
        <v>0</v>
      </c>
      <c r="K3035" s="36"/>
      <c r="L3035" s="36"/>
      <c r="M3035" s="36"/>
      <c r="N3035" s="37" t="s">
        <v>1059</v>
      </c>
      <c r="O3035" s="37" t="s">
        <v>1060</v>
      </c>
      <c r="P3035" s="39"/>
      <c r="Q3035" s="37" t="s">
        <v>6517</v>
      </c>
      <c r="R3035" s="37"/>
      <c r="S3035" s="37"/>
      <c r="T3035" s="31"/>
    </row>
    <row r="3036" spans="1:20">
      <c r="A3036" s="31"/>
      <c r="B3036" s="32"/>
      <c r="C3036" s="33"/>
      <c r="D3036" s="32" t="s">
        <v>6518</v>
      </c>
      <c r="E3036" s="33" t="s">
        <v>367</v>
      </c>
      <c r="F3036" s="34">
        <v>1</v>
      </c>
      <c r="G3036" s="35">
        <v>0</v>
      </c>
      <c r="H3036" s="35">
        <v>0</v>
      </c>
      <c r="I3036" s="35">
        <f>Tabla1[[#This Row],[P.U. M.N.]]*Tabla1[[#This Row],[CANTIDADES DE REFERENCIA]]</f>
        <v>0</v>
      </c>
      <c r="J3036" s="35">
        <f>Tabla1[[#This Row],[P.U. USD]]*Tabla1[[#This Row],[CANTIDADES DE REFERENCIA]]</f>
        <v>0</v>
      </c>
      <c r="K3036" s="36"/>
      <c r="L3036" s="36"/>
      <c r="M3036" s="36"/>
      <c r="N3036" s="37" t="s">
        <v>1059</v>
      </c>
      <c r="O3036" s="37" t="s">
        <v>1060</v>
      </c>
      <c r="P3036" s="39"/>
      <c r="Q3036" s="37" t="s">
        <v>6519</v>
      </c>
      <c r="R3036" s="37"/>
      <c r="S3036" s="37"/>
      <c r="T3036" s="31"/>
    </row>
    <row r="3037" spans="1:20">
      <c r="A3037" s="31"/>
      <c r="B3037" s="32"/>
      <c r="C3037" s="33"/>
      <c r="D3037" s="32" t="s">
        <v>6520</v>
      </c>
      <c r="E3037" s="33" t="s">
        <v>367</v>
      </c>
      <c r="F3037" s="34">
        <v>1</v>
      </c>
      <c r="G3037" s="35">
        <v>0</v>
      </c>
      <c r="H3037" s="35">
        <v>0</v>
      </c>
      <c r="I3037" s="35">
        <f>Tabla1[[#This Row],[P.U. M.N.]]*Tabla1[[#This Row],[CANTIDADES DE REFERENCIA]]</f>
        <v>0</v>
      </c>
      <c r="J3037" s="35">
        <f>Tabla1[[#This Row],[P.U. USD]]*Tabla1[[#This Row],[CANTIDADES DE REFERENCIA]]</f>
        <v>0</v>
      </c>
      <c r="K3037" s="36"/>
      <c r="L3037" s="36"/>
      <c r="M3037" s="36"/>
      <c r="N3037" s="37" t="s">
        <v>1059</v>
      </c>
      <c r="O3037" s="37" t="s">
        <v>1060</v>
      </c>
      <c r="P3037" s="39"/>
      <c r="Q3037" s="37" t="s">
        <v>6521</v>
      </c>
      <c r="R3037" s="37"/>
      <c r="S3037" s="37"/>
      <c r="T3037" s="31"/>
    </row>
    <row r="3038" spans="1:20">
      <c r="A3038" s="31"/>
      <c r="B3038" s="32"/>
      <c r="C3038" s="33"/>
      <c r="D3038" s="32" t="s">
        <v>6522</v>
      </c>
      <c r="E3038" s="33" t="s">
        <v>367</v>
      </c>
      <c r="F3038" s="34">
        <v>1</v>
      </c>
      <c r="G3038" s="35">
        <v>0</v>
      </c>
      <c r="H3038" s="35">
        <v>0</v>
      </c>
      <c r="I3038" s="35">
        <f>Tabla1[[#This Row],[P.U. M.N.]]*Tabla1[[#This Row],[CANTIDADES DE REFERENCIA]]</f>
        <v>0</v>
      </c>
      <c r="J3038" s="35">
        <f>Tabla1[[#This Row],[P.U. USD]]*Tabla1[[#This Row],[CANTIDADES DE REFERENCIA]]</f>
        <v>0</v>
      </c>
      <c r="K3038" s="36"/>
      <c r="L3038" s="36"/>
      <c r="M3038" s="36"/>
      <c r="N3038" s="37" t="s">
        <v>1059</v>
      </c>
      <c r="O3038" s="37" t="s">
        <v>1060</v>
      </c>
      <c r="P3038" s="39"/>
      <c r="Q3038" s="37" t="s">
        <v>6523</v>
      </c>
      <c r="R3038" s="37"/>
      <c r="S3038" s="37"/>
      <c r="T3038" s="31"/>
    </row>
    <row r="3039" spans="1:20">
      <c r="A3039" s="31"/>
      <c r="B3039" s="32"/>
      <c r="C3039" s="33"/>
      <c r="D3039" s="32" t="s">
        <v>6524</v>
      </c>
      <c r="E3039" s="33" t="s">
        <v>367</v>
      </c>
      <c r="F3039" s="34">
        <v>1</v>
      </c>
      <c r="G3039" s="35">
        <v>0</v>
      </c>
      <c r="H3039" s="35">
        <v>0</v>
      </c>
      <c r="I3039" s="35">
        <f>Tabla1[[#This Row],[P.U. M.N.]]*Tabla1[[#This Row],[CANTIDADES DE REFERENCIA]]</f>
        <v>0</v>
      </c>
      <c r="J3039" s="35">
        <f>Tabla1[[#This Row],[P.U. USD]]*Tabla1[[#This Row],[CANTIDADES DE REFERENCIA]]</f>
        <v>0</v>
      </c>
      <c r="K3039" s="36"/>
      <c r="L3039" s="36"/>
      <c r="M3039" s="36"/>
      <c r="N3039" s="37" t="s">
        <v>1059</v>
      </c>
      <c r="O3039" s="37" t="s">
        <v>1060</v>
      </c>
      <c r="P3039" s="39"/>
      <c r="Q3039" s="37" t="s">
        <v>6525</v>
      </c>
      <c r="R3039" s="37"/>
      <c r="S3039" s="37"/>
      <c r="T3039" s="31"/>
    </row>
    <row r="3040" spans="1:20">
      <c r="A3040" s="31"/>
      <c r="B3040" s="32"/>
      <c r="C3040" s="33"/>
      <c r="D3040" s="32" t="s">
        <v>6526</v>
      </c>
      <c r="E3040" s="33" t="s">
        <v>367</v>
      </c>
      <c r="F3040" s="34">
        <v>1</v>
      </c>
      <c r="G3040" s="35">
        <v>0</v>
      </c>
      <c r="H3040" s="35">
        <v>0</v>
      </c>
      <c r="I3040" s="35">
        <f>Tabla1[[#This Row],[P.U. M.N.]]*Tabla1[[#This Row],[CANTIDADES DE REFERENCIA]]</f>
        <v>0</v>
      </c>
      <c r="J3040" s="35">
        <f>Tabla1[[#This Row],[P.U. USD]]*Tabla1[[#This Row],[CANTIDADES DE REFERENCIA]]</f>
        <v>0</v>
      </c>
      <c r="K3040" s="36"/>
      <c r="L3040" s="36"/>
      <c r="M3040" s="36"/>
      <c r="N3040" s="37" t="s">
        <v>1059</v>
      </c>
      <c r="O3040" s="37" t="s">
        <v>1060</v>
      </c>
      <c r="P3040" s="39"/>
      <c r="Q3040" s="37" t="s">
        <v>6527</v>
      </c>
      <c r="R3040" s="37"/>
      <c r="S3040" s="37"/>
      <c r="T3040" s="31"/>
    </row>
    <row r="3041" spans="1:20">
      <c r="A3041" s="31"/>
      <c r="B3041" s="32"/>
      <c r="C3041" s="33"/>
      <c r="D3041" s="32" t="s">
        <v>6528</v>
      </c>
      <c r="E3041" s="33" t="s">
        <v>367</v>
      </c>
      <c r="F3041" s="34">
        <v>1</v>
      </c>
      <c r="G3041" s="35">
        <v>0</v>
      </c>
      <c r="H3041" s="35">
        <v>0</v>
      </c>
      <c r="I3041" s="35">
        <f>Tabla1[[#This Row],[P.U. M.N.]]*Tabla1[[#This Row],[CANTIDADES DE REFERENCIA]]</f>
        <v>0</v>
      </c>
      <c r="J3041" s="35">
        <f>Tabla1[[#This Row],[P.U. USD]]*Tabla1[[#This Row],[CANTIDADES DE REFERENCIA]]</f>
        <v>0</v>
      </c>
      <c r="K3041" s="36"/>
      <c r="L3041" s="36"/>
      <c r="M3041" s="36"/>
      <c r="N3041" s="37" t="s">
        <v>1059</v>
      </c>
      <c r="O3041" s="37" t="s">
        <v>1060</v>
      </c>
      <c r="P3041" s="39"/>
      <c r="Q3041" s="37" t="s">
        <v>6529</v>
      </c>
      <c r="R3041" s="37"/>
      <c r="S3041" s="37"/>
      <c r="T3041" s="31"/>
    </row>
    <row r="3042" spans="1:20">
      <c r="A3042" s="31"/>
      <c r="B3042" s="32"/>
      <c r="C3042" s="33"/>
      <c r="D3042" s="32" t="s">
        <v>6530</v>
      </c>
      <c r="E3042" s="33" t="s">
        <v>61</v>
      </c>
      <c r="F3042" s="34">
        <v>1</v>
      </c>
      <c r="G3042" s="35">
        <v>0</v>
      </c>
      <c r="H3042" s="35">
        <v>0</v>
      </c>
      <c r="I3042" s="35">
        <f>Tabla1[[#This Row],[P.U. M.N.]]*Tabla1[[#This Row],[CANTIDADES DE REFERENCIA]]</f>
        <v>0</v>
      </c>
      <c r="J3042" s="35">
        <f>Tabla1[[#This Row],[P.U. USD]]*Tabla1[[#This Row],[CANTIDADES DE REFERENCIA]]</f>
        <v>0</v>
      </c>
      <c r="K3042" s="36"/>
      <c r="L3042" s="36"/>
      <c r="M3042" s="36"/>
      <c r="N3042" s="37" t="s">
        <v>1059</v>
      </c>
      <c r="O3042" s="37" t="s">
        <v>1060</v>
      </c>
      <c r="P3042" s="39"/>
      <c r="Q3042" s="37" t="s">
        <v>6531</v>
      </c>
      <c r="R3042" s="37"/>
      <c r="S3042" s="37"/>
      <c r="T3042" s="31"/>
    </row>
    <row r="3043" spans="1:20">
      <c r="A3043" s="31"/>
      <c r="B3043" s="32"/>
      <c r="C3043" s="33"/>
      <c r="D3043" s="32" t="s">
        <v>6532</v>
      </c>
      <c r="E3043" s="33" t="s">
        <v>23</v>
      </c>
      <c r="F3043" s="34">
        <v>1</v>
      </c>
      <c r="G3043" s="35">
        <v>0</v>
      </c>
      <c r="H3043" s="35">
        <v>0</v>
      </c>
      <c r="I3043" s="35">
        <f>Tabla1[[#This Row],[P.U. M.N.]]*Tabla1[[#This Row],[CANTIDADES DE REFERENCIA]]</f>
        <v>0</v>
      </c>
      <c r="J3043" s="35">
        <f>Tabla1[[#This Row],[P.U. USD]]*Tabla1[[#This Row],[CANTIDADES DE REFERENCIA]]</f>
        <v>0</v>
      </c>
      <c r="K3043" s="36"/>
      <c r="L3043" s="36"/>
      <c r="M3043" s="36"/>
      <c r="N3043" s="37" t="s">
        <v>1059</v>
      </c>
      <c r="O3043" s="37" t="s">
        <v>1060</v>
      </c>
      <c r="P3043" s="39"/>
      <c r="Q3043" s="37" t="s">
        <v>6533</v>
      </c>
      <c r="R3043" s="37"/>
      <c r="S3043" s="37"/>
      <c r="T3043" s="31"/>
    </row>
    <row r="3044" spans="1:20">
      <c r="A3044" s="31"/>
      <c r="B3044" s="32"/>
      <c r="C3044" s="33"/>
      <c r="D3044" s="32" t="s">
        <v>6534</v>
      </c>
      <c r="E3044" s="33" t="s">
        <v>23</v>
      </c>
      <c r="F3044" s="34">
        <v>1</v>
      </c>
      <c r="G3044" s="35">
        <v>0</v>
      </c>
      <c r="H3044" s="35">
        <v>0</v>
      </c>
      <c r="I3044" s="35">
        <f>Tabla1[[#This Row],[P.U. M.N.]]*Tabla1[[#This Row],[CANTIDADES DE REFERENCIA]]</f>
        <v>0</v>
      </c>
      <c r="J3044" s="35">
        <f>Tabla1[[#This Row],[P.U. USD]]*Tabla1[[#This Row],[CANTIDADES DE REFERENCIA]]</f>
        <v>0</v>
      </c>
      <c r="K3044" s="36"/>
      <c r="L3044" s="36"/>
      <c r="M3044" s="36"/>
      <c r="N3044" s="37" t="s">
        <v>1059</v>
      </c>
      <c r="O3044" s="37" t="s">
        <v>1060</v>
      </c>
      <c r="P3044" s="39"/>
      <c r="Q3044" s="37" t="s">
        <v>6535</v>
      </c>
      <c r="R3044" s="37"/>
      <c r="S3044" s="37"/>
      <c r="T3044" s="31"/>
    </row>
    <row r="3045" spans="1:20">
      <c r="A3045" s="31"/>
      <c r="B3045" s="32"/>
      <c r="C3045" s="33"/>
      <c r="D3045" s="32" t="s">
        <v>6536</v>
      </c>
      <c r="E3045" s="33" t="s">
        <v>42</v>
      </c>
      <c r="F3045" s="34">
        <v>1</v>
      </c>
      <c r="G3045" s="35">
        <v>0</v>
      </c>
      <c r="H3045" s="35">
        <v>0</v>
      </c>
      <c r="I3045" s="35">
        <f>Tabla1[[#This Row],[P.U. M.N.]]*Tabla1[[#This Row],[CANTIDADES DE REFERENCIA]]</f>
        <v>0</v>
      </c>
      <c r="J3045" s="35">
        <f>Tabla1[[#This Row],[P.U. USD]]*Tabla1[[#This Row],[CANTIDADES DE REFERENCIA]]</f>
        <v>0</v>
      </c>
      <c r="K3045" s="36"/>
      <c r="L3045" s="36"/>
      <c r="M3045" s="36"/>
      <c r="N3045" s="37" t="s">
        <v>1059</v>
      </c>
      <c r="O3045" s="37" t="s">
        <v>1060</v>
      </c>
      <c r="P3045" s="39"/>
      <c r="Q3045" s="37" t="s">
        <v>6537</v>
      </c>
      <c r="R3045" s="37"/>
      <c r="S3045" s="37"/>
      <c r="T3045" s="31"/>
    </row>
    <row r="3046" spans="1:20">
      <c r="A3046" s="31"/>
      <c r="B3046" s="32"/>
      <c r="C3046" s="33"/>
      <c r="D3046" s="32" t="s">
        <v>6538</v>
      </c>
      <c r="E3046" s="33" t="s">
        <v>367</v>
      </c>
      <c r="F3046" s="34">
        <v>1</v>
      </c>
      <c r="G3046" s="35">
        <v>0</v>
      </c>
      <c r="H3046" s="35">
        <v>0</v>
      </c>
      <c r="I3046" s="35">
        <f>Tabla1[[#This Row],[P.U. M.N.]]*Tabla1[[#This Row],[CANTIDADES DE REFERENCIA]]</f>
        <v>0</v>
      </c>
      <c r="J3046" s="35">
        <f>Tabla1[[#This Row],[P.U. USD]]*Tabla1[[#This Row],[CANTIDADES DE REFERENCIA]]</f>
        <v>0</v>
      </c>
      <c r="K3046" s="36"/>
      <c r="L3046" s="36"/>
      <c r="M3046" s="36"/>
      <c r="N3046" s="37" t="s">
        <v>1059</v>
      </c>
      <c r="O3046" s="37" t="s">
        <v>1060</v>
      </c>
      <c r="P3046" s="39"/>
      <c r="Q3046" s="37" t="s">
        <v>6539</v>
      </c>
      <c r="R3046" s="37"/>
      <c r="S3046" s="37"/>
      <c r="T3046" s="31"/>
    </row>
    <row r="3047" spans="1:20">
      <c r="A3047" s="31"/>
      <c r="B3047" s="32"/>
      <c r="C3047" s="33"/>
      <c r="D3047" s="32" t="s">
        <v>6540</v>
      </c>
      <c r="E3047" s="33" t="s">
        <v>42</v>
      </c>
      <c r="F3047" s="34">
        <v>1</v>
      </c>
      <c r="G3047" s="35">
        <v>0</v>
      </c>
      <c r="H3047" s="35">
        <v>0</v>
      </c>
      <c r="I3047" s="35">
        <f>Tabla1[[#This Row],[P.U. M.N.]]*Tabla1[[#This Row],[CANTIDADES DE REFERENCIA]]</f>
        <v>0</v>
      </c>
      <c r="J3047" s="35">
        <f>Tabla1[[#This Row],[P.U. USD]]*Tabla1[[#This Row],[CANTIDADES DE REFERENCIA]]</f>
        <v>0</v>
      </c>
      <c r="K3047" s="36"/>
      <c r="L3047" s="36"/>
      <c r="M3047" s="36"/>
      <c r="N3047" s="37" t="s">
        <v>1059</v>
      </c>
      <c r="O3047" s="37" t="s">
        <v>1060</v>
      </c>
      <c r="P3047" s="39"/>
      <c r="Q3047" s="37" t="s">
        <v>6541</v>
      </c>
      <c r="R3047" s="37"/>
      <c r="S3047" s="37"/>
      <c r="T3047" s="31"/>
    </row>
    <row r="3048" spans="1:20">
      <c r="A3048" s="31"/>
      <c r="B3048" s="32"/>
      <c r="C3048" s="33"/>
      <c r="D3048" s="32" t="s">
        <v>6542</v>
      </c>
      <c r="E3048" s="33" t="s">
        <v>23</v>
      </c>
      <c r="F3048" s="34">
        <v>1</v>
      </c>
      <c r="G3048" s="35">
        <v>0</v>
      </c>
      <c r="H3048" s="35">
        <v>0</v>
      </c>
      <c r="I3048" s="35">
        <f>Tabla1[[#This Row],[P.U. M.N.]]*Tabla1[[#This Row],[CANTIDADES DE REFERENCIA]]</f>
        <v>0</v>
      </c>
      <c r="J3048" s="35">
        <f>Tabla1[[#This Row],[P.U. USD]]*Tabla1[[#This Row],[CANTIDADES DE REFERENCIA]]</f>
        <v>0</v>
      </c>
      <c r="K3048" s="36"/>
      <c r="L3048" s="36"/>
      <c r="M3048" s="36"/>
      <c r="N3048" s="37" t="s">
        <v>1059</v>
      </c>
      <c r="O3048" s="37" t="s">
        <v>1060</v>
      </c>
      <c r="P3048" s="39"/>
      <c r="Q3048" s="37" t="s">
        <v>6543</v>
      </c>
      <c r="R3048" s="37"/>
      <c r="S3048" s="37"/>
      <c r="T3048" s="31"/>
    </row>
    <row r="3049" spans="1:20">
      <c r="A3049" s="31"/>
      <c r="B3049" s="32"/>
      <c r="C3049" s="33"/>
      <c r="D3049" s="32" t="s">
        <v>6544</v>
      </c>
      <c r="E3049" s="33" t="s">
        <v>42</v>
      </c>
      <c r="F3049" s="34">
        <v>1</v>
      </c>
      <c r="G3049" s="35">
        <v>0</v>
      </c>
      <c r="H3049" s="35">
        <v>0</v>
      </c>
      <c r="I3049" s="35">
        <f>Tabla1[[#This Row],[P.U. M.N.]]*Tabla1[[#This Row],[CANTIDADES DE REFERENCIA]]</f>
        <v>0</v>
      </c>
      <c r="J3049" s="35">
        <f>Tabla1[[#This Row],[P.U. USD]]*Tabla1[[#This Row],[CANTIDADES DE REFERENCIA]]</f>
        <v>0</v>
      </c>
      <c r="K3049" s="36"/>
      <c r="L3049" s="36"/>
      <c r="M3049" s="36"/>
      <c r="N3049" s="37" t="s">
        <v>6545</v>
      </c>
      <c r="O3049" s="37"/>
      <c r="P3049" s="39"/>
      <c r="Q3049" s="37" t="s">
        <v>6546</v>
      </c>
      <c r="R3049" s="37" t="s">
        <v>389</v>
      </c>
      <c r="S3049" s="37" t="s">
        <v>6547</v>
      </c>
      <c r="T3049" s="31"/>
    </row>
    <row r="3050" spans="1:20">
      <c r="A3050" s="31"/>
      <c r="B3050" s="32"/>
      <c r="C3050" s="33"/>
      <c r="D3050" s="32" t="s">
        <v>6548</v>
      </c>
      <c r="E3050" s="33" t="s">
        <v>23</v>
      </c>
      <c r="F3050" s="34">
        <v>1</v>
      </c>
      <c r="G3050" s="35">
        <v>0</v>
      </c>
      <c r="H3050" s="35">
        <v>0</v>
      </c>
      <c r="I3050" s="35">
        <f>Tabla1[[#This Row],[P.U. M.N.]]*Tabla1[[#This Row],[CANTIDADES DE REFERENCIA]]</f>
        <v>0</v>
      </c>
      <c r="J3050" s="35">
        <f>Tabla1[[#This Row],[P.U. USD]]*Tabla1[[#This Row],[CANTIDADES DE REFERENCIA]]</f>
        <v>0</v>
      </c>
      <c r="K3050" s="36"/>
      <c r="L3050" s="36"/>
      <c r="M3050" s="36"/>
      <c r="N3050" s="37" t="s">
        <v>6545</v>
      </c>
      <c r="O3050" s="37"/>
      <c r="P3050" s="39"/>
      <c r="Q3050" s="37" t="s">
        <v>6549</v>
      </c>
      <c r="R3050" s="37" t="s">
        <v>389</v>
      </c>
      <c r="S3050" s="37" t="s">
        <v>6547</v>
      </c>
      <c r="T3050" s="31"/>
    </row>
    <row r="3051" spans="1:20">
      <c r="A3051" s="31"/>
      <c r="B3051" s="32"/>
      <c r="C3051" s="33"/>
      <c r="D3051" s="32" t="s">
        <v>6550</v>
      </c>
      <c r="E3051" s="33" t="s">
        <v>23</v>
      </c>
      <c r="F3051" s="34">
        <v>1</v>
      </c>
      <c r="G3051" s="35">
        <v>0</v>
      </c>
      <c r="H3051" s="35">
        <v>0</v>
      </c>
      <c r="I3051" s="35">
        <f>Tabla1[[#This Row],[P.U. M.N.]]*Tabla1[[#This Row],[CANTIDADES DE REFERENCIA]]</f>
        <v>0</v>
      </c>
      <c r="J3051" s="35">
        <f>Tabla1[[#This Row],[P.U. USD]]*Tabla1[[#This Row],[CANTIDADES DE REFERENCIA]]</f>
        <v>0</v>
      </c>
      <c r="K3051" s="36"/>
      <c r="L3051" s="36"/>
      <c r="M3051" s="36"/>
      <c r="N3051" s="37" t="s">
        <v>1125</v>
      </c>
      <c r="O3051" s="37"/>
      <c r="P3051" s="39"/>
      <c r="Q3051" s="37" t="s">
        <v>6551</v>
      </c>
      <c r="R3051" s="37" t="s">
        <v>389</v>
      </c>
      <c r="S3051" s="37" t="s">
        <v>1127</v>
      </c>
      <c r="T3051" s="31"/>
    </row>
    <row r="3052" spans="1:20">
      <c r="A3052" s="31"/>
      <c r="B3052" s="32"/>
      <c r="C3052" s="33"/>
      <c r="D3052" s="32" t="s">
        <v>6552</v>
      </c>
      <c r="E3052" s="33" t="s">
        <v>23</v>
      </c>
      <c r="F3052" s="34">
        <v>1</v>
      </c>
      <c r="G3052" s="35">
        <v>0</v>
      </c>
      <c r="H3052" s="35">
        <v>0</v>
      </c>
      <c r="I3052" s="35">
        <f>Tabla1[[#This Row],[P.U. M.N.]]*Tabla1[[#This Row],[CANTIDADES DE REFERENCIA]]</f>
        <v>0</v>
      </c>
      <c r="J3052" s="35">
        <f>Tabla1[[#This Row],[P.U. USD]]*Tabla1[[#This Row],[CANTIDADES DE REFERENCIA]]</f>
        <v>0</v>
      </c>
      <c r="K3052" s="36"/>
      <c r="L3052" s="36"/>
      <c r="M3052" s="36"/>
      <c r="N3052" s="37" t="s">
        <v>6553</v>
      </c>
      <c r="O3052" s="37"/>
      <c r="P3052" s="39"/>
      <c r="Q3052" s="37" t="s">
        <v>6554</v>
      </c>
      <c r="R3052" s="37" t="s">
        <v>389</v>
      </c>
      <c r="S3052" s="37"/>
      <c r="T3052" s="31"/>
    </row>
    <row r="3053" spans="1:20">
      <c r="A3053" s="31"/>
      <c r="B3053" s="32"/>
      <c r="C3053" s="33"/>
      <c r="D3053" s="32" t="s">
        <v>6555</v>
      </c>
      <c r="E3053" s="33" t="s">
        <v>23</v>
      </c>
      <c r="F3053" s="34">
        <v>1</v>
      </c>
      <c r="G3053" s="35">
        <v>0</v>
      </c>
      <c r="H3053" s="35">
        <v>0</v>
      </c>
      <c r="I3053" s="35">
        <f>Tabla1[[#This Row],[P.U. M.N.]]*Tabla1[[#This Row],[CANTIDADES DE REFERENCIA]]</f>
        <v>0</v>
      </c>
      <c r="J3053" s="35">
        <f>Tabla1[[#This Row],[P.U. USD]]*Tabla1[[#This Row],[CANTIDADES DE REFERENCIA]]</f>
        <v>0</v>
      </c>
      <c r="K3053" s="36"/>
      <c r="L3053" s="36"/>
      <c r="M3053" s="36"/>
      <c r="N3053" s="37" t="s">
        <v>6553</v>
      </c>
      <c r="O3053" s="37"/>
      <c r="P3053" s="39"/>
      <c r="Q3053" s="37" t="s">
        <v>6556</v>
      </c>
      <c r="R3053" s="37" t="s">
        <v>389</v>
      </c>
      <c r="S3053" s="37"/>
      <c r="T3053" s="31"/>
    </row>
    <row r="3054" spans="1:20">
      <c r="A3054" s="31"/>
      <c r="B3054" s="32"/>
      <c r="C3054" s="33"/>
      <c r="D3054" s="32" t="s">
        <v>6557</v>
      </c>
      <c r="E3054" s="33" t="s">
        <v>23</v>
      </c>
      <c r="F3054" s="34">
        <v>1</v>
      </c>
      <c r="G3054" s="35">
        <v>0</v>
      </c>
      <c r="H3054" s="35">
        <v>0</v>
      </c>
      <c r="I3054" s="35">
        <f>Tabla1[[#This Row],[P.U. M.N.]]*Tabla1[[#This Row],[CANTIDADES DE REFERENCIA]]</f>
        <v>0</v>
      </c>
      <c r="J3054" s="35">
        <f>Tabla1[[#This Row],[P.U. USD]]*Tabla1[[#This Row],[CANTIDADES DE REFERENCIA]]</f>
        <v>0</v>
      </c>
      <c r="K3054" s="36"/>
      <c r="L3054" s="36"/>
      <c r="M3054" s="36"/>
      <c r="N3054" s="37" t="s">
        <v>6553</v>
      </c>
      <c r="O3054" s="37"/>
      <c r="P3054" s="39"/>
      <c r="Q3054" s="37" t="s">
        <v>6558</v>
      </c>
      <c r="R3054" s="37" t="s">
        <v>389</v>
      </c>
      <c r="S3054" s="37"/>
      <c r="T3054" s="31"/>
    </row>
    <row r="3055" spans="1:20">
      <c r="A3055" s="31"/>
      <c r="B3055" s="32"/>
      <c r="C3055" s="33"/>
      <c r="D3055" s="32" t="s">
        <v>6559</v>
      </c>
      <c r="E3055" s="33" t="s">
        <v>23</v>
      </c>
      <c r="F3055" s="34">
        <v>1</v>
      </c>
      <c r="G3055" s="35">
        <v>0</v>
      </c>
      <c r="H3055" s="35">
        <v>0</v>
      </c>
      <c r="I3055" s="35">
        <f>Tabla1[[#This Row],[P.U. M.N.]]*Tabla1[[#This Row],[CANTIDADES DE REFERENCIA]]</f>
        <v>0</v>
      </c>
      <c r="J3055" s="35">
        <f>Tabla1[[#This Row],[P.U. USD]]*Tabla1[[#This Row],[CANTIDADES DE REFERENCIA]]</f>
        <v>0</v>
      </c>
      <c r="K3055" s="36"/>
      <c r="L3055" s="36"/>
      <c r="M3055" s="36"/>
      <c r="N3055" s="37" t="s">
        <v>6553</v>
      </c>
      <c r="O3055" s="37"/>
      <c r="P3055" s="39"/>
      <c r="Q3055" s="37" t="s">
        <v>6560</v>
      </c>
      <c r="R3055" s="37" t="s">
        <v>389</v>
      </c>
      <c r="S3055" s="37"/>
      <c r="T3055" s="31"/>
    </row>
    <row r="3056" spans="1:20">
      <c r="A3056" s="31"/>
      <c r="B3056" s="32"/>
      <c r="C3056" s="33"/>
      <c r="D3056" s="32" t="s">
        <v>6561</v>
      </c>
      <c r="E3056" s="33" t="s">
        <v>6562</v>
      </c>
      <c r="F3056" s="34">
        <v>1</v>
      </c>
      <c r="G3056" s="35">
        <v>0</v>
      </c>
      <c r="H3056" s="35">
        <v>0</v>
      </c>
      <c r="I3056" s="35">
        <f>Tabla1[[#This Row],[P.U. M.N.]]*Tabla1[[#This Row],[CANTIDADES DE REFERENCIA]]</f>
        <v>0</v>
      </c>
      <c r="J3056" s="35">
        <f>Tabla1[[#This Row],[P.U. USD]]*Tabla1[[#This Row],[CANTIDADES DE REFERENCIA]]</f>
        <v>0</v>
      </c>
      <c r="K3056" s="36"/>
      <c r="L3056" s="36"/>
      <c r="M3056" s="36"/>
      <c r="N3056" s="37" t="s">
        <v>6553</v>
      </c>
      <c r="O3056" s="37"/>
      <c r="P3056" s="39"/>
      <c r="Q3056" s="37" t="s">
        <v>6563</v>
      </c>
      <c r="R3056" s="37" t="s">
        <v>389</v>
      </c>
      <c r="S3056" s="37"/>
      <c r="T3056" s="31"/>
    </row>
    <row r="3057" spans="1:20">
      <c r="A3057" s="31"/>
      <c r="B3057" s="32"/>
      <c r="C3057" s="33"/>
      <c r="D3057" s="32" t="s">
        <v>6564</v>
      </c>
      <c r="E3057" s="33" t="s">
        <v>6565</v>
      </c>
      <c r="F3057" s="34">
        <v>1</v>
      </c>
      <c r="G3057" s="35">
        <v>0</v>
      </c>
      <c r="H3057" s="35">
        <v>0</v>
      </c>
      <c r="I3057" s="35">
        <f>Tabla1[[#This Row],[P.U. M.N.]]*Tabla1[[#This Row],[CANTIDADES DE REFERENCIA]]</f>
        <v>0</v>
      </c>
      <c r="J3057" s="35">
        <f>Tabla1[[#This Row],[P.U. USD]]*Tabla1[[#This Row],[CANTIDADES DE REFERENCIA]]</f>
        <v>0</v>
      </c>
      <c r="K3057" s="36"/>
      <c r="L3057" s="36"/>
      <c r="M3057" s="36"/>
      <c r="N3057" s="37" t="s">
        <v>1059</v>
      </c>
      <c r="O3057" s="37" t="s">
        <v>1060</v>
      </c>
      <c r="P3057" s="38"/>
      <c r="Q3057" s="37" t="s">
        <v>6566</v>
      </c>
      <c r="R3057" s="37"/>
      <c r="S3057" s="37"/>
      <c r="T3057" s="3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3A58-59E9-40F9-B765-026D797BB410}">
  <dimension ref="A1:AQ23"/>
  <sheetViews>
    <sheetView tabSelected="1" zoomScale="70" zoomScaleNormal="70" workbookViewId="0">
      <selection activeCell="G15" sqref="G15"/>
    </sheetView>
  </sheetViews>
  <sheetFormatPr baseColWidth="10" defaultColWidth="11.44140625" defaultRowHeight="14.4"/>
  <cols>
    <col min="4" max="4" width="13.33203125" customWidth="1"/>
    <col min="5" max="5" width="64.109375" customWidth="1"/>
    <col min="6" max="6" width="18.44140625" customWidth="1"/>
    <col min="7" max="7" width="16.109375" bestFit="1" customWidth="1"/>
    <col min="8" max="8" width="14.6640625" bestFit="1" customWidth="1"/>
    <col min="9" max="9" width="14" bestFit="1" customWidth="1"/>
    <col min="10" max="10" width="16.44140625" bestFit="1" customWidth="1"/>
    <col min="11" max="11" width="15.88671875" bestFit="1" customWidth="1"/>
    <col min="12" max="42" width="3.33203125" customWidth="1"/>
    <col min="43" max="43" width="10.88671875" style="1"/>
  </cols>
  <sheetData>
    <row r="1" spans="1:43" ht="43.5" customHeight="1">
      <c r="C1" s="3"/>
      <c r="D1" s="3"/>
      <c r="E1" s="6" t="s">
        <v>6567</v>
      </c>
      <c r="F1" s="3"/>
      <c r="G1" s="4"/>
      <c r="H1" s="5"/>
      <c r="I1" s="5"/>
      <c r="J1" s="5"/>
      <c r="K1" s="5"/>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0"/>
    </row>
    <row r="2" spans="1:43" ht="78" customHeight="1">
      <c r="A2" s="7" t="s">
        <v>6568</v>
      </c>
      <c r="B2" s="7" t="s">
        <v>6569</v>
      </c>
      <c r="C2" s="7" t="s">
        <v>0</v>
      </c>
      <c r="D2" s="7" t="s">
        <v>1</v>
      </c>
      <c r="E2" s="7" t="s">
        <v>3</v>
      </c>
      <c r="F2" s="7" t="s">
        <v>4</v>
      </c>
      <c r="G2" s="8" t="s">
        <v>6570</v>
      </c>
      <c r="H2" s="9" t="s">
        <v>6</v>
      </c>
      <c r="I2" s="9" t="s">
        <v>7</v>
      </c>
      <c r="J2" s="9" t="s">
        <v>6571</v>
      </c>
      <c r="K2" s="9" t="s">
        <v>6572</v>
      </c>
      <c r="L2" s="10">
        <v>45992</v>
      </c>
      <c r="M2" s="10">
        <f>L2+1</f>
        <v>45993</v>
      </c>
      <c r="N2" s="10">
        <f t="shared" ref="N2:AP2" si="0">M2+1</f>
        <v>45994</v>
      </c>
      <c r="O2" s="10">
        <f t="shared" si="0"/>
        <v>45995</v>
      </c>
      <c r="P2" s="10">
        <f t="shared" si="0"/>
        <v>45996</v>
      </c>
      <c r="Q2" s="10">
        <f t="shared" si="0"/>
        <v>45997</v>
      </c>
      <c r="R2" s="10">
        <f t="shared" si="0"/>
        <v>45998</v>
      </c>
      <c r="S2" s="10">
        <f t="shared" si="0"/>
        <v>45999</v>
      </c>
      <c r="T2" s="10">
        <f t="shared" si="0"/>
        <v>46000</v>
      </c>
      <c r="U2" s="10">
        <f t="shared" si="0"/>
        <v>46001</v>
      </c>
      <c r="V2" s="10">
        <f t="shared" si="0"/>
        <v>46002</v>
      </c>
      <c r="W2" s="10">
        <f t="shared" si="0"/>
        <v>46003</v>
      </c>
      <c r="X2" s="10">
        <f t="shared" si="0"/>
        <v>46004</v>
      </c>
      <c r="Y2" s="10">
        <f t="shared" si="0"/>
        <v>46005</v>
      </c>
      <c r="Z2" s="10">
        <f t="shared" si="0"/>
        <v>46006</v>
      </c>
      <c r="AA2" s="10">
        <f t="shared" si="0"/>
        <v>46007</v>
      </c>
      <c r="AB2" s="10">
        <f t="shared" si="0"/>
        <v>46008</v>
      </c>
      <c r="AC2" s="10">
        <f t="shared" si="0"/>
        <v>46009</v>
      </c>
      <c r="AD2" s="10">
        <f t="shared" si="0"/>
        <v>46010</v>
      </c>
      <c r="AE2" s="10">
        <f t="shared" si="0"/>
        <v>46011</v>
      </c>
      <c r="AF2" s="10">
        <f t="shared" si="0"/>
        <v>46012</v>
      </c>
      <c r="AG2" s="10">
        <f t="shared" si="0"/>
        <v>46013</v>
      </c>
      <c r="AH2" s="10">
        <f t="shared" si="0"/>
        <v>46014</v>
      </c>
      <c r="AI2" s="10">
        <f t="shared" si="0"/>
        <v>46015</v>
      </c>
      <c r="AJ2" s="10">
        <f t="shared" si="0"/>
        <v>46016</v>
      </c>
      <c r="AK2" s="10">
        <f t="shared" si="0"/>
        <v>46017</v>
      </c>
      <c r="AL2" s="10">
        <f t="shared" si="0"/>
        <v>46018</v>
      </c>
      <c r="AM2" s="10">
        <f t="shared" si="0"/>
        <v>46019</v>
      </c>
      <c r="AN2" s="10">
        <f t="shared" si="0"/>
        <v>46020</v>
      </c>
      <c r="AO2" s="10">
        <f t="shared" si="0"/>
        <v>46021</v>
      </c>
      <c r="AP2" s="10">
        <f t="shared" si="0"/>
        <v>46022</v>
      </c>
      <c r="AQ2" s="8" t="s">
        <v>6573</v>
      </c>
    </row>
    <row r="3" spans="1:43">
      <c r="A3" s="15"/>
      <c r="B3" s="15"/>
      <c r="C3" s="12" t="s">
        <v>6574</v>
      </c>
      <c r="D3" s="12">
        <v>1</v>
      </c>
      <c r="E3" s="11" t="s">
        <v>6575</v>
      </c>
      <c r="F3" s="12"/>
      <c r="G3" s="13"/>
      <c r="H3" s="14"/>
      <c r="I3" s="14"/>
      <c r="J3" s="14"/>
      <c r="K3" s="14"/>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3">
        <f>SUM(L3:AP3)</f>
        <v>0</v>
      </c>
    </row>
    <row r="4" spans="1:43">
      <c r="A4" s="15"/>
      <c r="B4" s="15" t="s">
        <v>6569</v>
      </c>
      <c r="C4" s="16" t="s">
        <v>6574</v>
      </c>
      <c r="D4" s="16" t="s">
        <v>6576</v>
      </c>
      <c r="E4" s="15" t="s">
        <v>6577</v>
      </c>
      <c r="F4" s="16" t="s">
        <v>23</v>
      </c>
      <c r="G4" s="17">
        <v>100</v>
      </c>
      <c r="H4" s="18">
        <v>0</v>
      </c>
      <c r="I4" s="18">
        <v>90000</v>
      </c>
      <c r="J4" s="18"/>
      <c r="K4" s="18"/>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7">
        <f t="shared" ref="AQ4:AQ23" si="1">SUM(L4:AP4)</f>
        <v>0</v>
      </c>
    </row>
    <row r="5" spans="1:43">
      <c r="A5" s="15"/>
      <c r="B5" s="15" t="s">
        <v>6569</v>
      </c>
      <c r="C5" s="16" t="s">
        <v>6578</v>
      </c>
      <c r="D5" s="19" t="s">
        <v>6460</v>
      </c>
      <c r="E5" s="15" t="s">
        <v>6459</v>
      </c>
      <c r="F5" s="16" t="s">
        <v>23</v>
      </c>
      <c r="G5" s="17">
        <v>10</v>
      </c>
      <c r="H5" s="18">
        <v>0</v>
      </c>
      <c r="I5" s="18">
        <v>0</v>
      </c>
      <c r="J5" s="18">
        <v>0</v>
      </c>
      <c r="K5" s="18">
        <v>0</v>
      </c>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7">
        <f>SUM(L5:AP5)</f>
        <v>0</v>
      </c>
    </row>
    <row r="6" spans="1:43">
      <c r="A6" s="15"/>
      <c r="B6" s="15"/>
      <c r="C6" s="12" t="s">
        <v>6579</v>
      </c>
      <c r="D6" s="12">
        <v>2</v>
      </c>
      <c r="E6" s="11" t="s">
        <v>6580</v>
      </c>
      <c r="F6" s="12"/>
      <c r="G6" s="13"/>
      <c r="H6" s="14"/>
      <c r="I6" s="14"/>
      <c r="J6" s="14"/>
      <c r="K6" s="14"/>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3">
        <f t="shared" si="1"/>
        <v>0</v>
      </c>
    </row>
    <row r="7" spans="1:43">
      <c r="A7" s="15"/>
      <c r="B7" s="15"/>
      <c r="C7" s="12" t="s">
        <v>6579</v>
      </c>
      <c r="D7" s="12"/>
      <c r="E7" s="11" t="s">
        <v>6581</v>
      </c>
      <c r="F7" s="12"/>
      <c r="G7" s="13"/>
      <c r="H7" s="14"/>
      <c r="I7" s="14"/>
      <c r="J7" s="14"/>
      <c r="K7" s="14"/>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3">
        <f t="shared" si="1"/>
        <v>0</v>
      </c>
    </row>
    <row r="8" spans="1:43">
      <c r="A8" s="15"/>
      <c r="B8" s="15"/>
      <c r="C8" s="12" t="s">
        <v>6579</v>
      </c>
      <c r="D8" s="12"/>
      <c r="E8" s="11" t="s">
        <v>6582</v>
      </c>
      <c r="F8" s="12"/>
      <c r="G8" s="13"/>
      <c r="H8" s="14"/>
      <c r="I8" s="14"/>
      <c r="J8" s="14"/>
      <c r="K8" s="14"/>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3">
        <f t="shared" si="1"/>
        <v>0</v>
      </c>
    </row>
    <row r="9" spans="1:43">
      <c r="A9" s="15"/>
      <c r="B9" s="15" t="s">
        <v>6569</v>
      </c>
      <c r="C9" s="16" t="s">
        <v>6579</v>
      </c>
      <c r="D9" s="16" t="s">
        <v>6583</v>
      </c>
      <c r="E9" s="15" t="s">
        <v>6584</v>
      </c>
      <c r="F9" s="16" t="s">
        <v>1154</v>
      </c>
      <c r="G9" s="17">
        <v>30</v>
      </c>
      <c r="H9" s="18">
        <v>11813.3</v>
      </c>
      <c r="I9" s="18">
        <v>0</v>
      </c>
      <c r="J9" s="18"/>
      <c r="K9" s="18"/>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7">
        <f t="shared" si="1"/>
        <v>0</v>
      </c>
    </row>
    <row r="10" spans="1:43">
      <c r="A10" s="15"/>
      <c r="B10" s="15" t="s">
        <v>6569</v>
      </c>
      <c r="C10" s="16" t="s">
        <v>6579</v>
      </c>
      <c r="D10" s="16" t="s">
        <v>6585</v>
      </c>
      <c r="E10" s="15" t="s">
        <v>6586</v>
      </c>
      <c r="F10" s="16" t="s">
        <v>54</v>
      </c>
      <c r="G10" s="17">
        <v>30</v>
      </c>
      <c r="H10" s="18">
        <v>126009.03</v>
      </c>
      <c r="I10" s="18">
        <v>0</v>
      </c>
      <c r="J10" s="18"/>
      <c r="K10" s="18"/>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7">
        <f t="shared" si="1"/>
        <v>0</v>
      </c>
    </row>
    <row r="11" spans="1:43">
      <c r="A11" s="15"/>
      <c r="B11" s="15" t="s">
        <v>6569</v>
      </c>
      <c r="C11" s="16" t="s">
        <v>6579</v>
      </c>
      <c r="D11" s="16" t="s">
        <v>6587</v>
      </c>
      <c r="E11" s="15" t="s">
        <v>6588</v>
      </c>
      <c r="F11" s="16" t="s">
        <v>54</v>
      </c>
      <c r="G11" s="17">
        <v>30</v>
      </c>
      <c r="H11" s="18">
        <v>138775.26</v>
      </c>
      <c r="I11" s="18">
        <v>0</v>
      </c>
      <c r="J11" s="18"/>
      <c r="K11" s="18"/>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7">
        <f t="shared" si="1"/>
        <v>0</v>
      </c>
    </row>
    <row r="12" spans="1:43">
      <c r="A12" s="15"/>
      <c r="B12" s="15" t="s">
        <v>6569</v>
      </c>
      <c r="C12" s="16" t="s">
        <v>6579</v>
      </c>
      <c r="D12" s="16" t="s">
        <v>6589</v>
      </c>
      <c r="E12" s="15" t="s">
        <v>6590</v>
      </c>
      <c r="F12" s="16" t="s">
        <v>54</v>
      </c>
      <c r="G12" s="17">
        <v>30</v>
      </c>
      <c r="H12" s="18">
        <v>172634.6</v>
      </c>
      <c r="I12" s="18">
        <v>0</v>
      </c>
      <c r="J12" s="18"/>
      <c r="K12" s="18"/>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7">
        <f t="shared" si="1"/>
        <v>0</v>
      </c>
    </row>
    <row r="13" spans="1:43">
      <c r="A13" s="15"/>
      <c r="B13" s="15" t="s">
        <v>6569</v>
      </c>
      <c r="C13" s="16" t="s">
        <v>6579</v>
      </c>
      <c r="D13" s="16" t="s">
        <v>6591</v>
      </c>
      <c r="E13" s="15" t="s">
        <v>6592</v>
      </c>
      <c r="F13" s="16" t="s">
        <v>54</v>
      </c>
      <c r="G13" s="17">
        <v>30</v>
      </c>
      <c r="H13" s="18">
        <v>185818.23999999999</v>
      </c>
      <c r="I13" s="18">
        <v>0</v>
      </c>
      <c r="J13" s="18"/>
      <c r="K13" s="18"/>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7">
        <f t="shared" si="1"/>
        <v>0</v>
      </c>
    </row>
    <row r="14" spans="1:43">
      <c r="A14" s="15"/>
      <c r="B14" s="15" t="s">
        <v>6569</v>
      </c>
      <c r="C14" s="16" t="s">
        <v>6579</v>
      </c>
      <c r="D14" s="16" t="s">
        <v>6593</v>
      </c>
      <c r="E14" s="15" t="s">
        <v>6594</v>
      </c>
      <c r="F14" s="16" t="s">
        <v>54</v>
      </c>
      <c r="G14" s="17">
        <v>30</v>
      </c>
      <c r="H14" s="18">
        <v>156168.34</v>
      </c>
      <c r="I14" s="18">
        <v>0</v>
      </c>
      <c r="J14" s="18"/>
      <c r="K14" s="18"/>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7">
        <f t="shared" si="1"/>
        <v>0</v>
      </c>
    </row>
    <row r="15" spans="1:43">
      <c r="A15" s="15"/>
      <c r="B15" s="15" t="s">
        <v>6569</v>
      </c>
      <c r="C15" s="16" t="s">
        <v>6579</v>
      </c>
      <c r="D15" s="16" t="s">
        <v>6595</v>
      </c>
      <c r="E15" s="15" t="s">
        <v>6596</v>
      </c>
      <c r="F15" s="16" t="s">
        <v>1154</v>
      </c>
      <c r="G15" s="17">
        <v>30</v>
      </c>
      <c r="H15" s="18">
        <v>28703.84</v>
      </c>
      <c r="I15" s="18">
        <v>0</v>
      </c>
      <c r="J15" s="18"/>
      <c r="K15" s="18"/>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7">
        <f t="shared" si="1"/>
        <v>0</v>
      </c>
    </row>
    <row r="16" spans="1:43">
      <c r="A16" s="15"/>
      <c r="B16" s="15" t="s">
        <v>6569</v>
      </c>
      <c r="C16" s="16" t="s">
        <v>6579</v>
      </c>
      <c r="D16" s="16" t="s">
        <v>6597</v>
      </c>
      <c r="E16" s="15" t="s">
        <v>6598</v>
      </c>
      <c r="F16" s="16" t="s">
        <v>1154</v>
      </c>
      <c r="G16" s="17">
        <v>30</v>
      </c>
      <c r="H16" s="18">
        <v>54214.53</v>
      </c>
      <c r="I16" s="18">
        <v>0</v>
      </c>
      <c r="J16" s="18"/>
      <c r="K16" s="18"/>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7">
        <f t="shared" si="1"/>
        <v>0</v>
      </c>
    </row>
    <row r="17" spans="1:43">
      <c r="A17" s="15"/>
      <c r="B17" s="15" t="s">
        <v>6569</v>
      </c>
      <c r="C17" s="16" t="s">
        <v>6579</v>
      </c>
      <c r="D17" s="16" t="s">
        <v>6599</v>
      </c>
      <c r="E17" s="15" t="s">
        <v>6600</v>
      </c>
      <c r="F17" s="16" t="s">
        <v>1154</v>
      </c>
      <c r="G17" s="17">
        <v>30</v>
      </c>
      <c r="H17" s="18">
        <v>88834.15</v>
      </c>
      <c r="I17" s="18">
        <v>0</v>
      </c>
      <c r="J17" s="18"/>
      <c r="K17" s="18"/>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7">
        <f t="shared" si="1"/>
        <v>0</v>
      </c>
    </row>
    <row r="18" spans="1:43">
      <c r="A18" s="15"/>
      <c r="B18" s="15" t="s">
        <v>6569</v>
      </c>
      <c r="C18" s="16" t="s">
        <v>6579</v>
      </c>
      <c r="D18" s="16" t="s">
        <v>6601</v>
      </c>
      <c r="E18" s="15" t="s">
        <v>6602</v>
      </c>
      <c r="F18" s="16" t="s">
        <v>1154</v>
      </c>
      <c r="G18" s="17">
        <v>30</v>
      </c>
      <c r="H18" s="18">
        <v>90858.46</v>
      </c>
      <c r="I18" s="18">
        <v>0</v>
      </c>
      <c r="J18" s="18"/>
      <c r="K18" s="18"/>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7">
        <f t="shared" si="1"/>
        <v>0</v>
      </c>
    </row>
    <row r="19" spans="1:43">
      <c r="A19" s="15"/>
      <c r="B19" s="15" t="s">
        <v>6569</v>
      </c>
      <c r="C19" s="16" t="s">
        <v>6579</v>
      </c>
      <c r="D19" s="16" t="s">
        <v>6603</v>
      </c>
      <c r="E19" s="15" t="s">
        <v>6604</v>
      </c>
      <c r="F19" s="16" t="s">
        <v>54</v>
      </c>
      <c r="G19" s="17">
        <v>30</v>
      </c>
      <c r="H19" s="18">
        <v>138260.93</v>
      </c>
      <c r="I19" s="18">
        <v>0</v>
      </c>
      <c r="J19" s="18"/>
      <c r="K19" s="18"/>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7">
        <f t="shared" si="1"/>
        <v>0</v>
      </c>
    </row>
    <row r="20" spans="1:43">
      <c r="A20" s="15"/>
      <c r="B20" s="15" t="s">
        <v>6569</v>
      </c>
      <c r="C20" s="16" t="s">
        <v>6579</v>
      </c>
      <c r="D20" s="16" t="s">
        <v>6605</v>
      </c>
      <c r="E20" s="15" t="s">
        <v>6606</v>
      </c>
      <c r="F20" s="16" t="s">
        <v>1154</v>
      </c>
      <c r="G20" s="17">
        <v>30</v>
      </c>
      <c r="H20" s="18">
        <v>58838.41</v>
      </c>
      <c r="I20" s="18">
        <v>0</v>
      </c>
      <c r="J20" s="18"/>
      <c r="K20" s="18"/>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7">
        <f t="shared" si="1"/>
        <v>0</v>
      </c>
    </row>
    <row r="21" spans="1:43">
      <c r="A21" s="15"/>
      <c r="B21" s="15" t="s">
        <v>6569</v>
      </c>
      <c r="C21" s="16" t="s">
        <v>6579</v>
      </c>
      <c r="D21" s="16" t="s">
        <v>6607</v>
      </c>
      <c r="E21" s="15" t="s">
        <v>6608</v>
      </c>
      <c r="F21" s="16" t="s">
        <v>54</v>
      </c>
      <c r="G21" s="17">
        <v>30</v>
      </c>
      <c r="H21" s="18">
        <v>180240.79</v>
      </c>
      <c r="I21" s="18">
        <v>0</v>
      </c>
      <c r="J21" s="18"/>
      <c r="K21" s="18"/>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7">
        <f t="shared" si="1"/>
        <v>0</v>
      </c>
    </row>
    <row r="22" spans="1:43">
      <c r="A22" s="15"/>
      <c r="B22" s="15" t="s">
        <v>6569</v>
      </c>
      <c r="C22" s="16" t="s">
        <v>6579</v>
      </c>
      <c r="D22" s="16" t="s">
        <v>6609</v>
      </c>
      <c r="E22" s="15" t="s">
        <v>6610</v>
      </c>
      <c r="F22" s="16" t="s">
        <v>54</v>
      </c>
      <c r="G22" s="17">
        <v>30</v>
      </c>
      <c r="H22" s="18">
        <v>181205.36</v>
      </c>
      <c r="I22" s="18">
        <v>0</v>
      </c>
      <c r="J22" s="18"/>
      <c r="K22" s="18"/>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7">
        <f t="shared" si="1"/>
        <v>0</v>
      </c>
    </row>
    <row r="23" spans="1:43">
      <c r="A23" s="15"/>
      <c r="B23" s="15" t="s">
        <v>6569</v>
      </c>
      <c r="C23" s="16" t="s">
        <v>6579</v>
      </c>
      <c r="D23" s="16" t="s">
        <v>6611</v>
      </c>
      <c r="E23" s="15" t="s">
        <v>6612</v>
      </c>
      <c r="F23" s="16" t="s">
        <v>1154</v>
      </c>
      <c r="G23" s="17">
        <v>30</v>
      </c>
      <c r="H23" s="18">
        <v>71624.929999999993</v>
      </c>
      <c r="I23" s="18">
        <v>0</v>
      </c>
      <c r="J23" s="18"/>
      <c r="K23" s="18"/>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7">
        <f t="shared" si="1"/>
        <v>0</v>
      </c>
    </row>
  </sheetData>
  <autoFilter ref="A2:AQ23" xr:uid="{26AE3A58-59E9-40F9-B765-026D797BB4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09fcc3-fc54-4697-8499-9347e6cea4a4">
      <Terms xmlns="http://schemas.microsoft.com/office/infopath/2007/PartnerControls"/>
    </lcf76f155ced4ddcb4097134ff3c332f>
    <TaxCatchAll xmlns="05ddaa53-27ec-44d9-bbe2-1b1a14125579" xsi:nil="true"/>
    <_Flow_SignoffStatus xmlns="8009fcc3-fc54-4697-8499-9347e6cea4a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12" ma:contentTypeDescription="Crear nuevo documento." ma:contentTypeScope="" ma:versionID="c5017865f6cbe18ddd41cc420fa842e9">
  <xsd:schema xmlns:xsd="http://www.w3.org/2001/XMLSchema" xmlns:xs="http://www.w3.org/2001/XMLSchema" xmlns:p="http://schemas.microsoft.com/office/2006/metadata/properties" xmlns:ns2="8009fcc3-fc54-4697-8499-9347e6cea4a4" xmlns:ns3="05ddaa53-27ec-44d9-bbe2-1b1a14125579" targetNamespace="http://schemas.microsoft.com/office/2006/metadata/properties" ma:root="true" ma:fieldsID="a69318cbce56578a97efea074a5dd5da" ns2:_="" ns3:_="">
    <xsd:import namespace="8009fcc3-fc54-4697-8499-9347e6cea4a4"/>
    <xsd:import namespace="05ddaa53-27ec-44d9-bbe2-1b1a141255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76bae27-fa84-42a0-96e6-bad0c020b1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daa53-27ec-44d9-bbe2-1b1a141255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c0f8afb-1621-40c0-834d-285233cc6ceb}" ma:internalName="TaxCatchAll" ma:showField="CatchAllData" ma:web="05ddaa53-27ec-44d9-bbe2-1b1a14125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4F2BC5-412C-422F-95AD-393D89D3DE71}">
  <ds:schemaRefs>
    <ds:schemaRef ds:uri="http://schemas.microsoft.com/sharepoint/v3/contenttype/forms"/>
  </ds:schemaRefs>
</ds:datastoreItem>
</file>

<file path=customXml/itemProps2.xml><?xml version="1.0" encoding="utf-8"?>
<ds:datastoreItem xmlns:ds="http://schemas.openxmlformats.org/officeDocument/2006/customXml" ds:itemID="{90FD0414-94D1-4543-B5C4-72F361F2DB7E}">
  <ds:schemaRefs>
    <ds:schemaRef ds:uri="http://schemas.microsoft.com/office/2006/metadata/properties"/>
    <ds:schemaRef ds:uri="http://schemas.microsoft.com/office/infopath/2007/PartnerControls"/>
    <ds:schemaRef ds:uri="8009fcc3-fc54-4697-8499-9347e6cea4a4"/>
    <ds:schemaRef ds:uri="05ddaa53-27ec-44d9-bbe2-1b1a14125579"/>
  </ds:schemaRefs>
</ds:datastoreItem>
</file>

<file path=customXml/itemProps3.xml><?xml version="1.0" encoding="utf-8"?>
<ds:datastoreItem xmlns:ds="http://schemas.openxmlformats.org/officeDocument/2006/customXml" ds:itemID="{BDC4BABD-76D4-4581-8381-5F2881C76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09fcc3-fc54-4697-8499-9347e6cea4a4"/>
    <ds:schemaRef ds:uri="05ddaa53-27ec-44d9-bbe2-1b1a14125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PUE´s BME</vt:lpstr>
      <vt:lpstr>SABANA DE RECURSOS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Biran Hernandez Patiño</dc:creator>
  <cp:keywords/>
  <dc:description/>
  <cp:lastModifiedBy>Jose Armando Perera Antonio</cp:lastModifiedBy>
  <cp:revision/>
  <dcterms:created xsi:type="dcterms:W3CDTF">2026-01-26T22:18:22Z</dcterms:created>
  <dcterms:modified xsi:type="dcterms:W3CDTF">2026-01-30T19:10:22Z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0x0101009C8AD40BCD693849B307498B5F3F4D1F</vt:lpwstr>
  </property>
</Properties>
</file>